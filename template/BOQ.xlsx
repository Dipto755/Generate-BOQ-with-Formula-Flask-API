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24226"/>
  <mc:AlternateContent xmlns:mc="http://schemas.openxmlformats.org/markup-compatibility/2006">
    <mc:Choice Requires="x15">
      <x15ac:absPath xmlns:x15ac="http://schemas.microsoft.com/office/spreadsheetml/2010/11/ac" url="C:\Users\User\Documents\Dipto\Work\Generate-BOQ-with-Formula-Flask-API\template\"/>
    </mc:Choice>
  </mc:AlternateContent>
  <xr:revisionPtr revIDLastSave="0" documentId="13_ncr:1_{81F308B2-845C-4D1A-A770-8DBAE09CF365}" xr6:coauthVersionLast="47" xr6:coauthVersionMax="47" xr10:uidLastSave="{00000000-0000-0000-0000-000000000000}"/>
  <bookViews>
    <workbookView xWindow="-120" yWindow="-120" windowWidth="29040" windowHeight="15720" tabRatio="550" activeTab="1" xr2:uid="{00000000-000D-0000-FFFF-FFFF00000000}"/>
  </bookViews>
  <sheets>
    <sheet name="ABSTRACT OF COST" sheetId="2" r:id="rId1"/>
    <sheet name="BOQ" sheetId="7" r:id="rId2"/>
    <sheet name="Markert Rate" sheetId="9" state="hidden" r:id="rId3"/>
  </sheets>
  <externalReferences>
    <externalReference r:id="rId4"/>
    <externalReference r:id="rId5"/>
    <externalReference r:id="rId6"/>
    <externalReference r:id="rId7"/>
    <externalReference r:id="rId8"/>
  </externalReferences>
  <definedNames>
    <definedName name="_xlnm._FilterDatabase" localSheetId="1" hidden="1">BOQ!$AD$2:$AF$1637</definedName>
    <definedName name="_IV65537" localSheetId="1">'[1]Steel-Circular'!#REF!</definedName>
    <definedName name="_IV65537">'[1]Steel-Circular'!#REF!</definedName>
    <definedName name="_ll17" localSheetId="1">#REF!</definedName>
    <definedName name="_ll17">#REF!</definedName>
    <definedName name="_np3">'[2]Material '!$G$50</definedName>
    <definedName name="a" hidden="1">{"Execavation",#N/A,FALSE,"furniture (employer)"}</definedName>
    <definedName name="aggr10" localSheetId="1">#REF!</definedName>
    <definedName name="aggr10">#REF!</definedName>
    <definedName name="aggr11" localSheetId="1">#REF!</definedName>
    <definedName name="aggr11">#REF!</definedName>
    <definedName name="aggr13" localSheetId="1">#REF!</definedName>
    <definedName name="aggr13">#REF!</definedName>
    <definedName name="aggr2" localSheetId="1">#REF!</definedName>
    <definedName name="aggr2">#REF!</definedName>
    <definedName name="aggr2.36" localSheetId="1">#REF!</definedName>
    <definedName name="aggr2.36">#REF!</definedName>
    <definedName name="aggr20" localSheetId="1">#REF!</definedName>
    <definedName name="aggr20">#REF!</definedName>
    <definedName name="aggr22" localSheetId="1">#REF!</definedName>
    <definedName name="aggr22">#REF!</definedName>
    <definedName name="aggr26" localSheetId="1">#REF!</definedName>
    <definedName name="aggr26">#REF!</definedName>
    <definedName name="aggr40" localSheetId="1">#REF!</definedName>
    <definedName name="aggr40">#REF!</definedName>
    <definedName name="aggr53" localSheetId="1">#REF!</definedName>
    <definedName name="aggr53">#REF!</definedName>
    <definedName name="aggr6" localSheetId="1">#REF!</definedName>
    <definedName name="aggr6">#REF!</definedName>
    <definedName name="aggr63" localSheetId="1">#REF!</definedName>
    <definedName name="aggr63">#REF!</definedName>
    <definedName name="agrr10" localSheetId="1">#REF!</definedName>
    <definedName name="agrr10">#REF!</definedName>
    <definedName name="agrr63mm" localSheetId="1">#REF!</definedName>
    <definedName name="agrr63mm">#REF!</definedName>
    <definedName name="ballies">'[2]Material '!$G$31</definedName>
    <definedName name="bhistee" localSheetId="1">#REF!</definedName>
    <definedName name="bhistee">#REF!</definedName>
    <definedName name="bhisti" localSheetId="1">#REF!</definedName>
    <definedName name="bhisti">#REF!</definedName>
    <definedName name="bitumen" localSheetId="1">#REF!</definedName>
    <definedName name="bitumen">#REF!</definedName>
    <definedName name="bitumen6070" localSheetId="1">#REF!</definedName>
    <definedName name="bitumen6070">#REF!</definedName>
    <definedName name="bitumenboiler" localSheetId="1">#REF!</definedName>
    <definedName name="bitumenboiler">#REF!</definedName>
    <definedName name="bitumenemul" localSheetId="1">#REF!</definedName>
    <definedName name="bitumenemul">#REF!</definedName>
    <definedName name="blacksmith" localSheetId="1">#REF!</definedName>
    <definedName name="blacksmith">#REF!</definedName>
    <definedName name="blacksmithhelper" localSheetId="1">#REF!</definedName>
    <definedName name="blacksmithhelper">#REF!</definedName>
    <definedName name="blaster" localSheetId="1">#REF!</definedName>
    <definedName name="blaster">#REF!</definedName>
    <definedName name="bondstone">'[2]Material '!$G$40</definedName>
    <definedName name="boulder" localSheetId="1">#REF!</definedName>
    <definedName name="boulder">#REF!</definedName>
    <definedName name="bricks" localSheetId="1">#REF!</definedName>
    <definedName name="bricks">#REF!</definedName>
    <definedName name="carpenter" localSheetId="1">#REF!</definedName>
    <definedName name="carpenter">#REF!</definedName>
    <definedName name="carpenter1" localSheetId="1">#REF!</definedName>
    <definedName name="carpenter1">#REF!</definedName>
    <definedName name="carpenter2" localSheetId="1">#REF!</definedName>
    <definedName name="carpenter2">#REF!</definedName>
    <definedName name="carpenterI" localSheetId="1">#REF!</definedName>
    <definedName name="carpenterI">#REF!</definedName>
    <definedName name="carpenterII" localSheetId="1">#REF!</definedName>
    <definedName name="carpenterII">#REF!</definedName>
    <definedName name="Cement" localSheetId="1">#REF!</definedName>
    <definedName name="Cement">#REF!</definedName>
    <definedName name="chapter10" localSheetId="1">#REF!</definedName>
    <definedName name="chapter10">#REF!</definedName>
    <definedName name="chapter11" localSheetId="1">#REF!</definedName>
    <definedName name="chapter11">#REF!</definedName>
    <definedName name="chapter5" localSheetId="1">#REF!</definedName>
    <definedName name="chapter5">#REF!</definedName>
    <definedName name="CHAPTER9" localSheetId="1">#REF!</definedName>
    <definedName name="CHAPTER9">#REF!</definedName>
    <definedName name="chiseler" localSheetId="1">#REF!</definedName>
    <definedName name="chiseler">#REF!</definedName>
    <definedName name="CL" hidden="1">{"Execavation",#N/A,FALSE,"furniture (employer)"}</definedName>
    <definedName name="Cl.Preforma" hidden="1">{"Execavation",#N/A,FALSE,"furniture (employer)"}</definedName>
    <definedName name="CLAIMB" hidden="1">{"Execavation",#N/A,FALSE,"furniture (employer)"}</definedName>
    <definedName name="CLAIMSB" hidden="1">{"Execavation",#N/A,FALSE,"furniture (employer)"}</definedName>
    <definedName name="CLM" hidden="1">{"Execavation",#N/A,FALSE,"furniture (employer)"}</definedName>
    <definedName name="compactor" localSheetId="1">#REF!</definedName>
    <definedName name="compactor">#REF!</definedName>
    <definedName name="concretepump" localSheetId="1">#REF!</definedName>
    <definedName name="concretepump">#REF!</definedName>
    <definedName name="copperplate" localSheetId="1">#REF!</definedName>
    <definedName name="copperplate">#REF!</definedName>
    <definedName name="crane" localSheetId="1">#REF!</definedName>
    <definedName name="crane">#REF!</definedName>
    <definedName name="DATA10" localSheetId="1">[3]Data!#REF!</definedName>
    <definedName name="DATA10">[3]Data!#REF!</definedName>
    <definedName name="DATA100" localSheetId="1">[3]Data!#REF!</definedName>
    <definedName name="DATA100">[3]Data!#REF!</definedName>
    <definedName name="DATA1011" localSheetId="1">[3]Data!#REF!</definedName>
    <definedName name="DATA1011">[3]Data!#REF!</definedName>
    <definedName name="DATA1012" localSheetId="1">[3]Data!#REF!</definedName>
    <definedName name="DATA1012">[3]Data!#REF!</definedName>
    <definedName name="DATA1013" localSheetId="1">[3]Data!#REF!</definedName>
    <definedName name="DATA1013">[3]Data!#REF!</definedName>
    <definedName name="DATA1014" localSheetId="1">[3]Data!#REF!</definedName>
    <definedName name="DATA1014">[3]Data!#REF!</definedName>
    <definedName name="DATA1015" localSheetId="1">[3]Data!#REF!</definedName>
    <definedName name="DATA1015">[3]Data!#REF!</definedName>
    <definedName name="DATA102" localSheetId="1">[3]Data!#REF!</definedName>
    <definedName name="DATA102">[3]Data!#REF!</definedName>
    <definedName name="DATA103" localSheetId="1">[3]Data!#REF!</definedName>
    <definedName name="DATA103">[3]Data!#REF!</definedName>
    <definedName name="DATA104" localSheetId="1">[3]Data!#REF!</definedName>
    <definedName name="DATA104">[3]Data!#REF!</definedName>
    <definedName name="DATA105" localSheetId="1">[3]Data!#REF!</definedName>
    <definedName name="DATA105">[3]Data!#REF!</definedName>
    <definedName name="DATA106" localSheetId="1">[3]Data!#REF!</definedName>
    <definedName name="DATA106">[3]Data!#REF!</definedName>
    <definedName name="DATA107A" localSheetId="1">[3]Data!#REF!</definedName>
    <definedName name="DATA107A">[3]Data!#REF!</definedName>
    <definedName name="DATA107B" localSheetId="1">[3]Data!#REF!</definedName>
    <definedName name="DATA107B">[3]Data!#REF!</definedName>
    <definedName name="DATA107C" localSheetId="1">[3]Data!#REF!</definedName>
    <definedName name="DATA107C">[3]Data!#REF!</definedName>
    <definedName name="DATA107D" localSheetId="1">[3]Data!#REF!</definedName>
    <definedName name="DATA107D">[3]Data!#REF!</definedName>
    <definedName name="DATA107E" localSheetId="1">[3]Data!#REF!</definedName>
    <definedName name="DATA107E">[3]Data!#REF!</definedName>
    <definedName name="DATA107F" localSheetId="1">[3]Data!#REF!</definedName>
    <definedName name="DATA107F">[3]Data!#REF!</definedName>
    <definedName name="DATA107G" localSheetId="1">[3]Data!#REF!</definedName>
    <definedName name="DATA107G">[3]Data!#REF!</definedName>
    <definedName name="DATA108A" localSheetId="1">[3]Data!#REF!</definedName>
    <definedName name="DATA108A">[3]Data!#REF!</definedName>
    <definedName name="DATA108B" localSheetId="1">[3]Data!#REF!</definedName>
    <definedName name="DATA108B">[3]Data!#REF!</definedName>
    <definedName name="DATA108C" localSheetId="1">[3]Data!#REF!</definedName>
    <definedName name="DATA108C">[3]Data!#REF!</definedName>
    <definedName name="DATA108D" localSheetId="1">[3]Data!#REF!</definedName>
    <definedName name="DATA108D">[3]Data!#REF!</definedName>
    <definedName name="DATA108E" localSheetId="1">[3]Data!#REF!</definedName>
    <definedName name="DATA108E">[3]Data!#REF!</definedName>
    <definedName name="DATA108F" localSheetId="1">[3]Data!#REF!</definedName>
    <definedName name="DATA108F">[3]Data!#REF!</definedName>
    <definedName name="DATA108G" localSheetId="1">[3]Data!#REF!</definedName>
    <definedName name="DATA108G">[3]Data!#REF!</definedName>
    <definedName name="DATA108H" localSheetId="1">[3]Data!#REF!</definedName>
    <definedName name="DATA108H">[3]Data!#REF!</definedName>
    <definedName name="DATA108I" localSheetId="1">[3]Data!#REF!</definedName>
    <definedName name="DATA108I">[3]Data!#REF!</definedName>
    <definedName name="DATA108J" localSheetId="1">[3]Data!#REF!</definedName>
    <definedName name="DATA108J">[3]Data!#REF!</definedName>
    <definedName name="DATA108K" localSheetId="1">[3]Data!#REF!</definedName>
    <definedName name="DATA108K">[3]Data!#REF!</definedName>
    <definedName name="DATA108L" localSheetId="1">[3]Data!#REF!</definedName>
    <definedName name="DATA108L">[3]Data!#REF!</definedName>
    <definedName name="DATA108M" localSheetId="1">[3]Data!#REF!</definedName>
    <definedName name="DATA108M">[3]Data!#REF!</definedName>
    <definedName name="DATA108N" localSheetId="1">[3]Data!#REF!</definedName>
    <definedName name="DATA108N">[3]Data!#REF!</definedName>
    <definedName name="DATA108O" localSheetId="1">[3]Data!#REF!</definedName>
    <definedName name="DATA108O">[3]Data!#REF!</definedName>
    <definedName name="DATA108P" localSheetId="1">[3]Data!#REF!</definedName>
    <definedName name="DATA108P">[3]Data!#REF!</definedName>
    <definedName name="DATA109A" localSheetId="1">[3]Data!#REF!</definedName>
    <definedName name="DATA109A">[3]Data!#REF!</definedName>
    <definedName name="DATA109B" localSheetId="1">[3]Data!#REF!</definedName>
    <definedName name="DATA109B">[3]Data!#REF!</definedName>
    <definedName name="DATA109C" localSheetId="1">[3]Data!#REF!</definedName>
    <definedName name="DATA109C">[3]Data!#REF!</definedName>
    <definedName name="DATA109D" localSheetId="1">[3]Data!#REF!</definedName>
    <definedName name="DATA109D">[3]Data!#REF!</definedName>
    <definedName name="DATA109E" localSheetId="1">[3]Data!#REF!</definedName>
    <definedName name="DATA109E">[3]Data!#REF!</definedName>
    <definedName name="DATA109F" localSheetId="1">[3]Data!#REF!</definedName>
    <definedName name="DATA109F">[3]Data!#REF!</definedName>
    <definedName name="DATA109G" localSheetId="1">[3]Data!#REF!</definedName>
    <definedName name="DATA109G">[3]Data!#REF!</definedName>
    <definedName name="DATA109H" localSheetId="1">[3]Data!#REF!</definedName>
    <definedName name="DATA109H">[3]Data!#REF!</definedName>
    <definedName name="DATA109I" localSheetId="1">[3]Data!#REF!</definedName>
    <definedName name="DATA109I">[3]Data!#REF!</definedName>
    <definedName name="DATA109J" localSheetId="1">[3]Data!#REF!</definedName>
    <definedName name="DATA109J">[3]Data!#REF!</definedName>
    <definedName name="DATA109K" localSheetId="1">[3]Data!#REF!</definedName>
    <definedName name="DATA109K">[3]Data!#REF!</definedName>
    <definedName name="DATA109L" localSheetId="1">[3]Data!#REF!</definedName>
    <definedName name="DATA109L">[3]Data!#REF!</definedName>
    <definedName name="DATA109M" localSheetId="1">[3]Data!#REF!</definedName>
    <definedName name="DATA109M">[3]Data!#REF!</definedName>
    <definedName name="DATA109N" localSheetId="1">[3]Data!#REF!</definedName>
    <definedName name="DATA109N">[3]Data!#REF!</definedName>
    <definedName name="DATA109O" localSheetId="1">[3]Data!#REF!</definedName>
    <definedName name="DATA109O">[3]Data!#REF!</definedName>
    <definedName name="DATA109P" localSheetId="1">[3]Data!#REF!</definedName>
    <definedName name="DATA109P">[3]Data!#REF!</definedName>
    <definedName name="DATA11" localSheetId="1">[3]Data!#REF!</definedName>
    <definedName name="DATA11">[3]Data!#REF!</definedName>
    <definedName name="DATA110A" localSheetId="1">[3]Data!#REF!</definedName>
    <definedName name="DATA110A">[3]Data!#REF!</definedName>
    <definedName name="DATA110B" localSheetId="1">[3]Data!#REF!</definedName>
    <definedName name="DATA110B">[3]Data!#REF!</definedName>
    <definedName name="DATA110C" localSheetId="1">[3]Data!#REF!</definedName>
    <definedName name="DATA110C">[3]Data!#REF!</definedName>
    <definedName name="DATA110D" localSheetId="1">[3]Data!#REF!</definedName>
    <definedName name="DATA110D">[3]Data!#REF!</definedName>
    <definedName name="DATA110E" localSheetId="1">[3]Data!#REF!</definedName>
    <definedName name="DATA110E">[3]Data!#REF!</definedName>
    <definedName name="DATA110F" localSheetId="1">[3]Data!#REF!</definedName>
    <definedName name="DATA110F">[3]Data!#REF!</definedName>
    <definedName name="DATA110G" localSheetId="1">[3]Data!#REF!</definedName>
    <definedName name="DATA110G">[3]Data!#REF!</definedName>
    <definedName name="DATA110H" localSheetId="1">[3]Data!#REF!</definedName>
    <definedName name="DATA110H">[3]Data!#REF!</definedName>
    <definedName name="DATA110I" localSheetId="1">[3]Data!#REF!</definedName>
    <definedName name="DATA110I">[3]Data!#REF!</definedName>
    <definedName name="DATA110J" localSheetId="1">[3]Data!#REF!</definedName>
    <definedName name="DATA110J">[3]Data!#REF!</definedName>
    <definedName name="DATA110K" localSheetId="1">[3]Data!#REF!</definedName>
    <definedName name="DATA110K">[3]Data!#REF!</definedName>
    <definedName name="DATA110L" localSheetId="1">[3]Data!#REF!</definedName>
    <definedName name="DATA110L">[3]Data!#REF!</definedName>
    <definedName name="DATA110M" localSheetId="1">[3]Data!#REF!</definedName>
    <definedName name="DATA110M">[3]Data!#REF!</definedName>
    <definedName name="DATA110N" localSheetId="1">[3]Data!#REF!</definedName>
    <definedName name="DATA110N">[3]Data!#REF!</definedName>
    <definedName name="DATA110O" localSheetId="1">[3]Data!#REF!</definedName>
    <definedName name="DATA110O">[3]Data!#REF!</definedName>
    <definedName name="DATA110P" localSheetId="1">[3]Data!#REF!</definedName>
    <definedName name="DATA110P">[3]Data!#REF!</definedName>
    <definedName name="DATA111A" localSheetId="1">[3]Data!#REF!</definedName>
    <definedName name="DATA111A">[3]Data!#REF!</definedName>
    <definedName name="DATA111B" localSheetId="1">[3]Data!#REF!</definedName>
    <definedName name="DATA111B">[3]Data!#REF!</definedName>
    <definedName name="DATA111C" localSheetId="1">[3]Data!#REF!</definedName>
    <definedName name="DATA111C">[3]Data!#REF!</definedName>
    <definedName name="DATA111D" localSheetId="1">[3]Data!#REF!</definedName>
    <definedName name="DATA111D">[3]Data!#REF!</definedName>
    <definedName name="DATA111E" localSheetId="1">[3]Data!#REF!</definedName>
    <definedName name="DATA111E">[3]Data!#REF!</definedName>
    <definedName name="DATA111F" localSheetId="1">[3]Data!#REF!</definedName>
    <definedName name="DATA111F">[3]Data!#REF!</definedName>
    <definedName name="DATA111G" localSheetId="1">[3]Data!#REF!</definedName>
    <definedName name="DATA111G">[3]Data!#REF!</definedName>
    <definedName name="DATA111H" localSheetId="1">[3]Data!#REF!</definedName>
    <definedName name="DATA111H">[3]Data!#REF!</definedName>
    <definedName name="DATA111I" localSheetId="1">[3]Data!#REF!</definedName>
    <definedName name="DATA111I">[3]Data!#REF!</definedName>
    <definedName name="DATA111J" localSheetId="1">[3]Data!#REF!</definedName>
    <definedName name="DATA111J">[3]Data!#REF!</definedName>
    <definedName name="DATA111K" localSheetId="1">[3]Data!#REF!</definedName>
    <definedName name="DATA111K">[3]Data!#REF!</definedName>
    <definedName name="DATA111L" localSheetId="1">[3]Data!#REF!</definedName>
    <definedName name="DATA111L">[3]Data!#REF!</definedName>
    <definedName name="DATA111M" localSheetId="1">[3]Data!#REF!</definedName>
    <definedName name="DATA111M">[3]Data!#REF!</definedName>
    <definedName name="DATA111N" localSheetId="1">[3]Data!#REF!</definedName>
    <definedName name="DATA111N">[3]Data!#REF!</definedName>
    <definedName name="DATA111O" localSheetId="1">[3]Data!#REF!</definedName>
    <definedName name="DATA111O">[3]Data!#REF!</definedName>
    <definedName name="DATA111P" localSheetId="1">[3]Data!#REF!</definedName>
    <definedName name="DATA111P">[3]Data!#REF!</definedName>
    <definedName name="DATA112A" localSheetId="1">[3]Data!#REF!</definedName>
    <definedName name="DATA112A">[3]Data!#REF!</definedName>
    <definedName name="DATA112B" localSheetId="1">[3]Data!#REF!</definedName>
    <definedName name="DATA112B">[3]Data!#REF!</definedName>
    <definedName name="DATA112C" localSheetId="1">[3]Data!#REF!</definedName>
    <definedName name="DATA112C">[3]Data!#REF!</definedName>
    <definedName name="DATA112D" localSheetId="1">[3]Data!#REF!</definedName>
    <definedName name="DATA112D">[3]Data!#REF!</definedName>
    <definedName name="DATA112E" localSheetId="1">[3]Data!#REF!</definedName>
    <definedName name="DATA112E">[3]Data!#REF!</definedName>
    <definedName name="DATA112F" localSheetId="1">[3]Data!#REF!</definedName>
    <definedName name="DATA112F">[3]Data!#REF!</definedName>
    <definedName name="DATA112G" localSheetId="1">[3]Data!#REF!</definedName>
    <definedName name="DATA112G">[3]Data!#REF!</definedName>
    <definedName name="DATA112H" localSheetId="1">[3]Data!#REF!</definedName>
    <definedName name="DATA112H">[3]Data!#REF!</definedName>
    <definedName name="DATA112I" localSheetId="1">[3]Data!#REF!</definedName>
    <definedName name="DATA112I">[3]Data!#REF!</definedName>
    <definedName name="DATA112J" localSheetId="1">[3]Data!#REF!</definedName>
    <definedName name="DATA112J">[3]Data!#REF!</definedName>
    <definedName name="DATA112K" localSheetId="1">[3]Data!#REF!</definedName>
    <definedName name="DATA112K">[3]Data!#REF!</definedName>
    <definedName name="DATA112L" localSheetId="1">[3]Data!#REF!</definedName>
    <definedName name="DATA112L">[3]Data!#REF!</definedName>
    <definedName name="DATA112M" localSheetId="1">[3]Data!#REF!</definedName>
    <definedName name="DATA112M">[3]Data!#REF!</definedName>
    <definedName name="DATA112N" localSheetId="1">[3]Data!#REF!</definedName>
    <definedName name="DATA112N">[3]Data!#REF!</definedName>
    <definedName name="DATA112O" localSheetId="1">[3]Data!#REF!</definedName>
    <definedName name="DATA112O">[3]Data!#REF!</definedName>
    <definedName name="DATA112P" localSheetId="1">[3]Data!#REF!</definedName>
    <definedName name="DATA112P">[3]Data!#REF!</definedName>
    <definedName name="DATA113A" localSheetId="1">[3]Data!#REF!</definedName>
    <definedName name="DATA113A">[3]Data!#REF!</definedName>
    <definedName name="DATA113B" localSheetId="1">[3]Data!#REF!</definedName>
    <definedName name="DATA113B">[3]Data!#REF!</definedName>
    <definedName name="DATA113C" localSheetId="1">[3]Data!#REF!</definedName>
    <definedName name="DATA113C">[3]Data!#REF!</definedName>
    <definedName name="DATA113D" localSheetId="1">[3]Data!#REF!</definedName>
    <definedName name="DATA113D">[3]Data!#REF!</definedName>
    <definedName name="DATA113E" localSheetId="1">[3]Data!#REF!</definedName>
    <definedName name="DATA113E">[3]Data!#REF!</definedName>
    <definedName name="DATA113F" localSheetId="1">[3]Data!#REF!</definedName>
    <definedName name="DATA113F">[3]Data!#REF!</definedName>
    <definedName name="DATA113G" localSheetId="1">[3]Data!#REF!</definedName>
    <definedName name="DATA113G">[3]Data!#REF!</definedName>
    <definedName name="DATA113H" localSheetId="1">[3]Data!#REF!</definedName>
    <definedName name="DATA113H">[3]Data!#REF!</definedName>
    <definedName name="DATA113I" localSheetId="1">[3]Data!#REF!</definedName>
    <definedName name="DATA113I">[3]Data!#REF!</definedName>
    <definedName name="DATA113J" localSheetId="1">[3]Data!#REF!</definedName>
    <definedName name="DATA113J">[3]Data!#REF!</definedName>
    <definedName name="DATA113K" localSheetId="1">[3]Data!#REF!</definedName>
    <definedName name="DATA113K">[3]Data!#REF!</definedName>
    <definedName name="DATA114" localSheetId="1">[3]Data!#REF!</definedName>
    <definedName name="DATA114">[3]Data!#REF!</definedName>
    <definedName name="DATA115" localSheetId="1">[3]Data!#REF!</definedName>
    <definedName name="DATA115">[3]Data!#REF!</definedName>
    <definedName name="DATA116" localSheetId="1">[3]Data!#REF!</definedName>
    <definedName name="DATA116">[3]Data!#REF!</definedName>
    <definedName name="DATA117" localSheetId="1">[3]Data!#REF!</definedName>
    <definedName name="DATA117">[3]Data!#REF!</definedName>
    <definedName name="DATA118" localSheetId="1">[3]Data!#REF!</definedName>
    <definedName name="DATA118">[3]Data!#REF!</definedName>
    <definedName name="DATA119" localSheetId="1">[3]Data!#REF!</definedName>
    <definedName name="DATA119">[3]Data!#REF!</definedName>
    <definedName name="DATA12" localSheetId="1">[3]Data!#REF!</definedName>
    <definedName name="DATA12">[3]Data!#REF!</definedName>
    <definedName name="DATA120" localSheetId="1">[3]Data!#REF!</definedName>
    <definedName name="DATA120">[3]Data!#REF!</definedName>
    <definedName name="DATA121" localSheetId="1">[3]Data!#REF!</definedName>
    <definedName name="DATA121">[3]Data!#REF!</definedName>
    <definedName name="DATA122" localSheetId="1">[3]Data!#REF!</definedName>
    <definedName name="DATA122">[3]Data!#REF!</definedName>
    <definedName name="DATA123" localSheetId="1">[3]Data!#REF!</definedName>
    <definedName name="DATA123">[3]Data!#REF!</definedName>
    <definedName name="DATA124" localSheetId="1">[3]Data!#REF!</definedName>
    <definedName name="DATA124">[3]Data!#REF!</definedName>
    <definedName name="DATA125" localSheetId="1">[3]Data!#REF!</definedName>
    <definedName name="DATA125">[3]Data!#REF!</definedName>
    <definedName name="DATA126" localSheetId="1">[3]Data!#REF!</definedName>
    <definedName name="DATA126">[3]Data!#REF!</definedName>
    <definedName name="DATA127A" localSheetId="1">[3]Data!#REF!</definedName>
    <definedName name="DATA127A">[3]Data!#REF!</definedName>
    <definedName name="DATA127B" localSheetId="1">[3]Data!#REF!</definedName>
    <definedName name="DATA127B">[3]Data!#REF!</definedName>
    <definedName name="DATA127C" localSheetId="1">[3]Data!#REF!</definedName>
    <definedName name="DATA127C">[3]Data!#REF!</definedName>
    <definedName name="DATA127D" localSheetId="1">[3]Data!#REF!</definedName>
    <definedName name="DATA127D">[3]Data!#REF!</definedName>
    <definedName name="DATA127E" localSheetId="1">[3]Data!#REF!</definedName>
    <definedName name="DATA127E">[3]Data!#REF!</definedName>
    <definedName name="DATA127F" localSheetId="1">[3]Data!#REF!</definedName>
    <definedName name="DATA127F">[3]Data!#REF!</definedName>
    <definedName name="DATA127G" localSheetId="1">[3]Data!#REF!</definedName>
    <definedName name="DATA127G">[3]Data!#REF!</definedName>
    <definedName name="DATA127H" localSheetId="1">[3]Data!#REF!</definedName>
    <definedName name="DATA127H">[3]Data!#REF!</definedName>
    <definedName name="DATA127I" localSheetId="1">[3]Data!#REF!</definedName>
    <definedName name="DATA127I">[3]Data!#REF!</definedName>
    <definedName name="DATA127J" localSheetId="1">[3]Data!#REF!</definedName>
    <definedName name="DATA127J">[3]Data!#REF!</definedName>
    <definedName name="DATA128A" localSheetId="1">[3]Data!#REF!</definedName>
    <definedName name="DATA128A">[3]Data!#REF!</definedName>
    <definedName name="DATA128B" localSheetId="1">[3]Data!#REF!</definedName>
    <definedName name="DATA128B">[3]Data!#REF!</definedName>
    <definedName name="DATA128C" localSheetId="1">[3]Data!#REF!</definedName>
    <definedName name="DATA128C">[3]Data!#REF!</definedName>
    <definedName name="DATA128D" localSheetId="1">[3]Data!#REF!</definedName>
    <definedName name="DATA128D">[3]Data!#REF!</definedName>
    <definedName name="DATA128E" localSheetId="1">[3]Data!#REF!</definedName>
    <definedName name="DATA128E">[3]Data!#REF!</definedName>
    <definedName name="DATA128F" localSheetId="1">[3]Data!#REF!</definedName>
    <definedName name="DATA128F">[3]Data!#REF!</definedName>
    <definedName name="DATA128G" localSheetId="1">[3]Data!#REF!</definedName>
    <definedName name="DATA128G">[3]Data!#REF!</definedName>
    <definedName name="DATA129A" localSheetId="1">[3]Data!#REF!</definedName>
    <definedName name="DATA129A">[3]Data!#REF!</definedName>
    <definedName name="DATA129B" localSheetId="1">[3]Data!#REF!</definedName>
    <definedName name="DATA129B">[3]Data!#REF!</definedName>
    <definedName name="DATA129C" localSheetId="1">[3]Data!#REF!</definedName>
    <definedName name="DATA129C">[3]Data!#REF!</definedName>
    <definedName name="DATA129D" localSheetId="1">[3]Data!#REF!</definedName>
    <definedName name="DATA129D">[3]Data!#REF!</definedName>
    <definedName name="DATA13" localSheetId="1">[3]Data!#REF!</definedName>
    <definedName name="DATA13">[3]Data!#REF!</definedName>
    <definedName name="DATA130A" localSheetId="1">[3]Data!#REF!</definedName>
    <definedName name="DATA130A">[3]Data!#REF!</definedName>
    <definedName name="DATA130B" localSheetId="1">[3]Data!#REF!</definedName>
    <definedName name="DATA130B">[3]Data!#REF!</definedName>
    <definedName name="DATA131" localSheetId="1">[3]Data!#REF!</definedName>
    <definedName name="DATA131">[3]Data!#REF!</definedName>
    <definedName name="DATA132" localSheetId="1">[3]Data!#REF!</definedName>
    <definedName name="DATA132">[3]Data!#REF!</definedName>
    <definedName name="DATA133" localSheetId="1">[3]Data!#REF!</definedName>
    <definedName name="DATA133">[3]Data!#REF!</definedName>
    <definedName name="DATA134110" localSheetId="1">#REF!</definedName>
    <definedName name="DATA134110">#REF!</definedName>
    <definedName name="DATA134125" localSheetId="1">#REF!</definedName>
    <definedName name="DATA134125">#REF!</definedName>
    <definedName name="DATA134140" localSheetId="1">#REF!</definedName>
    <definedName name="DATA134140">#REF!</definedName>
    <definedName name="DATA134160" localSheetId="1">#REF!</definedName>
    <definedName name="DATA134160">#REF!</definedName>
    <definedName name="DATA134180" localSheetId="1">#REF!</definedName>
    <definedName name="DATA134180">#REF!</definedName>
    <definedName name="DATA134200" localSheetId="1">#REF!</definedName>
    <definedName name="DATA134200">#REF!</definedName>
    <definedName name="DATA134225" localSheetId="1">#REF!</definedName>
    <definedName name="DATA134225">#REF!</definedName>
    <definedName name="DATA134250" localSheetId="1">#REF!</definedName>
    <definedName name="DATA134250">#REF!</definedName>
    <definedName name="DATA134280" localSheetId="1">#REF!</definedName>
    <definedName name="DATA134280">#REF!</definedName>
    <definedName name="DATA134315" localSheetId="1">#REF!</definedName>
    <definedName name="DATA134315">#REF!</definedName>
    <definedName name="DATA134355" localSheetId="1">#REF!</definedName>
    <definedName name="DATA134355">#REF!</definedName>
    <definedName name="DATA134400" localSheetId="1">#REF!</definedName>
    <definedName name="DATA134400">#REF!</definedName>
    <definedName name="DATA13450" localSheetId="1">#REF!</definedName>
    <definedName name="DATA13450">#REF!</definedName>
    <definedName name="DATA13463" localSheetId="1">#REF!</definedName>
    <definedName name="DATA13463">#REF!</definedName>
    <definedName name="DATA13475" localSheetId="1">#REF!</definedName>
    <definedName name="DATA13475">#REF!</definedName>
    <definedName name="DATA13490" localSheetId="1">#REF!</definedName>
    <definedName name="DATA13490">#REF!</definedName>
    <definedName name="DATA135110" localSheetId="1">#REF!</definedName>
    <definedName name="DATA135110">#REF!</definedName>
    <definedName name="DATA135125" localSheetId="1">#REF!</definedName>
    <definedName name="DATA135125">#REF!</definedName>
    <definedName name="DATA135140" localSheetId="1">#REF!</definedName>
    <definedName name="DATA135140">#REF!</definedName>
    <definedName name="DATA135160" localSheetId="1">#REF!</definedName>
    <definedName name="DATA135160">#REF!</definedName>
    <definedName name="DATA135180" localSheetId="1">#REF!</definedName>
    <definedName name="DATA135180">#REF!</definedName>
    <definedName name="DATA135200" localSheetId="1">#REF!</definedName>
    <definedName name="DATA135200">#REF!</definedName>
    <definedName name="DATA135225" localSheetId="1">#REF!</definedName>
    <definedName name="DATA135225">#REF!</definedName>
    <definedName name="DATA135250" localSheetId="1">#REF!</definedName>
    <definedName name="DATA135250">#REF!</definedName>
    <definedName name="DATA135280" localSheetId="1">#REF!</definedName>
    <definedName name="DATA135280">#REF!</definedName>
    <definedName name="DATA135315" localSheetId="1">#REF!</definedName>
    <definedName name="DATA135315">#REF!</definedName>
    <definedName name="DATA135355" localSheetId="1">#REF!</definedName>
    <definedName name="DATA135355">#REF!</definedName>
    <definedName name="DATA135400" localSheetId="1">#REF!</definedName>
    <definedName name="DATA135400">#REF!</definedName>
    <definedName name="DATA13550" localSheetId="1">#REF!</definedName>
    <definedName name="DATA13550">#REF!</definedName>
    <definedName name="DATA13563" localSheetId="1">#REF!</definedName>
    <definedName name="DATA13563">#REF!</definedName>
    <definedName name="DATA13575" localSheetId="1">#REF!</definedName>
    <definedName name="DATA13575">#REF!</definedName>
    <definedName name="DATA13590" localSheetId="1">#REF!</definedName>
    <definedName name="DATA13590">#REF!</definedName>
    <definedName name="DATA136A" localSheetId="1">#REF!</definedName>
    <definedName name="DATA136A">#REF!</definedName>
    <definedName name="DATA136B" localSheetId="1">#REF!</definedName>
    <definedName name="DATA136B">#REF!</definedName>
    <definedName name="DATA136C" localSheetId="1">#REF!</definedName>
    <definedName name="DATA136C">#REF!</definedName>
    <definedName name="DATA136D" localSheetId="1">#REF!</definedName>
    <definedName name="DATA136D">#REF!</definedName>
    <definedName name="DATA136E" localSheetId="1">#REF!</definedName>
    <definedName name="DATA136E">#REF!</definedName>
    <definedName name="DATA136F" localSheetId="1">#REF!</definedName>
    <definedName name="DATA136F">#REF!</definedName>
    <definedName name="DATA136G" localSheetId="1">#REF!</definedName>
    <definedName name="DATA136G">#REF!</definedName>
    <definedName name="DATA136H" localSheetId="1">#REF!</definedName>
    <definedName name="DATA136H">#REF!</definedName>
    <definedName name="DATA136I" localSheetId="1">#REF!</definedName>
    <definedName name="DATA136I">#REF!</definedName>
    <definedName name="DATA136J" localSheetId="1">#REF!</definedName>
    <definedName name="DATA136J">#REF!</definedName>
    <definedName name="DATA136K" localSheetId="1">#REF!</definedName>
    <definedName name="DATA136K">#REF!</definedName>
    <definedName name="DATA136L" localSheetId="1">#REF!</definedName>
    <definedName name="DATA136L">#REF!</definedName>
    <definedName name="DATA136M" localSheetId="1">#REF!</definedName>
    <definedName name="DATA136M">#REF!</definedName>
    <definedName name="DATA136N" localSheetId="1">#REF!</definedName>
    <definedName name="DATA136N">#REF!</definedName>
    <definedName name="DATA136O" localSheetId="1">#REF!</definedName>
    <definedName name="DATA136O">#REF!</definedName>
    <definedName name="DATA136P" localSheetId="1">#REF!</definedName>
    <definedName name="DATA136P">#REF!</definedName>
    <definedName name="DATA137I" localSheetId="1">#REF!</definedName>
    <definedName name="DATA137I">#REF!</definedName>
    <definedName name="DATA137II" localSheetId="1">#REF!</definedName>
    <definedName name="DATA137II">#REF!</definedName>
    <definedName name="DATA137III" localSheetId="1">#REF!</definedName>
    <definedName name="DATA137III">#REF!</definedName>
    <definedName name="DATA137IV" localSheetId="1">#REF!</definedName>
    <definedName name="DATA137IV">#REF!</definedName>
    <definedName name="DATA137V" localSheetId="1">#REF!</definedName>
    <definedName name="DATA137V">#REF!</definedName>
    <definedName name="DATA138I" localSheetId="1">#REF!</definedName>
    <definedName name="DATA138I">#REF!</definedName>
    <definedName name="DATA138II" localSheetId="1">#REF!</definedName>
    <definedName name="DATA138II">#REF!</definedName>
    <definedName name="DATA138III" localSheetId="1">#REF!</definedName>
    <definedName name="DATA138III">#REF!</definedName>
    <definedName name="DATA138IV" localSheetId="1">#REF!</definedName>
    <definedName name="DATA138IV">#REF!</definedName>
    <definedName name="DATA138V" localSheetId="1">#REF!</definedName>
    <definedName name="DATA138V">#REF!</definedName>
    <definedName name="DATA138VI" localSheetId="1">#REF!</definedName>
    <definedName name="DATA138VI">#REF!</definedName>
    <definedName name="DATA139IX" localSheetId="1">#REF!</definedName>
    <definedName name="DATA139IX">#REF!</definedName>
    <definedName name="DATA139V" localSheetId="1">#REF!</definedName>
    <definedName name="DATA139V">#REF!</definedName>
    <definedName name="DATA139VI" localSheetId="1">#REF!</definedName>
    <definedName name="DATA139VI">#REF!</definedName>
    <definedName name="DATA139VII" localSheetId="1">#REF!</definedName>
    <definedName name="DATA139VII">#REF!</definedName>
    <definedName name="DATA139VIII" localSheetId="1">#REF!</definedName>
    <definedName name="DATA139VIII">#REF!</definedName>
    <definedName name="DATA14" localSheetId="1">[3]Data!#REF!</definedName>
    <definedName name="DATA14">[3]Data!#REF!</definedName>
    <definedName name="DATA140I" localSheetId="1">#REF!</definedName>
    <definedName name="DATA140I">#REF!</definedName>
    <definedName name="DATA140II" localSheetId="1">#REF!</definedName>
    <definedName name="DATA140II">#REF!</definedName>
    <definedName name="DATA140III" localSheetId="1">#REF!</definedName>
    <definedName name="DATA140III">#REF!</definedName>
    <definedName name="DATA140IV" localSheetId="1">#REF!</definedName>
    <definedName name="DATA140IV">#REF!</definedName>
    <definedName name="DATA140V" localSheetId="1">#REF!</definedName>
    <definedName name="DATA140V">#REF!</definedName>
    <definedName name="DATA141I" localSheetId="1">#REF!</definedName>
    <definedName name="DATA141I">#REF!</definedName>
    <definedName name="DATA141II" localSheetId="1">#REF!</definedName>
    <definedName name="DATA141II">#REF!</definedName>
    <definedName name="DATA141III" localSheetId="1">#REF!</definedName>
    <definedName name="DATA141III">#REF!</definedName>
    <definedName name="DATA141IV" localSheetId="1">#REF!</definedName>
    <definedName name="DATA141IV">#REF!</definedName>
    <definedName name="DATA141V" localSheetId="1">#REF!</definedName>
    <definedName name="DATA141V">#REF!</definedName>
    <definedName name="DATA142I" localSheetId="1">#REF!</definedName>
    <definedName name="DATA142I">#REF!</definedName>
    <definedName name="DATA142II" localSheetId="1">#REF!</definedName>
    <definedName name="DATA142II">#REF!</definedName>
    <definedName name="DATA142III" localSheetId="1">#REF!</definedName>
    <definedName name="DATA142III">#REF!</definedName>
    <definedName name="DATA142IV" localSheetId="1">#REF!</definedName>
    <definedName name="DATA142IV">#REF!</definedName>
    <definedName name="DATA142V" localSheetId="1">#REF!</definedName>
    <definedName name="DATA142V">#REF!</definedName>
    <definedName name="DATA143" localSheetId="1">[3]Data!#REF!</definedName>
    <definedName name="DATA143">[3]Data!#REF!</definedName>
    <definedName name="DATA144" localSheetId="1">[3]Data!#REF!</definedName>
    <definedName name="DATA144">[3]Data!#REF!</definedName>
    <definedName name="DATA145" localSheetId="1">[3]Data!#REF!</definedName>
    <definedName name="DATA145">[3]Data!#REF!</definedName>
    <definedName name="DATA146" localSheetId="1">[3]Data!#REF!</definedName>
    <definedName name="DATA146">[3]Data!#REF!</definedName>
    <definedName name="DATA147" localSheetId="1">[3]Data!#REF!</definedName>
    <definedName name="DATA147">[3]Data!#REF!</definedName>
    <definedName name="DATA148" localSheetId="1">[3]Data!#REF!</definedName>
    <definedName name="DATA148">[3]Data!#REF!</definedName>
    <definedName name="DATA149" localSheetId="1">[3]Data!#REF!</definedName>
    <definedName name="DATA149">[3]Data!#REF!</definedName>
    <definedName name="DATA150" localSheetId="1">[3]Data!#REF!</definedName>
    <definedName name="DATA150">[3]Data!#REF!</definedName>
    <definedName name="DATA152" localSheetId="1">[3]Data!#REF!</definedName>
    <definedName name="DATA152">[3]Data!#REF!</definedName>
    <definedName name="DATA153" localSheetId="1">[3]Data!#REF!</definedName>
    <definedName name="DATA153">[3]Data!#REF!</definedName>
    <definedName name="DATA154" localSheetId="1">[3]Data!#REF!</definedName>
    <definedName name="DATA154">[3]Data!#REF!</definedName>
    <definedName name="DATA156" localSheetId="1">[3]Data!#REF!</definedName>
    <definedName name="DATA156">[3]Data!#REF!</definedName>
    <definedName name="DATA157" localSheetId="1">[3]Data!#REF!</definedName>
    <definedName name="DATA157">[3]Data!#REF!</definedName>
    <definedName name="DATA158" localSheetId="1">[3]Data!#REF!</definedName>
    <definedName name="DATA158">[3]Data!#REF!</definedName>
    <definedName name="DATA159A" localSheetId="1">[3]Data!#REF!</definedName>
    <definedName name="DATA159A">[3]Data!#REF!</definedName>
    <definedName name="DATA159B" localSheetId="1">[3]Data!#REF!</definedName>
    <definedName name="DATA159B">[3]Data!#REF!</definedName>
    <definedName name="DATA159C" localSheetId="1">[3]Data!#REF!</definedName>
    <definedName name="DATA159C">[3]Data!#REF!</definedName>
    <definedName name="DATA159D" localSheetId="1">[3]Data!#REF!</definedName>
    <definedName name="DATA159D">[3]Data!#REF!</definedName>
    <definedName name="DATA16" localSheetId="1">[3]Data!#REF!</definedName>
    <definedName name="DATA16">[3]Data!#REF!</definedName>
    <definedName name="DATA160" localSheetId="1">[3]Data!#REF!</definedName>
    <definedName name="DATA160">[3]Data!#REF!</definedName>
    <definedName name="DATA161" localSheetId="1">[3]Data!#REF!</definedName>
    <definedName name="DATA161">[3]Data!#REF!</definedName>
    <definedName name="DATA162" localSheetId="1">[3]Data!#REF!</definedName>
    <definedName name="DATA162">[3]Data!#REF!</definedName>
    <definedName name="DATA163" localSheetId="1">[3]Data!#REF!</definedName>
    <definedName name="DATA163">[3]Data!#REF!</definedName>
    <definedName name="DATA18" localSheetId="1">[3]Data!#REF!</definedName>
    <definedName name="DATA18">[3]Data!#REF!</definedName>
    <definedName name="DATA19" localSheetId="1">[3]Data!#REF!</definedName>
    <definedName name="DATA19">[3]Data!#REF!</definedName>
    <definedName name="DATA2" localSheetId="1">[3]Data!#REF!</definedName>
    <definedName name="DATA2">[3]Data!#REF!</definedName>
    <definedName name="DATA20" localSheetId="1">[3]Data!#REF!</definedName>
    <definedName name="DATA20">[3]Data!#REF!</definedName>
    <definedName name="DATA21" localSheetId="1">[3]Data!#REF!</definedName>
    <definedName name="DATA21">[3]Data!#REF!</definedName>
    <definedName name="DATA22" localSheetId="1">[3]Data!#REF!</definedName>
    <definedName name="DATA22">[3]Data!#REF!</definedName>
    <definedName name="DATA23" localSheetId="1">[3]Data!#REF!</definedName>
    <definedName name="DATA23">[3]Data!#REF!</definedName>
    <definedName name="DATA24" localSheetId="1">[3]Data!#REF!</definedName>
    <definedName name="DATA24">[3]Data!#REF!</definedName>
    <definedName name="DATA26" localSheetId="1">[3]Data!#REF!</definedName>
    <definedName name="DATA26">[3]Data!#REF!</definedName>
    <definedName name="DATA27" localSheetId="1">[3]Data!#REF!</definedName>
    <definedName name="DATA27">[3]Data!#REF!</definedName>
    <definedName name="DATA29" localSheetId="1">[3]Data!#REF!</definedName>
    <definedName name="DATA29">[3]Data!#REF!</definedName>
    <definedName name="DATA3" localSheetId="1">[3]Data!#REF!</definedName>
    <definedName name="DATA3">[3]Data!#REF!</definedName>
    <definedName name="DATA30" localSheetId="1">[3]Data!#REF!</definedName>
    <definedName name="DATA30">[3]Data!#REF!</definedName>
    <definedName name="DATA31" localSheetId="1">[3]Data!#REF!</definedName>
    <definedName name="DATA31">[3]Data!#REF!</definedName>
    <definedName name="DATA32" localSheetId="1">[3]Data!#REF!</definedName>
    <definedName name="DATA32">[3]Data!#REF!</definedName>
    <definedName name="DATA33" localSheetId="1">[3]Data!#REF!</definedName>
    <definedName name="DATA33">[3]Data!#REF!</definedName>
    <definedName name="DATA34" localSheetId="1">[3]Data!#REF!</definedName>
    <definedName name="DATA34">[3]Data!#REF!</definedName>
    <definedName name="DATA35" localSheetId="1">[3]Data!#REF!</definedName>
    <definedName name="DATA35">[3]Data!#REF!</definedName>
    <definedName name="DATA36" localSheetId="1">[3]Data!#REF!</definedName>
    <definedName name="DATA36">[3]Data!#REF!</definedName>
    <definedName name="DATA37" localSheetId="1">[3]Data!#REF!</definedName>
    <definedName name="DATA37">[3]Data!#REF!</definedName>
    <definedName name="DATA38" localSheetId="1">[3]Data!#REF!</definedName>
    <definedName name="DATA38">[3]Data!#REF!</definedName>
    <definedName name="DATA39" localSheetId="1">[3]Data!#REF!</definedName>
    <definedName name="DATA39">[3]Data!#REF!</definedName>
    <definedName name="DATA4" localSheetId="1">[3]Data!#REF!</definedName>
    <definedName name="DATA4">[3]Data!#REF!</definedName>
    <definedName name="DATA40" localSheetId="1">[3]Data!#REF!</definedName>
    <definedName name="DATA40">[3]Data!#REF!</definedName>
    <definedName name="DATA41" localSheetId="1">[3]Data!#REF!</definedName>
    <definedName name="DATA41">[3]Data!#REF!</definedName>
    <definedName name="DATA42" localSheetId="1">[3]Data!#REF!</definedName>
    <definedName name="DATA42">[3]Data!#REF!</definedName>
    <definedName name="DATA43" localSheetId="1">[3]Data!#REF!</definedName>
    <definedName name="DATA43">[3]Data!#REF!</definedName>
    <definedName name="DATA44" localSheetId="1">[3]Data!#REF!</definedName>
    <definedName name="DATA44">[3]Data!#REF!</definedName>
    <definedName name="DATA45" localSheetId="1">[3]Data!#REF!</definedName>
    <definedName name="DATA45">[3]Data!#REF!</definedName>
    <definedName name="DATA46" localSheetId="1">[3]Data!#REF!</definedName>
    <definedName name="DATA46">[3]Data!#REF!</definedName>
    <definedName name="DATA47" localSheetId="1">[3]Data!#REF!</definedName>
    <definedName name="DATA47">[3]Data!#REF!</definedName>
    <definedName name="DATA48" localSheetId="1">[3]Data!#REF!</definedName>
    <definedName name="DATA48">[3]Data!#REF!</definedName>
    <definedName name="DATA49" localSheetId="1">[3]Data!#REF!</definedName>
    <definedName name="DATA49">[3]Data!#REF!</definedName>
    <definedName name="DATA5" localSheetId="1">[3]Data!#REF!</definedName>
    <definedName name="DATA5">[3]Data!#REF!</definedName>
    <definedName name="DATA50" localSheetId="1">[3]Data!#REF!</definedName>
    <definedName name="DATA50">[3]Data!#REF!</definedName>
    <definedName name="DATA51" localSheetId="1">[3]Data!#REF!</definedName>
    <definedName name="DATA51">[3]Data!#REF!</definedName>
    <definedName name="DATA52" localSheetId="1">[3]Data!#REF!</definedName>
    <definedName name="DATA52">[3]Data!#REF!</definedName>
    <definedName name="DATA53" localSheetId="1">[3]Data!#REF!</definedName>
    <definedName name="DATA53">[3]Data!#REF!</definedName>
    <definedName name="DATA54" localSheetId="1">[3]Data!#REF!</definedName>
    <definedName name="DATA54">[3]Data!#REF!</definedName>
    <definedName name="DATA56" localSheetId="1">[3]Data!#REF!</definedName>
    <definedName name="DATA56">[3]Data!#REF!</definedName>
    <definedName name="DATA57" localSheetId="1">[3]Data!#REF!</definedName>
    <definedName name="DATA57">[3]Data!#REF!</definedName>
    <definedName name="DATA58" localSheetId="1">[3]Data!#REF!</definedName>
    <definedName name="DATA58">[3]Data!#REF!</definedName>
    <definedName name="DATA59" localSheetId="1">[3]Data!#REF!</definedName>
    <definedName name="DATA59">[3]Data!#REF!</definedName>
    <definedName name="DATA6" localSheetId="1">[3]Data!#REF!</definedName>
    <definedName name="DATA6">[3]Data!#REF!</definedName>
    <definedName name="DATA60" localSheetId="1">[3]Data!#REF!</definedName>
    <definedName name="DATA60">[3]Data!#REF!</definedName>
    <definedName name="DATA61" localSheetId="1">[3]Data!#REF!</definedName>
    <definedName name="DATA61">[3]Data!#REF!</definedName>
    <definedName name="DATA63" localSheetId="1">[3]Data!#REF!</definedName>
    <definedName name="DATA63">[3]Data!#REF!</definedName>
    <definedName name="DATA64" localSheetId="1">[3]Data!#REF!</definedName>
    <definedName name="DATA64">[3]Data!#REF!</definedName>
    <definedName name="DATA65" localSheetId="1">[3]Data!#REF!</definedName>
    <definedName name="DATA65">[3]Data!#REF!</definedName>
    <definedName name="DATA66" localSheetId="1">[3]Data!#REF!</definedName>
    <definedName name="DATA66">[3]Data!#REF!</definedName>
    <definedName name="DATA67" localSheetId="1">[3]Data!#REF!</definedName>
    <definedName name="DATA67">[3]Data!#REF!</definedName>
    <definedName name="DATA68" localSheetId="1">[3]Data!#REF!</definedName>
    <definedName name="DATA68">[3]Data!#REF!</definedName>
    <definedName name="DATA69" localSheetId="1">[3]Data!#REF!</definedName>
    <definedName name="DATA69">[3]Data!#REF!</definedName>
    <definedName name="DATA7" localSheetId="1">[3]Data!#REF!</definedName>
    <definedName name="DATA7">[3]Data!#REF!</definedName>
    <definedName name="DATA70" localSheetId="1">[3]Data!#REF!</definedName>
    <definedName name="DATA70">[3]Data!#REF!</definedName>
    <definedName name="DATA71" localSheetId="1">[3]Data!#REF!</definedName>
    <definedName name="DATA71">[3]Data!#REF!</definedName>
    <definedName name="DATA72" localSheetId="1">[3]Data!#REF!</definedName>
    <definedName name="DATA72">[3]Data!#REF!</definedName>
    <definedName name="DATA73" localSheetId="1">[3]Data!#REF!</definedName>
    <definedName name="DATA73">[3]Data!#REF!</definedName>
    <definedName name="DATA74" localSheetId="1">[3]Data!#REF!</definedName>
    <definedName name="DATA74">[3]Data!#REF!</definedName>
    <definedName name="DATA76" localSheetId="1">[3]Data!#REF!</definedName>
    <definedName name="DATA76">[3]Data!#REF!</definedName>
    <definedName name="DATA77A" localSheetId="1">[3]Data!#REF!</definedName>
    <definedName name="DATA77A">[3]Data!#REF!</definedName>
    <definedName name="DATA77B" localSheetId="1">[3]Data!#REF!</definedName>
    <definedName name="DATA77B">[3]Data!#REF!</definedName>
    <definedName name="DATA78" localSheetId="1">[3]Data!#REF!</definedName>
    <definedName name="DATA78">[3]Data!#REF!</definedName>
    <definedName name="DATA79A" localSheetId="1">[3]Data!#REF!</definedName>
    <definedName name="DATA79A">[3]Data!#REF!</definedName>
    <definedName name="DATA79B" localSheetId="1">[3]Data!#REF!</definedName>
    <definedName name="DATA79B">[3]Data!#REF!</definedName>
    <definedName name="DATA79C" localSheetId="1">[3]Data!#REF!</definedName>
    <definedName name="DATA79C">[3]Data!#REF!</definedName>
    <definedName name="DATA8" localSheetId="1">[3]Data!#REF!</definedName>
    <definedName name="DATA8">[3]Data!#REF!</definedName>
    <definedName name="DATA80A" localSheetId="1">[3]Data!#REF!</definedName>
    <definedName name="DATA80A">[3]Data!#REF!</definedName>
    <definedName name="DATA80B" localSheetId="1">[3]Data!#REF!</definedName>
    <definedName name="DATA80B">[3]Data!#REF!</definedName>
    <definedName name="DATA80C" localSheetId="1">[3]Data!#REF!</definedName>
    <definedName name="DATA80C">[3]Data!#REF!</definedName>
    <definedName name="DATA81" localSheetId="1">[3]Data!#REF!</definedName>
    <definedName name="DATA81">[3]Data!#REF!</definedName>
    <definedName name="DATA82" localSheetId="1">[3]Data!#REF!</definedName>
    <definedName name="DATA82">[3]Data!#REF!</definedName>
    <definedName name="DATA84" localSheetId="1">[3]Data!#REF!</definedName>
    <definedName name="DATA84">[3]Data!#REF!</definedName>
    <definedName name="DATA85" localSheetId="1">[3]Data!#REF!</definedName>
    <definedName name="DATA85">[3]Data!#REF!</definedName>
    <definedName name="DATA86" localSheetId="1">[3]Data!#REF!</definedName>
    <definedName name="DATA86">[3]Data!#REF!</definedName>
    <definedName name="DATA87" localSheetId="1">[3]Data!#REF!</definedName>
    <definedName name="DATA87">[3]Data!#REF!</definedName>
    <definedName name="DATA88" localSheetId="1">[3]Data!#REF!</definedName>
    <definedName name="DATA88">[3]Data!#REF!</definedName>
    <definedName name="DATA89" localSheetId="1">[3]Data!#REF!</definedName>
    <definedName name="DATA89">[3]Data!#REF!</definedName>
    <definedName name="DATA9" localSheetId="1">[3]Data!#REF!</definedName>
    <definedName name="DATA9">[3]Data!#REF!</definedName>
    <definedName name="DATA90" localSheetId="1">[3]Data!#REF!</definedName>
    <definedName name="DATA90">[3]Data!#REF!</definedName>
    <definedName name="DATA92" localSheetId="1">[3]Data!#REF!</definedName>
    <definedName name="DATA92">[3]Data!#REF!</definedName>
    <definedName name="DATA93" localSheetId="1">[3]Data!#REF!</definedName>
    <definedName name="DATA93">[3]Data!#REF!</definedName>
    <definedName name="DATA94" localSheetId="1">[3]Data!#REF!</definedName>
    <definedName name="DATA94">[3]Data!#REF!</definedName>
    <definedName name="DATA95" localSheetId="1">[3]Data!#REF!</definedName>
    <definedName name="DATA95">[3]Data!#REF!</definedName>
    <definedName name="DATA98" localSheetId="1">[3]Data!#REF!</definedName>
    <definedName name="DATA98">[3]Data!#REF!</definedName>
    <definedName name="DATA99" localSheetId="1">[3]Data!#REF!</definedName>
    <definedName name="DATA99">[3]Data!#REF!</definedName>
    <definedName name="datonators" localSheetId="1">#REF!</definedName>
    <definedName name="datonators">#REF!</definedName>
    <definedName name="DESC100" localSheetId="1">[3]Data!#REF!</definedName>
    <definedName name="DESC100">[3]Data!#REF!</definedName>
    <definedName name="DESC101" localSheetId="1">[3]Data!#REF!</definedName>
    <definedName name="DESC101">[3]Data!#REF!</definedName>
    <definedName name="DESC1011" localSheetId="1">[3]Data!#REF!</definedName>
    <definedName name="DESC1011">[3]Data!#REF!</definedName>
    <definedName name="DESC1012" localSheetId="1">[3]Data!#REF!</definedName>
    <definedName name="DESC1012">[3]Data!#REF!</definedName>
    <definedName name="DESC1013" localSheetId="1">[3]Data!#REF!</definedName>
    <definedName name="DESC1013">[3]Data!#REF!</definedName>
    <definedName name="DESC1014" localSheetId="1">[3]Data!#REF!</definedName>
    <definedName name="DESC1014">[3]Data!#REF!</definedName>
    <definedName name="DESC1015" localSheetId="1">[3]Data!#REF!</definedName>
    <definedName name="DESC1015">[3]Data!#REF!</definedName>
    <definedName name="DESC102" localSheetId="1">[3]Data!#REF!</definedName>
    <definedName name="DESC102">[3]Data!#REF!</definedName>
    <definedName name="DESC103" localSheetId="1">[3]Data!#REF!</definedName>
    <definedName name="DESC103">[3]Data!#REF!</definedName>
    <definedName name="DESC104" localSheetId="1">[3]Data!#REF!</definedName>
    <definedName name="DESC104">[3]Data!#REF!</definedName>
    <definedName name="DESC105" localSheetId="1">[3]Data!#REF!</definedName>
    <definedName name="DESC105">[3]Data!#REF!</definedName>
    <definedName name="DESC106" localSheetId="1">[3]Data!#REF!</definedName>
    <definedName name="DESC106">[3]Data!#REF!</definedName>
    <definedName name="DESC107" localSheetId="1">[3]Data!#REF!</definedName>
    <definedName name="DESC107">[3]Data!#REF!</definedName>
    <definedName name="DESC107A" localSheetId="1">[3]Data!#REF!</definedName>
    <definedName name="DESC107A">[3]Data!#REF!</definedName>
    <definedName name="DESC107B" localSheetId="1">[3]Data!#REF!</definedName>
    <definedName name="DESC107B">[3]Data!#REF!</definedName>
    <definedName name="DESC107C" localSheetId="1">[3]Data!#REF!</definedName>
    <definedName name="DESC107C">[3]Data!#REF!</definedName>
    <definedName name="DESC107D" localSheetId="1">[3]Data!#REF!</definedName>
    <definedName name="DESC107D">[3]Data!#REF!</definedName>
    <definedName name="DESC107E" localSheetId="1">[3]Data!#REF!</definedName>
    <definedName name="DESC107E">[3]Data!#REF!</definedName>
    <definedName name="DESC107F" localSheetId="1">[3]Data!#REF!</definedName>
    <definedName name="DESC107F">[3]Data!#REF!</definedName>
    <definedName name="DESC107G" localSheetId="1">[3]Data!#REF!</definedName>
    <definedName name="DESC107G">[3]Data!#REF!</definedName>
    <definedName name="DESC108" localSheetId="1">[3]Data!#REF!</definedName>
    <definedName name="DESC108">[3]Data!#REF!</definedName>
    <definedName name="DESC108A" localSheetId="1">[3]Data!#REF!</definedName>
    <definedName name="DESC108A">[3]Data!#REF!</definedName>
    <definedName name="DESC108B" localSheetId="1">[3]Data!#REF!</definedName>
    <definedName name="DESC108B">[3]Data!#REF!</definedName>
    <definedName name="DESC108C" localSheetId="1">[3]Data!#REF!</definedName>
    <definedName name="DESC108C">[3]Data!#REF!</definedName>
    <definedName name="DESC108D" localSheetId="1">[3]Data!#REF!</definedName>
    <definedName name="DESC108D">[3]Data!#REF!</definedName>
    <definedName name="DESC108E" localSheetId="1">[3]Data!#REF!</definedName>
    <definedName name="DESC108E">[3]Data!#REF!</definedName>
    <definedName name="DESC108F" localSheetId="1">[3]Data!#REF!</definedName>
    <definedName name="DESC108F">[3]Data!#REF!</definedName>
    <definedName name="DESC108G" localSheetId="1">[3]Data!#REF!</definedName>
    <definedName name="DESC108G">[3]Data!#REF!</definedName>
    <definedName name="DESC108H" localSheetId="1">[3]Data!#REF!</definedName>
    <definedName name="DESC108H">[3]Data!#REF!</definedName>
    <definedName name="DESC108I" localSheetId="1">[3]Data!#REF!</definedName>
    <definedName name="DESC108I">[3]Data!#REF!</definedName>
    <definedName name="DESC108J" localSheetId="1">[3]Data!#REF!</definedName>
    <definedName name="DESC108J">[3]Data!#REF!</definedName>
    <definedName name="DESC108K" localSheetId="1">[3]Data!#REF!</definedName>
    <definedName name="DESC108K">[3]Data!#REF!</definedName>
    <definedName name="DESC108L" localSheetId="1">[3]Data!#REF!</definedName>
    <definedName name="DESC108L">[3]Data!#REF!</definedName>
    <definedName name="DESC108M" localSheetId="1">[3]Data!#REF!</definedName>
    <definedName name="DESC108M">[3]Data!#REF!</definedName>
    <definedName name="DESC108N" localSheetId="1">[3]Data!#REF!</definedName>
    <definedName name="DESC108N">[3]Data!#REF!</definedName>
    <definedName name="DESC108O" localSheetId="1">[3]Data!#REF!</definedName>
    <definedName name="DESC108O">[3]Data!#REF!</definedName>
    <definedName name="DESC108P" localSheetId="1">[3]Data!#REF!</definedName>
    <definedName name="DESC108P">[3]Data!#REF!</definedName>
    <definedName name="DESC109" localSheetId="1">[3]Data!#REF!</definedName>
    <definedName name="DESC109">[3]Data!#REF!</definedName>
    <definedName name="DESC109A" localSheetId="1">[3]Data!#REF!</definedName>
    <definedName name="DESC109A">[3]Data!#REF!</definedName>
    <definedName name="DESC109B" localSheetId="1">[3]Data!#REF!</definedName>
    <definedName name="DESC109B">[3]Data!#REF!</definedName>
    <definedName name="DESC109C" localSheetId="1">[3]Data!#REF!</definedName>
    <definedName name="DESC109C">[3]Data!#REF!</definedName>
    <definedName name="DESC109D" localSheetId="1">[3]Data!#REF!</definedName>
    <definedName name="DESC109D">[3]Data!#REF!</definedName>
    <definedName name="DESC109E" localSheetId="1">[3]Data!#REF!</definedName>
    <definedName name="DESC109E">[3]Data!#REF!</definedName>
    <definedName name="DESC109F" localSheetId="1">[3]Data!#REF!</definedName>
    <definedName name="DESC109F">[3]Data!#REF!</definedName>
    <definedName name="DESC109G" localSheetId="1">[3]Data!#REF!</definedName>
    <definedName name="DESC109G">[3]Data!#REF!</definedName>
    <definedName name="DESC109H" localSheetId="1">[3]Data!#REF!</definedName>
    <definedName name="DESC109H">[3]Data!#REF!</definedName>
    <definedName name="DESC109I" localSheetId="1">[3]Data!#REF!</definedName>
    <definedName name="DESC109I">[3]Data!#REF!</definedName>
    <definedName name="DESC109J" localSheetId="1">[3]Data!#REF!</definedName>
    <definedName name="DESC109J">[3]Data!#REF!</definedName>
    <definedName name="DESC109K" localSheetId="1">[3]Data!#REF!</definedName>
    <definedName name="DESC109K">[3]Data!#REF!</definedName>
    <definedName name="DESC109L" localSheetId="1">[3]Data!#REF!</definedName>
    <definedName name="DESC109L">[3]Data!#REF!</definedName>
    <definedName name="DESC109M" localSheetId="1">[3]Data!#REF!</definedName>
    <definedName name="DESC109M">[3]Data!#REF!</definedName>
    <definedName name="DESC109N" localSheetId="1">[3]Data!#REF!</definedName>
    <definedName name="DESC109N">[3]Data!#REF!</definedName>
    <definedName name="DESC109O" localSheetId="1">[3]Data!#REF!</definedName>
    <definedName name="DESC109O">[3]Data!#REF!</definedName>
    <definedName name="DESC109P" localSheetId="1">[3]Data!#REF!</definedName>
    <definedName name="DESC109P">[3]Data!#REF!</definedName>
    <definedName name="DESC110" localSheetId="1">[3]Data!#REF!</definedName>
    <definedName name="DESC110">[3]Data!#REF!</definedName>
    <definedName name="DESC110A" localSheetId="1">[3]Data!#REF!</definedName>
    <definedName name="DESC110A">[3]Data!#REF!</definedName>
    <definedName name="DESC110B" localSheetId="1">[3]Data!#REF!</definedName>
    <definedName name="DESC110B">[3]Data!#REF!</definedName>
    <definedName name="DESC110C" localSheetId="1">[3]Data!#REF!</definedName>
    <definedName name="DESC110C">[3]Data!#REF!</definedName>
    <definedName name="DESC110D" localSheetId="1">[3]Data!#REF!</definedName>
    <definedName name="DESC110D">[3]Data!#REF!</definedName>
    <definedName name="DESC110E" localSheetId="1">[3]Data!#REF!</definedName>
    <definedName name="DESC110E">[3]Data!#REF!</definedName>
    <definedName name="DESC110F" localSheetId="1">[3]Data!#REF!</definedName>
    <definedName name="DESC110F">[3]Data!#REF!</definedName>
    <definedName name="DESC110G" localSheetId="1">[3]Data!#REF!</definedName>
    <definedName name="DESC110G">[3]Data!#REF!</definedName>
    <definedName name="DESC110H" localSheetId="1">[3]Data!#REF!</definedName>
    <definedName name="DESC110H">[3]Data!#REF!</definedName>
    <definedName name="DESC110I" localSheetId="1">[3]Data!#REF!</definedName>
    <definedName name="DESC110I">[3]Data!#REF!</definedName>
    <definedName name="DESC110J" localSheetId="1">[3]Data!#REF!</definedName>
    <definedName name="DESC110J">[3]Data!#REF!</definedName>
    <definedName name="DESC110K" localSheetId="1">[3]Data!#REF!</definedName>
    <definedName name="DESC110K">[3]Data!#REF!</definedName>
    <definedName name="DESC110L" localSheetId="1">[3]Data!#REF!</definedName>
    <definedName name="DESC110L">[3]Data!#REF!</definedName>
    <definedName name="DESC110M" localSheetId="1">[3]Data!#REF!</definedName>
    <definedName name="DESC110M">[3]Data!#REF!</definedName>
    <definedName name="DESC110N" localSheetId="1">[3]Data!#REF!</definedName>
    <definedName name="DESC110N">[3]Data!#REF!</definedName>
    <definedName name="DESC110O" localSheetId="1">[3]Data!#REF!</definedName>
    <definedName name="DESC110O">[3]Data!#REF!</definedName>
    <definedName name="DESC110P" localSheetId="1">[3]Data!#REF!</definedName>
    <definedName name="DESC110P">[3]Data!#REF!</definedName>
    <definedName name="DESC111" localSheetId="1">[3]Data!#REF!</definedName>
    <definedName name="DESC111">[3]Data!#REF!</definedName>
    <definedName name="DESC111A" localSheetId="1">[3]Data!#REF!</definedName>
    <definedName name="DESC111A">[3]Data!#REF!</definedName>
    <definedName name="DESC111B" localSheetId="1">[3]Data!#REF!</definedName>
    <definedName name="DESC111B">[3]Data!#REF!</definedName>
    <definedName name="DESC111C" localSheetId="1">[3]Data!#REF!</definedName>
    <definedName name="DESC111C">[3]Data!#REF!</definedName>
    <definedName name="DESC111D" localSheetId="1">[3]Data!#REF!</definedName>
    <definedName name="DESC111D">[3]Data!#REF!</definedName>
    <definedName name="DESC111E" localSheetId="1">[3]Data!#REF!</definedName>
    <definedName name="DESC111E">[3]Data!#REF!</definedName>
    <definedName name="DESC111F" localSheetId="1">[3]Data!#REF!</definedName>
    <definedName name="DESC111F">[3]Data!#REF!</definedName>
    <definedName name="DESC111G" localSheetId="1">[3]Data!#REF!</definedName>
    <definedName name="DESC111G">[3]Data!#REF!</definedName>
    <definedName name="DESC111H" localSheetId="1">[3]Data!#REF!</definedName>
    <definedName name="DESC111H">[3]Data!#REF!</definedName>
    <definedName name="DESC111I" localSheetId="1">[3]Data!#REF!</definedName>
    <definedName name="DESC111I">[3]Data!#REF!</definedName>
    <definedName name="DESC111J" localSheetId="1">[3]Data!#REF!</definedName>
    <definedName name="DESC111J">[3]Data!#REF!</definedName>
    <definedName name="DESC111K" localSheetId="1">[3]Data!#REF!</definedName>
    <definedName name="DESC111K">[3]Data!#REF!</definedName>
    <definedName name="DESC111L" localSheetId="1">[3]Data!#REF!</definedName>
    <definedName name="DESC111L">[3]Data!#REF!</definedName>
    <definedName name="DESC111M" localSheetId="1">[3]Data!#REF!</definedName>
    <definedName name="DESC111M">[3]Data!#REF!</definedName>
    <definedName name="DESC111N" localSheetId="1">[3]Data!#REF!</definedName>
    <definedName name="DESC111N">[3]Data!#REF!</definedName>
    <definedName name="DESC111O" localSheetId="1">[3]Data!#REF!</definedName>
    <definedName name="DESC111O">[3]Data!#REF!</definedName>
    <definedName name="DESC111P" localSheetId="1">[3]Data!#REF!</definedName>
    <definedName name="DESC111P">[3]Data!#REF!</definedName>
    <definedName name="DESC112" localSheetId="1">[3]Data!#REF!</definedName>
    <definedName name="DESC112">[3]Data!#REF!</definedName>
    <definedName name="DESC112A" localSheetId="1">[3]Data!#REF!</definedName>
    <definedName name="DESC112A">[3]Data!#REF!</definedName>
    <definedName name="DESC112B" localSheetId="1">[3]Data!#REF!</definedName>
    <definedName name="DESC112B">[3]Data!#REF!</definedName>
    <definedName name="DESC112C" localSheetId="1">[3]Data!#REF!</definedName>
    <definedName name="DESC112C">[3]Data!#REF!</definedName>
    <definedName name="DESC112D" localSheetId="1">[3]Data!#REF!</definedName>
    <definedName name="DESC112D">[3]Data!#REF!</definedName>
    <definedName name="DESC112E" localSheetId="1">[3]Data!#REF!</definedName>
    <definedName name="DESC112E">[3]Data!#REF!</definedName>
    <definedName name="DESC112F" localSheetId="1">[3]Data!#REF!</definedName>
    <definedName name="DESC112F">[3]Data!#REF!</definedName>
    <definedName name="DESC112G" localSheetId="1">[3]Data!#REF!</definedName>
    <definedName name="DESC112G">[3]Data!#REF!</definedName>
    <definedName name="DESC112H" localSheetId="1">[3]Data!#REF!</definedName>
    <definedName name="DESC112H">[3]Data!#REF!</definedName>
    <definedName name="DESC112I" localSheetId="1">[3]Data!#REF!</definedName>
    <definedName name="DESC112I">[3]Data!#REF!</definedName>
    <definedName name="DESC112J" localSheetId="1">[3]Data!#REF!</definedName>
    <definedName name="DESC112J">[3]Data!#REF!</definedName>
    <definedName name="DESC112K" localSheetId="1">[3]Data!#REF!</definedName>
    <definedName name="DESC112K">[3]Data!#REF!</definedName>
    <definedName name="DESC112L" localSheetId="1">[3]Data!#REF!</definedName>
    <definedName name="DESC112L">[3]Data!#REF!</definedName>
    <definedName name="DESC112M" localSheetId="1">[3]Data!#REF!</definedName>
    <definedName name="DESC112M">[3]Data!#REF!</definedName>
    <definedName name="DESC112N" localSheetId="1">[3]Data!#REF!</definedName>
    <definedName name="DESC112N">[3]Data!#REF!</definedName>
    <definedName name="DESC112O" localSheetId="1">[3]Data!#REF!</definedName>
    <definedName name="DESC112O">[3]Data!#REF!</definedName>
    <definedName name="DESC112P" localSheetId="1">[3]Data!#REF!</definedName>
    <definedName name="DESC112P">[3]Data!#REF!</definedName>
    <definedName name="DESC113" localSheetId="1">[3]Data!#REF!</definedName>
    <definedName name="DESC113">[3]Data!#REF!</definedName>
    <definedName name="DESC113A" localSheetId="1">[3]Data!#REF!</definedName>
    <definedName name="DESC113A">[3]Data!#REF!</definedName>
    <definedName name="DESC113B" localSheetId="1">[3]Data!#REF!</definedName>
    <definedName name="DESC113B">[3]Data!#REF!</definedName>
    <definedName name="DESC113C" localSheetId="1">[3]Data!#REF!</definedName>
    <definedName name="DESC113C">[3]Data!#REF!</definedName>
    <definedName name="DESC113D" localSheetId="1">[3]Data!#REF!</definedName>
    <definedName name="DESC113D">[3]Data!#REF!</definedName>
    <definedName name="DESC113E" localSheetId="1">[3]Data!#REF!</definedName>
    <definedName name="DESC113E">[3]Data!#REF!</definedName>
    <definedName name="DESC113F" localSheetId="1">[3]Data!#REF!</definedName>
    <definedName name="DESC113F">[3]Data!#REF!</definedName>
    <definedName name="DESC113G" localSheetId="1">[3]Data!#REF!</definedName>
    <definedName name="DESC113G">[3]Data!#REF!</definedName>
    <definedName name="DESC113H" localSheetId="1">[3]Data!#REF!</definedName>
    <definedName name="DESC113H">[3]Data!#REF!</definedName>
    <definedName name="DESC113I" localSheetId="1">[3]Data!#REF!</definedName>
    <definedName name="DESC113I">[3]Data!#REF!</definedName>
    <definedName name="DESC113J" localSheetId="1">[3]Data!#REF!</definedName>
    <definedName name="DESC113J">[3]Data!#REF!</definedName>
    <definedName name="DESC113K" localSheetId="1">[3]Data!#REF!</definedName>
    <definedName name="DESC113K">[3]Data!#REF!</definedName>
    <definedName name="DESC114" localSheetId="1">[3]Data!#REF!</definedName>
    <definedName name="DESC114">[3]Data!#REF!</definedName>
    <definedName name="DESC115" localSheetId="1">[3]Data!#REF!</definedName>
    <definedName name="DESC115">[3]Data!#REF!</definedName>
    <definedName name="DESC116" localSheetId="1">[3]Data!#REF!</definedName>
    <definedName name="DESC116">[3]Data!#REF!</definedName>
    <definedName name="DESC117" localSheetId="1">[3]Data!#REF!</definedName>
    <definedName name="DESC117">[3]Data!#REF!</definedName>
    <definedName name="DESC118" localSheetId="1">[3]Data!#REF!</definedName>
    <definedName name="DESC118">[3]Data!#REF!</definedName>
    <definedName name="DESC119" localSheetId="1">[3]Data!#REF!</definedName>
    <definedName name="DESC119">[3]Data!#REF!</definedName>
    <definedName name="DESC120" localSheetId="1">[3]Data!#REF!</definedName>
    <definedName name="DESC120">[3]Data!#REF!</definedName>
    <definedName name="DESC121" localSheetId="1">[3]Data!#REF!</definedName>
    <definedName name="DESC121">[3]Data!#REF!</definedName>
    <definedName name="DESC122" localSheetId="1">[3]Data!#REF!</definedName>
    <definedName name="DESC122">[3]Data!#REF!</definedName>
    <definedName name="DESC123" localSheetId="1">[3]Data!#REF!</definedName>
    <definedName name="DESC123">[3]Data!#REF!</definedName>
    <definedName name="DESC124" localSheetId="1">[3]Data!#REF!</definedName>
    <definedName name="DESC124">[3]Data!#REF!</definedName>
    <definedName name="DESC125" localSheetId="1">[3]Data!#REF!</definedName>
    <definedName name="DESC125">[3]Data!#REF!</definedName>
    <definedName name="DESC126" localSheetId="1">[3]Data!#REF!</definedName>
    <definedName name="DESC126">[3]Data!#REF!</definedName>
    <definedName name="DESC127" localSheetId="1">[3]Data!#REF!</definedName>
    <definedName name="DESC127">[3]Data!#REF!</definedName>
    <definedName name="DESC127A" localSheetId="1">[3]Data!#REF!</definedName>
    <definedName name="DESC127A">[3]Data!#REF!</definedName>
    <definedName name="DESC127B" localSheetId="1">[3]Data!#REF!</definedName>
    <definedName name="DESC127B">[3]Data!#REF!</definedName>
    <definedName name="DESC127C" localSheetId="1">[3]Data!#REF!</definedName>
    <definedName name="DESC127C">[3]Data!#REF!</definedName>
    <definedName name="DESC127D" localSheetId="1">[3]Data!#REF!</definedName>
    <definedName name="DESC127D">[3]Data!#REF!</definedName>
    <definedName name="DESC127E" localSheetId="1">[3]Data!#REF!</definedName>
    <definedName name="DESC127E">[3]Data!#REF!</definedName>
    <definedName name="DESC127F" localSheetId="1">[3]Data!#REF!</definedName>
    <definedName name="DESC127F">[3]Data!#REF!</definedName>
    <definedName name="DESC127G" localSheetId="1">[3]Data!#REF!</definedName>
    <definedName name="DESC127G">[3]Data!#REF!</definedName>
    <definedName name="DESC127H" localSheetId="1">[3]Data!#REF!</definedName>
    <definedName name="DESC127H">[3]Data!#REF!</definedName>
    <definedName name="DESC127I" localSheetId="1">[3]Data!#REF!</definedName>
    <definedName name="DESC127I">[3]Data!#REF!</definedName>
    <definedName name="DESC127J" localSheetId="1">[3]Data!#REF!</definedName>
    <definedName name="DESC127J">[3]Data!#REF!</definedName>
    <definedName name="DESC128" localSheetId="1">[3]Data!#REF!</definedName>
    <definedName name="DESC128">[3]Data!#REF!</definedName>
    <definedName name="DESC128A" localSheetId="1">[3]Data!#REF!</definedName>
    <definedName name="DESC128A">[3]Data!#REF!</definedName>
    <definedName name="DESC128B" localSheetId="1">[3]Data!#REF!</definedName>
    <definedName name="DESC128B">[3]Data!#REF!</definedName>
    <definedName name="DESC128C" localSheetId="1">[3]Data!#REF!</definedName>
    <definedName name="DESC128C">[3]Data!#REF!</definedName>
    <definedName name="DESC128D" localSheetId="1">[3]Data!#REF!</definedName>
    <definedName name="DESC128D">[3]Data!#REF!</definedName>
    <definedName name="DESC128E" localSheetId="1">[3]Data!#REF!</definedName>
    <definedName name="DESC128E">[3]Data!#REF!</definedName>
    <definedName name="DESC128F" localSheetId="1">[3]Data!#REF!</definedName>
    <definedName name="DESC128F">[3]Data!#REF!</definedName>
    <definedName name="DESC128G" localSheetId="1">[3]Data!#REF!</definedName>
    <definedName name="DESC128G">[3]Data!#REF!</definedName>
    <definedName name="DESC129" localSheetId="1">[3]Data!#REF!</definedName>
    <definedName name="DESC129">[3]Data!#REF!</definedName>
    <definedName name="DESC129A" localSheetId="1">[3]Data!#REF!</definedName>
    <definedName name="DESC129A">[3]Data!#REF!</definedName>
    <definedName name="DESC129B" localSheetId="1">[3]Data!#REF!</definedName>
    <definedName name="DESC129B">[3]Data!#REF!</definedName>
    <definedName name="DESC129C" localSheetId="1">[3]Data!#REF!</definedName>
    <definedName name="DESC129C">[3]Data!#REF!</definedName>
    <definedName name="DESC129D" localSheetId="1">[3]Data!#REF!</definedName>
    <definedName name="DESC129D">[3]Data!#REF!</definedName>
    <definedName name="DESC130" localSheetId="1">[3]Data!#REF!</definedName>
    <definedName name="DESC130">[3]Data!#REF!</definedName>
    <definedName name="DESC130A" localSheetId="1">[3]Data!#REF!</definedName>
    <definedName name="DESC130A">[3]Data!#REF!</definedName>
    <definedName name="DESC130B" localSheetId="1">[3]Data!#REF!</definedName>
    <definedName name="DESC130B">[3]Data!#REF!</definedName>
    <definedName name="DESC131" localSheetId="1">[3]Data!#REF!</definedName>
    <definedName name="DESC131">[3]Data!#REF!</definedName>
    <definedName name="DESC132" localSheetId="1">[3]Data!#REF!</definedName>
    <definedName name="DESC132">[3]Data!#REF!</definedName>
    <definedName name="DESC133" localSheetId="1">[3]Data!#REF!</definedName>
    <definedName name="DESC133">[3]Data!#REF!</definedName>
    <definedName name="DESC14" localSheetId="1">[3]Data!#REF!</definedName>
    <definedName name="DESC14">[3]Data!#REF!</definedName>
    <definedName name="DESC143" localSheetId="1">[3]Data!#REF!</definedName>
    <definedName name="DESC143">[3]Data!#REF!</definedName>
    <definedName name="DESC144" localSheetId="1">[3]Data!#REF!</definedName>
    <definedName name="DESC144">[3]Data!#REF!</definedName>
    <definedName name="DESC145" localSheetId="1">[3]Data!#REF!</definedName>
    <definedName name="DESC145">[3]Data!#REF!</definedName>
    <definedName name="DESC146" localSheetId="1">[3]Data!#REF!</definedName>
    <definedName name="DESC146">[3]Data!#REF!</definedName>
    <definedName name="DESC147" localSheetId="1">[3]Data!#REF!</definedName>
    <definedName name="DESC147">[3]Data!#REF!</definedName>
    <definedName name="DESC148" localSheetId="1">[3]Data!#REF!</definedName>
    <definedName name="DESC148">[3]Data!#REF!</definedName>
    <definedName name="DESC149" localSheetId="1">[3]Data!#REF!</definedName>
    <definedName name="DESC149">[3]Data!#REF!</definedName>
    <definedName name="DESC150" localSheetId="1">[3]Data!#REF!</definedName>
    <definedName name="DESC150">[3]Data!#REF!</definedName>
    <definedName name="DESC152" localSheetId="1">[3]Data!#REF!</definedName>
    <definedName name="DESC152">[3]Data!#REF!</definedName>
    <definedName name="DESC153" localSheetId="1">[3]Data!#REF!</definedName>
    <definedName name="DESC153">[3]Data!#REF!</definedName>
    <definedName name="DESC154" localSheetId="1">[3]Data!#REF!</definedName>
    <definedName name="DESC154">[3]Data!#REF!</definedName>
    <definedName name="DESC155" localSheetId="1">[3]Data!#REF!</definedName>
    <definedName name="DESC155">[3]Data!#REF!</definedName>
    <definedName name="DESC156" localSheetId="1">[3]Data!#REF!</definedName>
    <definedName name="DESC156">[3]Data!#REF!</definedName>
    <definedName name="DESC157" localSheetId="1">[3]Data!#REF!</definedName>
    <definedName name="DESC157">[3]Data!#REF!</definedName>
    <definedName name="DESC158" localSheetId="1">[3]Data!#REF!</definedName>
    <definedName name="DESC158">[3]Data!#REF!</definedName>
    <definedName name="DESC16" localSheetId="1">[3]Data!#REF!</definedName>
    <definedName name="DESC16">[3]Data!#REF!</definedName>
    <definedName name="DESC18" localSheetId="1">[3]Data!#REF!</definedName>
    <definedName name="DESC18">[3]Data!#REF!</definedName>
    <definedName name="DESC19" localSheetId="1">[3]Data!#REF!</definedName>
    <definedName name="DESC19">[3]Data!#REF!</definedName>
    <definedName name="DESC20" localSheetId="1">[3]Data!#REF!</definedName>
    <definedName name="DESC20">[3]Data!#REF!</definedName>
    <definedName name="DESC21" localSheetId="1">[3]Data!#REF!</definedName>
    <definedName name="DESC21">[3]Data!#REF!</definedName>
    <definedName name="DESC22" localSheetId="1">[3]Data!#REF!</definedName>
    <definedName name="DESC22">[3]Data!#REF!</definedName>
    <definedName name="DESC23" localSheetId="1">[3]Data!#REF!</definedName>
    <definedName name="DESC23">[3]Data!#REF!</definedName>
    <definedName name="DESC24" localSheetId="1">[3]Data!#REF!</definedName>
    <definedName name="DESC24">[3]Data!#REF!</definedName>
    <definedName name="DESC26" localSheetId="1">[3]Data!#REF!</definedName>
    <definedName name="DESC26">[3]Data!#REF!</definedName>
    <definedName name="DESC27" localSheetId="1">[3]Data!#REF!</definedName>
    <definedName name="DESC27">[3]Data!#REF!</definedName>
    <definedName name="DESC29" localSheetId="1">[3]Data!#REF!</definedName>
    <definedName name="DESC29">[3]Data!#REF!</definedName>
    <definedName name="DESC30" localSheetId="1">[3]Data!#REF!</definedName>
    <definedName name="DESC30">[3]Data!#REF!</definedName>
    <definedName name="DESC31" localSheetId="1">[3]Data!#REF!</definedName>
    <definedName name="DESC31">[3]Data!#REF!</definedName>
    <definedName name="DESC32" localSheetId="1">[3]Data!#REF!</definedName>
    <definedName name="DESC32">[3]Data!#REF!</definedName>
    <definedName name="DESC33" localSheetId="1">[3]Data!#REF!</definedName>
    <definedName name="DESC33">[3]Data!#REF!</definedName>
    <definedName name="DESC34" localSheetId="1">[3]Data!#REF!</definedName>
    <definedName name="DESC34">[3]Data!#REF!</definedName>
    <definedName name="DESC35" localSheetId="1">[3]Data!#REF!</definedName>
    <definedName name="DESC35">[3]Data!#REF!</definedName>
    <definedName name="DESC36" localSheetId="1">[3]Data!#REF!</definedName>
    <definedName name="DESC36">[3]Data!#REF!</definedName>
    <definedName name="DESC37" localSheetId="1">[3]Data!#REF!</definedName>
    <definedName name="DESC37">[3]Data!#REF!</definedName>
    <definedName name="DESC38" localSheetId="1">[3]Data!#REF!</definedName>
    <definedName name="DESC38">[3]Data!#REF!</definedName>
    <definedName name="DESC39" localSheetId="1">[3]Data!#REF!</definedName>
    <definedName name="DESC39">[3]Data!#REF!</definedName>
    <definedName name="DESC40" localSheetId="1">[3]Data!#REF!</definedName>
    <definedName name="DESC40">[3]Data!#REF!</definedName>
    <definedName name="DESC41" localSheetId="1">[3]Data!#REF!</definedName>
    <definedName name="DESC41">[3]Data!#REF!</definedName>
    <definedName name="DESC42" localSheetId="1">[3]Data!#REF!</definedName>
    <definedName name="DESC42">[3]Data!#REF!</definedName>
    <definedName name="DESC43" localSheetId="1">[3]Data!#REF!</definedName>
    <definedName name="DESC43">[3]Data!#REF!</definedName>
    <definedName name="DESC44" localSheetId="1">[3]Data!#REF!</definedName>
    <definedName name="DESC44">[3]Data!#REF!</definedName>
    <definedName name="DESC45" localSheetId="1">[3]Data!#REF!</definedName>
    <definedName name="DESC45">[3]Data!#REF!</definedName>
    <definedName name="DESC46" localSheetId="1">[3]Data!#REF!</definedName>
    <definedName name="DESC46">[3]Data!#REF!</definedName>
    <definedName name="DESC47" localSheetId="1">[3]Data!#REF!</definedName>
    <definedName name="DESC47">[3]Data!#REF!</definedName>
    <definedName name="DESC48" localSheetId="1">[3]Data!#REF!</definedName>
    <definedName name="DESC48">[3]Data!#REF!</definedName>
    <definedName name="DESC49" localSheetId="1">[3]Data!#REF!</definedName>
    <definedName name="DESC49">[3]Data!#REF!</definedName>
    <definedName name="DESC50" localSheetId="1">[3]Data!#REF!</definedName>
    <definedName name="DESC50">[3]Data!#REF!</definedName>
    <definedName name="DESC51" localSheetId="1">[3]Data!#REF!</definedName>
    <definedName name="DESC51">[3]Data!#REF!</definedName>
    <definedName name="DESC52" localSheetId="1">[3]Data!#REF!</definedName>
    <definedName name="DESC52">[3]Data!#REF!</definedName>
    <definedName name="DESC54" localSheetId="1">[3]Data!#REF!</definedName>
    <definedName name="DESC54">[3]Data!#REF!</definedName>
    <definedName name="DESC56" localSheetId="1">[3]Data!#REF!</definedName>
    <definedName name="DESC56">[3]Data!#REF!</definedName>
    <definedName name="DESC57" localSheetId="1">[3]Data!#REF!</definedName>
    <definedName name="DESC57">[3]Data!#REF!</definedName>
    <definedName name="DESC58" localSheetId="1">[3]Data!#REF!</definedName>
    <definedName name="DESC58">[3]Data!#REF!</definedName>
    <definedName name="DESC59" localSheetId="1">[3]Data!#REF!</definedName>
    <definedName name="DESC59">[3]Data!#REF!</definedName>
    <definedName name="DESC60" localSheetId="1">[3]Data!#REF!</definedName>
    <definedName name="DESC60">[3]Data!#REF!</definedName>
    <definedName name="DESC61" localSheetId="1">[3]Data!#REF!</definedName>
    <definedName name="DESC61">[3]Data!#REF!</definedName>
    <definedName name="DESC63" localSheetId="1">[3]Data!#REF!</definedName>
    <definedName name="DESC63">[3]Data!#REF!</definedName>
    <definedName name="DESC64" localSheetId="1">[3]Data!#REF!</definedName>
    <definedName name="DESC64">[3]Data!#REF!</definedName>
    <definedName name="DESC65" localSheetId="1">[3]Data!#REF!</definedName>
    <definedName name="DESC65">[3]Data!#REF!</definedName>
    <definedName name="DESC66" localSheetId="1">[3]Data!#REF!</definedName>
    <definedName name="DESC66">[3]Data!#REF!</definedName>
    <definedName name="DESC68" localSheetId="1">[3]Data!#REF!</definedName>
    <definedName name="DESC68">[3]Data!#REF!</definedName>
    <definedName name="DESC69" localSheetId="1">[3]Data!#REF!</definedName>
    <definedName name="DESC69">[3]Data!#REF!</definedName>
    <definedName name="DESC7" localSheetId="1">[3]Data!#REF!</definedName>
    <definedName name="DESC7">[3]Data!#REF!</definedName>
    <definedName name="DESC70" localSheetId="1">[3]Data!#REF!</definedName>
    <definedName name="DESC70">[3]Data!#REF!</definedName>
    <definedName name="DESC71" localSheetId="1">[3]Data!#REF!</definedName>
    <definedName name="DESC71">[3]Data!#REF!</definedName>
    <definedName name="DESC72" localSheetId="1">[3]Data!#REF!</definedName>
    <definedName name="DESC72">[3]Data!#REF!</definedName>
    <definedName name="DESC73" localSheetId="1">[3]Data!#REF!</definedName>
    <definedName name="DESC73">[3]Data!#REF!</definedName>
    <definedName name="DESC74" localSheetId="1">[3]Data!#REF!</definedName>
    <definedName name="DESC74">[3]Data!#REF!</definedName>
    <definedName name="DESC77" localSheetId="1">[3]Data!#REF!</definedName>
    <definedName name="DESC77">[3]Data!#REF!</definedName>
    <definedName name="DESC78" localSheetId="1">[3]Data!#REF!</definedName>
    <definedName name="DESC78">[3]Data!#REF!</definedName>
    <definedName name="DESC79" localSheetId="1">[3]Data!#REF!</definedName>
    <definedName name="DESC79">[3]Data!#REF!</definedName>
    <definedName name="DESC79A" localSheetId="1">[3]Data!#REF!</definedName>
    <definedName name="DESC79A">[3]Data!#REF!</definedName>
    <definedName name="DESC79B" localSheetId="1">[3]Data!#REF!</definedName>
    <definedName name="DESC79B">[3]Data!#REF!</definedName>
    <definedName name="DESC79C" localSheetId="1">[3]Data!#REF!</definedName>
    <definedName name="DESC79C">[3]Data!#REF!</definedName>
    <definedName name="DESC80" localSheetId="1">[3]Data!#REF!</definedName>
    <definedName name="DESC80">[3]Data!#REF!</definedName>
    <definedName name="DESC80A" localSheetId="1">[3]Data!#REF!</definedName>
    <definedName name="DESC80A">[3]Data!#REF!</definedName>
    <definedName name="DESC80B" localSheetId="1">[3]Data!#REF!</definedName>
    <definedName name="DESC80B">[3]Data!#REF!</definedName>
    <definedName name="DESC80C" localSheetId="1">[3]Data!#REF!</definedName>
    <definedName name="DESC80C">[3]Data!#REF!</definedName>
    <definedName name="DESC81" localSheetId="1">[3]Data!#REF!</definedName>
    <definedName name="DESC81">[3]Data!#REF!</definedName>
    <definedName name="DESC82" localSheetId="1">[3]Data!#REF!</definedName>
    <definedName name="DESC82">[3]Data!#REF!</definedName>
    <definedName name="DESC85" localSheetId="1">[3]Data!#REF!</definedName>
    <definedName name="DESC85">[3]Data!#REF!</definedName>
    <definedName name="DESC86" localSheetId="1">[3]Data!#REF!</definedName>
    <definedName name="DESC86">[3]Data!#REF!</definedName>
    <definedName name="DESC87" localSheetId="1">[3]Data!#REF!</definedName>
    <definedName name="DESC87">[3]Data!#REF!</definedName>
    <definedName name="DESC88" localSheetId="1">[3]Data!#REF!</definedName>
    <definedName name="DESC88">[3]Data!#REF!</definedName>
    <definedName name="DESC92" localSheetId="1">[3]Data!#REF!</definedName>
    <definedName name="DESC92">[3]Data!#REF!</definedName>
    <definedName name="DESC93" localSheetId="1">[3]Data!#REF!</definedName>
    <definedName name="DESC93">[3]Data!#REF!</definedName>
    <definedName name="DESC94" localSheetId="1">[3]Data!#REF!</definedName>
    <definedName name="DESC94">[3]Data!#REF!</definedName>
    <definedName name="DESC95" localSheetId="1">[3]Data!#REF!</definedName>
    <definedName name="DESC95">[3]Data!#REF!</definedName>
    <definedName name="DESC98" localSheetId="1">[3]Data!#REF!</definedName>
    <definedName name="DESC98">[3]Data!#REF!</definedName>
    <definedName name="DESC99" localSheetId="1">[3]Data!#REF!</definedName>
    <definedName name="DESC99">[3]Data!#REF!</definedName>
    <definedName name="Detonator" localSheetId="1">#REF!</definedName>
    <definedName name="Detonator">#REF!</definedName>
    <definedName name="diesel" localSheetId="1">#REF!</definedName>
    <definedName name="diesel">#REF!</definedName>
    <definedName name="dozer" localSheetId="1">#REF!</definedName>
    <definedName name="dozer">#REF!</definedName>
    <definedName name="dozer200" localSheetId="1">#REF!</definedName>
    <definedName name="dozer200">#REF!</definedName>
    <definedName name="dresser" localSheetId="1">#REF!</definedName>
    <definedName name="dresser">#REF!</definedName>
    <definedName name="driller" localSheetId="1">#REF!</definedName>
    <definedName name="driller">#REF!</definedName>
    <definedName name="drillingequipment" localSheetId="1">#REF!</definedName>
    <definedName name="drillingequipment">#REF!</definedName>
    <definedName name="Dust" localSheetId="1">#REF!</definedName>
    <definedName name="Dust">#REF!</definedName>
    <definedName name="electrician" localSheetId="1">#REF!</definedName>
    <definedName name="electrician">#REF!</definedName>
    <definedName name="emb" hidden="1">{"Execavation",#N/A,FALSE,"furniture (employer)"}</definedName>
    <definedName name="emulsion" localSheetId="1">#REF!</definedName>
    <definedName name="emulsion">#REF!</definedName>
    <definedName name="ESSR1" localSheetId="1">#REF!</definedName>
    <definedName name="ESSR1">#REF!</definedName>
    <definedName name="ESSR10" localSheetId="1">#REF!</definedName>
    <definedName name="ESSR10">#REF!</definedName>
    <definedName name="ESSR11" localSheetId="1">#REF!</definedName>
    <definedName name="ESSR11">#REF!</definedName>
    <definedName name="ESSR12" localSheetId="1">#REF!</definedName>
    <definedName name="ESSR12">#REF!</definedName>
    <definedName name="ESSR13" localSheetId="1">#REF!</definedName>
    <definedName name="ESSR13">#REF!</definedName>
    <definedName name="ESSR2" localSheetId="1">#REF!</definedName>
    <definedName name="ESSR2">#REF!</definedName>
    <definedName name="ESSR3" localSheetId="1">#REF!</definedName>
    <definedName name="ESSR3">#REF!</definedName>
    <definedName name="ESSR4" localSheetId="1">#REF!</definedName>
    <definedName name="ESSR4">#REF!</definedName>
    <definedName name="ESSR5" localSheetId="1">#REF!</definedName>
    <definedName name="ESSR5">#REF!</definedName>
    <definedName name="ESSR6" localSheetId="1">#REF!</definedName>
    <definedName name="ESSR6">#REF!</definedName>
    <definedName name="ESSR7" localSheetId="1">#REF!</definedName>
    <definedName name="ESSR7">#REF!</definedName>
    <definedName name="ESSR8" localSheetId="1">#REF!</definedName>
    <definedName name="ESSR8">#REF!</definedName>
    <definedName name="ESSR9" localSheetId="1">#REF!</definedName>
    <definedName name="ESSR9">#REF!</definedName>
    <definedName name="excavator" localSheetId="1">#REF!</definedName>
    <definedName name="excavator">#REF!</definedName>
    <definedName name="facia" localSheetId="1">#REF!</definedName>
    <definedName name="facia">#REF!</definedName>
    <definedName name="faciastone">'[2]Material '!$G$51</definedName>
    <definedName name="fiberboard" localSheetId="1">#REF!</definedName>
    <definedName name="fiberboard">#REF!</definedName>
    <definedName name="fiberboard20" localSheetId="1">#REF!</definedName>
    <definedName name="fiberboard20">#REF!</definedName>
    <definedName name="fiberboard5" localSheetId="1">#REF!</definedName>
    <definedName name="fiberboard5">#REF!</definedName>
    <definedName name="fibreboard12" localSheetId="1">#REF!</definedName>
    <definedName name="fibreboard12">#REF!</definedName>
    <definedName name="fitter" localSheetId="1">#REF!</definedName>
    <definedName name="fitter">#REF!</definedName>
    <definedName name="fo" hidden="1">{"Execavation",#N/A,FALSE,"furniture (employer)"}</definedName>
    <definedName name="foren" hidden="1">{"Execavation",#N/A,FALSE,"furniture (employer)"}</definedName>
    <definedName name="fusewire" localSheetId="1">#REF!</definedName>
    <definedName name="fusewire">#REF!</definedName>
    <definedName name="gelatine" localSheetId="1">#REF!</definedName>
    <definedName name="gelatine">#REF!</definedName>
    <definedName name="geofabric" localSheetId="1">#REF!</definedName>
    <definedName name="geofabric">#REF!</definedName>
    <definedName name="grader" localSheetId="1">#REF!</definedName>
    <definedName name="grader">#REF!</definedName>
    <definedName name="Hammerman" localSheetId="1">#REF!</definedName>
    <definedName name="Hammerman">#REF!</definedName>
    <definedName name="headblacksmith" localSheetId="1">#REF!</definedName>
    <definedName name="headblacksmith">#REF!</definedName>
    <definedName name="headmason" localSheetId="1">#REF!</definedName>
    <definedName name="headmason">#REF!</definedName>
    <definedName name="hmplant" localSheetId="1">#REF!</definedName>
    <definedName name="hmplant">#REF!</definedName>
    <definedName name="hmplant10" localSheetId="1">#REF!</definedName>
    <definedName name="hmplant10">#REF!</definedName>
    <definedName name="hmplant30" localSheetId="1">#REF!</definedName>
    <definedName name="hmplant30">#REF!</definedName>
    <definedName name="hotmixmidium" localSheetId="1">#REF!</definedName>
    <definedName name="hotmixmidium">#REF!</definedName>
    <definedName name="hotmixplant" localSheetId="1">#REF!</definedName>
    <definedName name="hotmixplant">#REF!</definedName>
    <definedName name="hotmixsmall" localSheetId="1">#REF!</definedName>
    <definedName name="hotmixsmall">#REF!</definedName>
    <definedName name="humepipe1000" localSheetId="1">#REF!</definedName>
    <definedName name="humepipe1000">#REF!</definedName>
    <definedName name="humepipe1200">'[2]Material '!$G$48</definedName>
    <definedName name="Humepipe600" localSheetId="1">#REF!</definedName>
    <definedName name="Humepipe600">#REF!</definedName>
    <definedName name="Humepipe900" localSheetId="1">#REF!</definedName>
    <definedName name="Humepipe900">#REF!</definedName>
    <definedName name="humepipenp3">'[2]Material '!$G$49</definedName>
    <definedName name="khalasi" localSheetId="1">#REF!</definedName>
    <definedName name="khalasi">#REF!</definedName>
    <definedName name="lead">'[4]Material '!$S$11</definedName>
    <definedName name="loader" localSheetId="1">#REF!</definedName>
    <definedName name="loader">#REF!</definedName>
    <definedName name="LSNO1" localSheetId="1">#REF!</definedName>
    <definedName name="LSNO1">#REF!</definedName>
    <definedName name="LSNO10" localSheetId="1">#REF!</definedName>
    <definedName name="LSNO10">#REF!</definedName>
    <definedName name="LSNO100" localSheetId="1">#REF!</definedName>
    <definedName name="LSNO100">#REF!</definedName>
    <definedName name="LSNO101" localSheetId="1">#REF!</definedName>
    <definedName name="LSNO101">#REF!</definedName>
    <definedName name="LSNO102" localSheetId="1">#REF!</definedName>
    <definedName name="LSNO102">#REF!</definedName>
    <definedName name="LSNO103" localSheetId="1">#REF!</definedName>
    <definedName name="LSNO103">#REF!</definedName>
    <definedName name="LSNO104" localSheetId="1">#REF!</definedName>
    <definedName name="LSNO104">#REF!</definedName>
    <definedName name="LSNO105" localSheetId="1">#REF!</definedName>
    <definedName name="LSNO105">#REF!</definedName>
    <definedName name="LSNO106" localSheetId="1">#REF!</definedName>
    <definedName name="LSNO106">#REF!</definedName>
    <definedName name="LSNO107" localSheetId="1">#REF!</definedName>
    <definedName name="LSNO107">#REF!</definedName>
    <definedName name="LSNO108" localSheetId="1">#REF!</definedName>
    <definedName name="LSNO108">#REF!</definedName>
    <definedName name="LSNO109" localSheetId="1">#REF!</definedName>
    <definedName name="LSNO109">#REF!</definedName>
    <definedName name="LSNO11" localSheetId="1">#REF!</definedName>
    <definedName name="LSNO11">#REF!</definedName>
    <definedName name="LSNO110" localSheetId="1">#REF!</definedName>
    <definedName name="LSNO110">#REF!</definedName>
    <definedName name="LSNO111" localSheetId="1">#REF!</definedName>
    <definedName name="LSNO111">#REF!</definedName>
    <definedName name="LSNO112" localSheetId="1">#REF!</definedName>
    <definedName name="LSNO112">#REF!</definedName>
    <definedName name="LSNO113" localSheetId="1">#REF!</definedName>
    <definedName name="LSNO113">#REF!</definedName>
    <definedName name="LSNO114" localSheetId="1">#REF!</definedName>
    <definedName name="LSNO114">#REF!</definedName>
    <definedName name="LSNO115" localSheetId="1">#REF!</definedName>
    <definedName name="LSNO115">#REF!</definedName>
    <definedName name="LSNO116" localSheetId="1">#REF!</definedName>
    <definedName name="LSNO116">#REF!</definedName>
    <definedName name="LSNO117" localSheetId="1">#REF!</definedName>
    <definedName name="LSNO117">#REF!</definedName>
    <definedName name="LSNO118" localSheetId="1">#REF!</definedName>
    <definedName name="LSNO118">#REF!</definedName>
    <definedName name="LSNO119" localSheetId="1">#REF!</definedName>
    <definedName name="LSNO119">#REF!</definedName>
    <definedName name="LSNO12" localSheetId="1">#REF!</definedName>
    <definedName name="LSNO12">#REF!</definedName>
    <definedName name="LSNO120" localSheetId="1">#REF!</definedName>
    <definedName name="LSNO120">#REF!</definedName>
    <definedName name="LSNO121" localSheetId="1">#REF!</definedName>
    <definedName name="LSNO121">#REF!</definedName>
    <definedName name="LSNO122" localSheetId="1">#REF!</definedName>
    <definedName name="LSNO122">#REF!</definedName>
    <definedName name="LSNO123" localSheetId="1">#REF!</definedName>
    <definedName name="LSNO123">#REF!</definedName>
    <definedName name="LSNO124" localSheetId="1">#REF!</definedName>
    <definedName name="LSNO124">#REF!</definedName>
    <definedName name="LSNO125" localSheetId="1">#REF!</definedName>
    <definedName name="LSNO125">#REF!</definedName>
    <definedName name="LSNO126" localSheetId="1">#REF!</definedName>
    <definedName name="LSNO126">#REF!</definedName>
    <definedName name="LSNO127" localSheetId="1">#REF!</definedName>
    <definedName name="LSNO127">#REF!</definedName>
    <definedName name="LSNO128" localSheetId="1">#REF!</definedName>
    <definedName name="LSNO128">#REF!</definedName>
    <definedName name="LSNO129" localSheetId="1">#REF!</definedName>
    <definedName name="LSNO129">#REF!</definedName>
    <definedName name="LSNO13" localSheetId="1">#REF!</definedName>
    <definedName name="LSNO13">#REF!</definedName>
    <definedName name="LSNO130" localSheetId="1">#REF!</definedName>
    <definedName name="LSNO130">#REF!</definedName>
    <definedName name="LSNO131" localSheetId="1">#REF!</definedName>
    <definedName name="LSNO131">#REF!</definedName>
    <definedName name="LSNO132" localSheetId="1">#REF!</definedName>
    <definedName name="LSNO132">#REF!</definedName>
    <definedName name="LSNO133" localSheetId="1">#REF!</definedName>
    <definedName name="LSNO133">#REF!</definedName>
    <definedName name="LSNO134" localSheetId="1">#REF!</definedName>
    <definedName name="LSNO134">#REF!</definedName>
    <definedName name="LSNO135" localSheetId="1">#REF!</definedName>
    <definedName name="LSNO135">#REF!</definedName>
    <definedName name="LSNO136" localSheetId="1">#REF!</definedName>
    <definedName name="LSNO136">#REF!</definedName>
    <definedName name="LSNO137" localSheetId="1">#REF!</definedName>
    <definedName name="LSNO137">#REF!</definedName>
    <definedName name="LSNO138" localSheetId="1">#REF!</definedName>
    <definedName name="LSNO138">#REF!</definedName>
    <definedName name="LSNO139" localSheetId="1">#REF!</definedName>
    <definedName name="LSNO139">#REF!</definedName>
    <definedName name="LSNO14" localSheetId="1">#REF!</definedName>
    <definedName name="LSNO14">#REF!</definedName>
    <definedName name="LSNO140" localSheetId="1">#REF!</definedName>
    <definedName name="LSNO140">#REF!</definedName>
    <definedName name="LSNO141" localSheetId="1">#REF!</definedName>
    <definedName name="LSNO141">#REF!</definedName>
    <definedName name="LSNO142" localSheetId="1">#REF!</definedName>
    <definedName name="LSNO142">#REF!</definedName>
    <definedName name="LSNO143" localSheetId="1">#REF!</definedName>
    <definedName name="LSNO143">#REF!</definedName>
    <definedName name="LSNO144" localSheetId="1">#REF!</definedName>
    <definedName name="LSNO144">#REF!</definedName>
    <definedName name="LSNO145" localSheetId="1">#REF!</definedName>
    <definedName name="LSNO145">#REF!</definedName>
    <definedName name="LSNO146" localSheetId="1">#REF!</definedName>
    <definedName name="LSNO146">#REF!</definedName>
    <definedName name="LSNO147" localSheetId="1">#REF!</definedName>
    <definedName name="LSNO147">#REF!</definedName>
    <definedName name="LSNO148" localSheetId="1">#REF!</definedName>
    <definedName name="LSNO148">#REF!</definedName>
    <definedName name="LSNO149" localSheetId="1">#REF!</definedName>
    <definedName name="LSNO149">#REF!</definedName>
    <definedName name="LSNO15" localSheetId="1">#REF!</definedName>
    <definedName name="LSNO15">#REF!</definedName>
    <definedName name="LSNO150" localSheetId="1">#REF!</definedName>
    <definedName name="LSNO150">#REF!</definedName>
    <definedName name="LSNO151" localSheetId="1">#REF!</definedName>
    <definedName name="LSNO151">#REF!</definedName>
    <definedName name="LSNO152" localSheetId="1">#REF!</definedName>
    <definedName name="LSNO152">#REF!</definedName>
    <definedName name="LSNO153" localSheetId="1">#REF!</definedName>
    <definedName name="LSNO153">#REF!</definedName>
    <definedName name="LSNO154" localSheetId="1">#REF!</definedName>
    <definedName name="LSNO154">#REF!</definedName>
    <definedName name="LSNO155" localSheetId="1">#REF!</definedName>
    <definedName name="LSNO155">#REF!</definedName>
    <definedName name="LSNO156" localSheetId="1">#REF!</definedName>
    <definedName name="LSNO156">#REF!</definedName>
    <definedName name="LSNO157" localSheetId="1">#REF!</definedName>
    <definedName name="LSNO157">#REF!</definedName>
    <definedName name="LSNO158" localSheetId="1">#REF!</definedName>
    <definedName name="LSNO158">#REF!</definedName>
    <definedName name="LSNO159" localSheetId="1">#REF!</definedName>
    <definedName name="LSNO159">#REF!</definedName>
    <definedName name="LSNO16" localSheetId="1">#REF!</definedName>
    <definedName name="LSNO16">#REF!</definedName>
    <definedName name="LSNO160" localSheetId="1">#REF!</definedName>
    <definedName name="LSNO160">#REF!</definedName>
    <definedName name="LSNO161" localSheetId="1">#REF!</definedName>
    <definedName name="LSNO161">#REF!</definedName>
    <definedName name="LSNO162" localSheetId="1">#REF!</definedName>
    <definedName name="LSNO162">#REF!</definedName>
    <definedName name="LSNO163" localSheetId="1">#REF!</definedName>
    <definedName name="LSNO163">#REF!</definedName>
    <definedName name="LSNO164" localSheetId="1">#REF!</definedName>
    <definedName name="LSNO164">#REF!</definedName>
    <definedName name="LSNO165" localSheetId="1">#REF!</definedName>
    <definedName name="LSNO165">#REF!</definedName>
    <definedName name="LSNO166" localSheetId="1">#REF!</definedName>
    <definedName name="LSNO166">#REF!</definedName>
    <definedName name="LSNO167" localSheetId="1">#REF!</definedName>
    <definedName name="LSNO167">#REF!</definedName>
    <definedName name="LSNO168" localSheetId="1">#REF!</definedName>
    <definedName name="LSNO168">#REF!</definedName>
    <definedName name="LSNO169" localSheetId="1">#REF!</definedName>
    <definedName name="LSNO169">#REF!</definedName>
    <definedName name="LSNO17" localSheetId="1">#REF!</definedName>
    <definedName name="LSNO17">#REF!</definedName>
    <definedName name="LSNO170" localSheetId="1">#REF!</definedName>
    <definedName name="LSNO170">#REF!</definedName>
    <definedName name="LSNO171" localSheetId="1">#REF!</definedName>
    <definedName name="LSNO171">#REF!</definedName>
    <definedName name="LSNO172" localSheetId="1">#REF!</definedName>
    <definedName name="LSNO172">#REF!</definedName>
    <definedName name="LSNO173" localSheetId="1">#REF!</definedName>
    <definedName name="LSNO173">#REF!</definedName>
    <definedName name="LSNO174" localSheetId="1">#REF!</definedName>
    <definedName name="LSNO174">#REF!</definedName>
    <definedName name="LSNO175" localSheetId="1">#REF!</definedName>
    <definedName name="LSNO175">#REF!</definedName>
    <definedName name="LSNO176" localSheetId="1">#REF!</definedName>
    <definedName name="LSNO176">#REF!</definedName>
    <definedName name="LSNO177" localSheetId="1">#REF!</definedName>
    <definedName name="LSNO177">#REF!</definedName>
    <definedName name="LSNO178" localSheetId="1">#REF!</definedName>
    <definedName name="LSNO178">#REF!</definedName>
    <definedName name="LSNO179" localSheetId="1">#REF!</definedName>
    <definedName name="LSNO179">#REF!</definedName>
    <definedName name="LSNO18" localSheetId="1">#REF!</definedName>
    <definedName name="LSNO18">#REF!</definedName>
    <definedName name="LSNO180" localSheetId="1">#REF!</definedName>
    <definedName name="LSNO180">#REF!</definedName>
    <definedName name="LSNO181" localSheetId="1">#REF!</definedName>
    <definedName name="LSNO181">#REF!</definedName>
    <definedName name="LSNO182" localSheetId="1">#REF!</definedName>
    <definedName name="LSNO182">#REF!</definedName>
    <definedName name="LSNO183" localSheetId="1">#REF!</definedName>
    <definedName name="LSNO183">#REF!</definedName>
    <definedName name="LSNO184" localSheetId="1">#REF!</definedName>
    <definedName name="LSNO184">#REF!</definedName>
    <definedName name="LSNO185" localSheetId="1">#REF!</definedName>
    <definedName name="LSNO185">#REF!</definedName>
    <definedName name="LSNO186" localSheetId="1">#REF!</definedName>
    <definedName name="LSNO186">#REF!</definedName>
    <definedName name="LSNO187" localSheetId="1">#REF!</definedName>
    <definedName name="LSNO187">#REF!</definedName>
    <definedName name="LSNO188" localSheetId="1">#REF!</definedName>
    <definedName name="LSNO188">#REF!</definedName>
    <definedName name="LSNO189" localSheetId="1">#REF!</definedName>
    <definedName name="LSNO189">#REF!</definedName>
    <definedName name="LSNO19" localSheetId="1">#REF!</definedName>
    <definedName name="LSNO19">#REF!</definedName>
    <definedName name="LSNO190" localSheetId="1">#REF!</definedName>
    <definedName name="LSNO190">#REF!</definedName>
    <definedName name="LSNO191" localSheetId="1">#REF!</definedName>
    <definedName name="LSNO191">#REF!</definedName>
    <definedName name="LSNO192" localSheetId="1">#REF!</definedName>
    <definedName name="LSNO192">#REF!</definedName>
    <definedName name="LSNO193" localSheetId="1">#REF!</definedName>
    <definedName name="LSNO193">#REF!</definedName>
    <definedName name="LSNO194" localSheetId="1">#REF!</definedName>
    <definedName name="LSNO194">#REF!</definedName>
    <definedName name="LSNO195" localSheetId="1">#REF!</definedName>
    <definedName name="LSNO195">#REF!</definedName>
    <definedName name="LSNO196" localSheetId="1">#REF!</definedName>
    <definedName name="LSNO196">#REF!</definedName>
    <definedName name="LSNO197" localSheetId="1">#REF!</definedName>
    <definedName name="LSNO197">#REF!</definedName>
    <definedName name="LSNO198" localSheetId="1">#REF!</definedName>
    <definedName name="LSNO198">#REF!</definedName>
    <definedName name="LSNO199" localSheetId="1">#REF!</definedName>
    <definedName name="LSNO199">#REF!</definedName>
    <definedName name="LSNO2" localSheetId="1">#REF!</definedName>
    <definedName name="LSNO2">#REF!</definedName>
    <definedName name="LSNO20" localSheetId="1">#REF!</definedName>
    <definedName name="LSNO20">#REF!</definedName>
    <definedName name="LSNO200" localSheetId="1">#REF!</definedName>
    <definedName name="LSNO200">#REF!</definedName>
    <definedName name="LSNO201" localSheetId="1">#REF!</definedName>
    <definedName name="LSNO201">#REF!</definedName>
    <definedName name="LSNO202" localSheetId="1">#REF!</definedName>
    <definedName name="LSNO202">#REF!</definedName>
    <definedName name="LSNO203" localSheetId="1">#REF!</definedName>
    <definedName name="LSNO203">#REF!</definedName>
    <definedName name="LSNO204" localSheetId="1">#REF!</definedName>
    <definedName name="LSNO204">#REF!</definedName>
    <definedName name="LSNO205" localSheetId="1">#REF!</definedName>
    <definedName name="LSNO205">#REF!</definedName>
    <definedName name="LSNO206" localSheetId="1">#REF!</definedName>
    <definedName name="LSNO206">#REF!</definedName>
    <definedName name="LSNO207" localSheetId="1">#REF!</definedName>
    <definedName name="LSNO207">#REF!</definedName>
    <definedName name="LSNO208" localSheetId="1">#REF!</definedName>
    <definedName name="LSNO208">#REF!</definedName>
    <definedName name="LSNO209" localSheetId="1">#REF!</definedName>
    <definedName name="LSNO209">#REF!</definedName>
    <definedName name="LSNO21" localSheetId="1">#REF!</definedName>
    <definedName name="LSNO21">#REF!</definedName>
    <definedName name="LSNO210" localSheetId="1">#REF!</definedName>
    <definedName name="LSNO210">#REF!</definedName>
    <definedName name="LSNO211" localSheetId="1">#REF!</definedName>
    <definedName name="LSNO211">#REF!</definedName>
    <definedName name="LSNO212" localSheetId="1">#REF!</definedName>
    <definedName name="LSNO212">#REF!</definedName>
    <definedName name="LSNO213" localSheetId="1">#REF!</definedName>
    <definedName name="LSNO213">#REF!</definedName>
    <definedName name="LSNO214" localSheetId="1">#REF!</definedName>
    <definedName name="LSNO214">#REF!</definedName>
    <definedName name="LSNO215" localSheetId="1">#REF!</definedName>
    <definedName name="LSNO215">#REF!</definedName>
    <definedName name="LSNO216" localSheetId="1">#REF!</definedName>
    <definedName name="LSNO216">#REF!</definedName>
    <definedName name="LSNO217" localSheetId="1">#REF!</definedName>
    <definedName name="LSNO217">#REF!</definedName>
    <definedName name="LSNO218" localSheetId="1">#REF!</definedName>
    <definedName name="LSNO218">#REF!</definedName>
    <definedName name="LSNO219" localSheetId="1">#REF!</definedName>
    <definedName name="LSNO219">#REF!</definedName>
    <definedName name="LSNO22" localSheetId="1">#REF!</definedName>
    <definedName name="LSNO22">#REF!</definedName>
    <definedName name="LSNO220" localSheetId="1">#REF!</definedName>
    <definedName name="LSNO220">#REF!</definedName>
    <definedName name="LSNO221" localSheetId="1">#REF!</definedName>
    <definedName name="LSNO221">#REF!</definedName>
    <definedName name="LSNO222" localSheetId="1">#REF!</definedName>
    <definedName name="LSNO222">#REF!</definedName>
    <definedName name="LSNO223" localSheetId="1">#REF!</definedName>
    <definedName name="LSNO223">#REF!</definedName>
    <definedName name="LSNO224" localSheetId="1">#REF!</definedName>
    <definedName name="LSNO224">#REF!</definedName>
    <definedName name="LSNO225" localSheetId="1">#REF!</definedName>
    <definedName name="LSNO225">#REF!</definedName>
    <definedName name="LSNO226" localSheetId="1">#REF!</definedName>
    <definedName name="LSNO226">#REF!</definedName>
    <definedName name="LSNO227" localSheetId="1">#REF!</definedName>
    <definedName name="LSNO227">#REF!</definedName>
    <definedName name="LSNO228" localSheetId="1">#REF!</definedName>
    <definedName name="LSNO228">#REF!</definedName>
    <definedName name="LSNO229" localSheetId="1">#REF!</definedName>
    <definedName name="LSNO229">#REF!</definedName>
    <definedName name="LSNO23" localSheetId="1">#REF!</definedName>
    <definedName name="LSNO23">#REF!</definedName>
    <definedName name="LSNO230" localSheetId="1">#REF!</definedName>
    <definedName name="LSNO230">#REF!</definedName>
    <definedName name="LSNO231" localSheetId="1">#REF!</definedName>
    <definedName name="LSNO231">#REF!</definedName>
    <definedName name="LSNO232" localSheetId="1">#REF!</definedName>
    <definedName name="LSNO232">#REF!</definedName>
    <definedName name="LSNO233" localSheetId="1">#REF!</definedName>
    <definedName name="LSNO233">#REF!</definedName>
    <definedName name="LSNO234" localSheetId="1">#REF!</definedName>
    <definedName name="LSNO234">#REF!</definedName>
    <definedName name="LSNO235" localSheetId="1">#REF!</definedName>
    <definedName name="LSNO235">#REF!</definedName>
    <definedName name="LSNO236" localSheetId="1">#REF!</definedName>
    <definedName name="LSNO236">#REF!</definedName>
    <definedName name="LSNO237" localSheetId="1">#REF!</definedName>
    <definedName name="LSNO237">#REF!</definedName>
    <definedName name="LSNO238" localSheetId="1">#REF!</definedName>
    <definedName name="LSNO238">#REF!</definedName>
    <definedName name="LSNO239" localSheetId="1">#REF!</definedName>
    <definedName name="LSNO239">#REF!</definedName>
    <definedName name="LSNO24" localSheetId="1">#REF!</definedName>
    <definedName name="LSNO24">#REF!</definedName>
    <definedName name="LSNO240" localSheetId="1">#REF!</definedName>
    <definedName name="LSNO240">#REF!</definedName>
    <definedName name="LSNO241" localSheetId="1">#REF!</definedName>
    <definedName name="LSNO241">#REF!</definedName>
    <definedName name="LSNO242" localSheetId="1">#REF!</definedName>
    <definedName name="LSNO242">#REF!</definedName>
    <definedName name="LSNO243" localSheetId="1">#REF!</definedName>
    <definedName name="LSNO243">#REF!</definedName>
    <definedName name="LSNO244" localSheetId="1">#REF!</definedName>
    <definedName name="LSNO244">#REF!</definedName>
    <definedName name="LSNO245" localSheetId="1">#REF!</definedName>
    <definedName name="LSNO245">#REF!</definedName>
    <definedName name="LSNO246" localSheetId="1">#REF!</definedName>
    <definedName name="LSNO246">#REF!</definedName>
    <definedName name="LSNO247" localSheetId="1">#REF!</definedName>
    <definedName name="LSNO247">#REF!</definedName>
    <definedName name="LSNO248" localSheetId="1">#REF!</definedName>
    <definedName name="LSNO248">#REF!</definedName>
    <definedName name="LSNO249" localSheetId="1">#REF!</definedName>
    <definedName name="LSNO249">#REF!</definedName>
    <definedName name="LSNO25" localSheetId="1">#REF!</definedName>
    <definedName name="LSNO25">#REF!</definedName>
    <definedName name="LSNO250" localSheetId="1">#REF!</definedName>
    <definedName name="LSNO250">#REF!</definedName>
    <definedName name="LSNO251" localSheetId="1">#REF!</definedName>
    <definedName name="LSNO251">#REF!</definedName>
    <definedName name="LSNO26" localSheetId="1">#REF!</definedName>
    <definedName name="LSNO26">#REF!</definedName>
    <definedName name="LSNO27" localSheetId="1">#REF!</definedName>
    <definedName name="LSNO27">#REF!</definedName>
    <definedName name="LSNO28" localSheetId="1">#REF!</definedName>
    <definedName name="LSNO28">#REF!</definedName>
    <definedName name="LSNO29" localSheetId="1">#REF!</definedName>
    <definedName name="LSNO29">#REF!</definedName>
    <definedName name="LSNO3" localSheetId="1">#REF!</definedName>
    <definedName name="LSNO3">#REF!</definedName>
    <definedName name="LSNO30" localSheetId="1">#REF!</definedName>
    <definedName name="LSNO30">#REF!</definedName>
    <definedName name="LSNO31" localSheetId="1">#REF!</definedName>
    <definedName name="LSNO31">#REF!</definedName>
    <definedName name="LSNO32" localSheetId="1">#REF!</definedName>
    <definedName name="LSNO32">#REF!</definedName>
    <definedName name="LSNO33" localSheetId="1">#REF!</definedName>
    <definedName name="LSNO33">#REF!</definedName>
    <definedName name="LSNO34" localSheetId="1">#REF!</definedName>
    <definedName name="LSNO34">#REF!</definedName>
    <definedName name="LSNO35" localSheetId="1">#REF!</definedName>
    <definedName name="LSNO35">#REF!</definedName>
    <definedName name="LSNO36" localSheetId="1">#REF!</definedName>
    <definedName name="LSNO36">#REF!</definedName>
    <definedName name="LSNO37" localSheetId="1">#REF!</definedName>
    <definedName name="LSNO37">#REF!</definedName>
    <definedName name="LSNO38" localSheetId="1">#REF!</definedName>
    <definedName name="LSNO38">#REF!</definedName>
    <definedName name="LSNO39" localSheetId="1">#REF!</definedName>
    <definedName name="LSNO39">#REF!</definedName>
    <definedName name="LSNO4" localSheetId="1">#REF!</definedName>
    <definedName name="LSNO4">#REF!</definedName>
    <definedName name="LSNO40" localSheetId="1">#REF!</definedName>
    <definedName name="LSNO40">#REF!</definedName>
    <definedName name="LSNO41" localSheetId="1">#REF!</definedName>
    <definedName name="LSNO41">#REF!</definedName>
    <definedName name="LSNO42" localSheetId="1">#REF!</definedName>
    <definedName name="LSNO42">#REF!</definedName>
    <definedName name="LSNO43" localSheetId="1">#REF!</definedName>
    <definedName name="LSNO43">#REF!</definedName>
    <definedName name="LSNO44" localSheetId="1">#REF!</definedName>
    <definedName name="LSNO44">#REF!</definedName>
    <definedName name="LSNO45" localSheetId="1">#REF!</definedName>
    <definedName name="LSNO45">#REF!</definedName>
    <definedName name="LSNO46" localSheetId="1">#REF!</definedName>
    <definedName name="LSNO46">#REF!</definedName>
    <definedName name="LSNO47" localSheetId="1">#REF!</definedName>
    <definedName name="LSNO47">#REF!</definedName>
    <definedName name="LSNO48" localSheetId="1">#REF!</definedName>
    <definedName name="LSNO48">#REF!</definedName>
    <definedName name="LSNO49" localSheetId="1">#REF!</definedName>
    <definedName name="LSNO49">#REF!</definedName>
    <definedName name="LSNO5" localSheetId="1">#REF!</definedName>
    <definedName name="LSNO5">#REF!</definedName>
    <definedName name="LSNO50" localSheetId="1">#REF!</definedName>
    <definedName name="LSNO50">#REF!</definedName>
    <definedName name="LSNO51" localSheetId="1">#REF!</definedName>
    <definedName name="LSNO51">#REF!</definedName>
    <definedName name="LSNO52" localSheetId="1">#REF!</definedName>
    <definedName name="LSNO52">#REF!</definedName>
    <definedName name="LSNO53" localSheetId="1">#REF!</definedName>
    <definedName name="LSNO53">#REF!</definedName>
    <definedName name="LSNO54" localSheetId="1">#REF!</definedName>
    <definedName name="LSNO54">#REF!</definedName>
    <definedName name="LSNO55" localSheetId="1">#REF!</definedName>
    <definedName name="LSNO55">#REF!</definedName>
    <definedName name="LSNO56" localSheetId="1">#REF!</definedName>
    <definedName name="LSNO56">#REF!</definedName>
    <definedName name="LSNO57" localSheetId="1">#REF!</definedName>
    <definedName name="LSNO57">#REF!</definedName>
    <definedName name="LSNO58" localSheetId="1">#REF!</definedName>
    <definedName name="LSNO58">#REF!</definedName>
    <definedName name="LSNO59" localSheetId="1">#REF!</definedName>
    <definedName name="LSNO59">#REF!</definedName>
    <definedName name="LSNO6" localSheetId="1">#REF!</definedName>
    <definedName name="LSNO6">#REF!</definedName>
    <definedName name="LSNO60" localSheetId="1">#REF!</definedName>
    <definedName name="LSNO60">#REF!</definedName>
    <definedName name="LSNO61" localSheetId="1">#REF!</definedName>
    <definedName name="LSNO61">#REF!</definedName>
    <definedName name="LSNO62" localSheetId="1">#REF!</definedName>
    <definedName name="LSNO62">#REF!</definedName>
    <definedName name="LSNO63" localSheetId="1">#REF!</definedName>
    <definedName name="LSNO63">#REF!</definedName>
    <definedName name="LSNO64" localSheetId="1">#REF!</definedName>
    <definedName name="LSNO64">#REF!</definedName>
    <definedName name="LSNO65" localSheetId="1">#REF!</definedName>
    <definedName name="LSNO65">#REF!</definedName>
    <definedName name="LSNO66" localSheetId="1">#REF!</definedName>
    <definedName name="LSNO66">#REF!</definedName>
    <definedName name="LSNO67" localSheetId="1">#REF!</definedName>
    <definedName name="LSNO67">#REF!</definedName>
    <definedName name="LSNO68" localSheetId="1">#REF!</definedName>
    <definedName name="LSNO68">#REF!</definedName>
    <definedName name="LSNO69" localSheetId="1">#REF!</definedName>
    <definedName name="LSNO69">#REF!</definedName>
    <definedName name="LSNO7" localSheetId="1">#REF!</definedName>
    <definedName name="LSNO7">#REF!</definedName>
    <definedName name="LSNO70" localSheetId="1">#REF!</definedName>
    <definedName name="LSNO70">#REF!</definedName>
    <definedName name="LSNO71" localSheetId="1">#REF!</definedName>
    <definedName name="LSNO71">#REF!</definedName>
    <definedName name="LSNO72" localSheetId="1">#REF!</definedName>
    <definedName name="LSNO72">#REF!</definedName>
    <definedName name="LSNO73" localSheetId="1">#REF!</definedName>
    <definedName name="LSNO73">#REF!</definedName>
    <definedName name="LSNO74" localSheetId="1">#REF!</definedName>
    <definedName name="LSNO74">#REF!</definedName>
    <definedName name="LSNO75" localSheetId="1">#REF!</definedName>
    <definedName name="LSNO75">#REF!</definedName>
    <definedName name="LSNO76" localSheetId="1">#REF!</definedName>
    <definedName name="LSNO76">#REF!</definedName>
    <definedName name="LSNO77" localSheetId="1">#REF!</definedName>
    <definedName name="LSNO77">#REF!</definedName>
    <definedName name="LSNO78" localSheetId="1">#REF!</definedName>
    <definedName name="LSNO78">#REF!</definedName>
    <definedName name="LSNO79" localSheetId="1">#REF!</definedName>
    <definedName name="LSNO79">#REF!</definedName>
    <definedName name="LSNO8" localSheetId="1">#REF!</definedName>
    <definedName name="LSNO8">#REF!</definedName>
    <definedName name="LSNO80" localSheetId="1">#REF!</definedName>
    <definedName name="LSNO80">#REF!</definedName>
    <definedName name="LSNO81" localSheetId="1">#REF!</definedName>
    <definedName name="LSNO81">#REF!</definedName>
    <definedName name="LSNO82" localSheetId="1">#REF!</definedName>
    <definedName name="LSNO82">#REF!</definedName>
    <definedName name="LSNO83" localSheetId="1">#REF!</definedName>
    <definedName name="LSNO83">#REF!</definedName>
    <definedName name="LSNO84" localSheetId="1">#REF!</definedName>
    <definedName name="LSNO84">#REF!</definedName>
    <definedName name="LSNO85" localSheetId="1">#REF!</definedName>
    <definedName name="LSNO85">#REF!</definedName>
    <definedName name="LSNO86" localSheetId="1">#REF!</definedName>
    <definedName name="LSNO86">#REF!</definedName>
    <definedName name="LSNO87" localSheetId="1">#REF!</definedName>
    <definedName name="LSNO87">#REF!</definedName>
    <definedName name="LSNO88" localSheetId="1">#REF!</definedName>
    <definedName name="LSNO88">#REF!</definedName>
    <definedName name="LSNO89" localSheetId="1">#REF!</definedName>
    <definedName name="LSNO89">#REF!</definedName>
    <definedName name="LSNO9" localSheetId="1">#REF!</definedName>
    <definedName name="LSNO9">#REF!</definedName>
    <definedName name="LSNO90" localSheetId="1">#REF!</definedName>
    <definedName name="LSNO90">#REF!</definedName>
    <definedName name="LSNO91" localSheetId="1">#REF!</definedName>
    <definedName name="LSNO91">#REF!</definedName>
    <definedName name="LSNO92" localSheetId="1">#REF!</definedName>
    <definedName name="LSNO92">#REF!</definedName>
    <definedName name="LSNO93" localSheetId="1">#REF!</definedName>
    <definedName name="LSNO93">#REF!</definedName>
    <definedName name="LSNO94" localSheetId="1">#REF!</definedName>
    <definedName name="LSNO94">#REF!</definedName>
    <definedName name="LSNO95" localSheetId="1">#REF!</definedName>
    <definedName name="LSNO95">#REF!</definedName>
    <definedName name="LSNO96" localSheetId="1">#REF!</definedName>
    <definedName name="LSNO96">#REF!</definedName>
    <definedName name="LSNO97" localSheetId="1">#REF!</definedName>
    <definedName name="LSNO97">#REF!</definedName>
    <definedName name="LSNO98" localSheetId="1">#REF!</definedName>
    <definedName name="LSNO98">#REF!</definedName>
    <definedName name="LSNO99" localSheetId="1">#REF!</definedName>
    <definedName name="LSNO99">#REF!</definedName>
    <definedName name="M_25_box_Culvert" localSheetId="1">#REF!</definedName>
    <definedName name="M_25_box_Culvert">#REF!</definedName>
    <definedName name="mason" localSheetId="1">#REF!</definedName>
    <definedName name="mason">#REF!</definedName>
    <definedName name="mason1">'[2]Labour &amp; Plant'!$C$14</definedName>
    <definedName name="mason2">'[2]Labour &amp; Plant'!$C$15</definedName>
    <definedName name="masonhelper" localSheetId="1">#REF!</definedName>
    <definedName name="masonhelper">#REF!</definedName>
    <definedName name="Mate" localSheetId="1">#REF!</definedName>
    <definedName name="Mate">#REF!</definedName>
    <definedName name="Mazdoor" localSheetId="1">#REF!</definedName>
    <definedName name="Mazdoor">#REF!</definedName>
    <definedName name="mixer" localSheetId="1">#REF!</definedName>
    <definedName name="mixer">#REF!</definedName>
    <definedName name="modifiedbitumen" localSheetId="1">#REF!</definedName>
    <definedName name="modifiedbitumen">#REF!</definedName>
    <definedName name="msbars" localSheetId="1">#REF!</definedName>
    <definedName name="msbars">#REF!</definedName>
    <definedName name="Muram" localSheetId="1">#REF!</definedName>
    <definedName name="Muram">#REF!</definedName>
    <definedName name="neoprene" localSheetId="1">#REF!</definedName>
    <definedName name="neoprene">#REF!</definedName>
    <definedName name="neoprinbearing" localSheetId="1">#REF!</definedName>
    <definedName name="neoprinbearing">#REF!</definedName>
    <definedName name="nothing" localSheetId="1">#REF!</definedName>
    <definedName name="nothing">#REF!</definedName>
    <definedName name="NP3HP450" localSheetId="1">#REF!</definedName>
    <definedName name="NP3HP450">#REF!</definedName>
    <definedName name="NP3HP600" localSheetId="1">#REF!</definedName>
    <definedName name="NP3HP600">#REF!</definedName>
    <definedName name="NP3HP750" localSheetId="1">#REF!</definedName>
    <definedName name="NP3HP750">#REF!</definedName>
    <definedName name="np3humepipe600" localSheetId="1">#REF!</definedName>
    <definedName name="np3humepipe600">#REF!</definedName>
    <definedName name="np3humepipe750" localSheetId="1">#REF!</definedName>
    <definedName name="np3humepipe750">#REF!</definedName>
    <definedName name="NP4Hume1.2" localSheetId="1">#REF!</definedName>
    <definedName name="NP4Hume1.2">#REF!</definedName>
    <definedName name="NP4Hume1000" localSheetId="1">#REF!</definedName>
    <definedName name="NP4Hume1000">#REF!</definedName>
    <definedName name="NP4Hume1200" localSheetId="1">#REF!</definedName>
    <definedName name="NP4Hume1200">#REF!</definedName>
    <definedName name="NP4Hume600" localSheetId="1">#REF!</definedName>
    <definedName name="NP4Hume600">#REF!</definedName>
    <definedName name="NP4Hume900" localSheetId="1">#REF!</definedName>
    <definedName name="NP4Hume900">#REF!</definedName>
    <definedName name="NSSR1" localSheetId="1">#REF!</definedName>
    <definedName name="NSSR1">#REF!</definedName>
    <definedName name="NSSR10" localSheetId="1">#REF!</definedName>
    <definedName name="NSSR10">#REF!</definedName>
    <definedName name="NSSR100" localSheetId="1">#REF!</definedName>
    <definedName name="NSSR100">#REF!</definedName>
    <definedName name="NSSR101" localSheetId="1">#REF!</definedName>
    <definedName name="NSSR101">#REF!</definedName>
    <definedName name="NSSR102" localSheetId="1">#REF!</definedName>
    <definedName name="NSSR102">#REF!</definedName>
    <definedName name="NSSR103" localSheetId="1">#REF!</definedName>
    <definedName name="NSSR103">#REF!</definedName>
    <definedName name="NSSR104" localSheetId="1">#REF!</definedName>
    <definedName name="NSSR104">#REF!</definedName>
    <definedName name="NSSR105" localSheetId="1">#REF!</definedName>
    <definedName name="NSSR105">#REF!</definedName>
    <definedName name="NSSR106" localSheetId="1">#REF!</definedName>
    <definedName name="NSSR106">#REF!</definedName>
    <definedName name="NSSR107" localSheetId="1">#REF!</definedName>
    <definedName name="NSSR107">#REF!</definedName>
    <definedName name="NSSR108" localSheetId="1">#REF!</definedName>
    <definedName name="NSSR108">#REF!</definedName>
    <definedName name="NSSR109" localSheetId="1">#REF!</definedName>
    <definedName name="NSSR109">#REF!</definedName>
    <definedName name="NSSR11" localSheetId="1">#REF!</definedName>
    <definedName name="NSSR11">#REF!</definedName>
    <definedName name="NSSR110" localSheetId="1">#REF!</definedName>
    <definedName name="NSSR110">#REF!</definedName>
    <definedName name="NSSR111" localSheetId="1">#REF!</definedName>
    <definedName name="NSSR111">#REF!</definedName>
    <definedName name="NSSR112" localSheetId="1">#REF!</definedName>
    <definedName name="NSSR112">#REF!</definedName>
    <definedName name="NSSR113" localSheetId="1">#REF!</definedName>
    <definedName name="NSSR113">#REF!</definedName>
    <definedName name="NSSR114" localSheetId="1">#REF!</definedName>
    <definedName name="NSSR114">#REF!</definedName>
    <definedName name="NSSR115" localSheetId="1">#REF!</definedName>
    <definedName name="NSSR115">#REF!</definedName>
    <definedName name="NSSR116" localSheetId="1">#REF!</definedName>
    <definedName name="NSSR116">#REF!</definedName>
    <definedName name="NSSR117" localSheetId="1">#REF!</definedName>
    <definedName name="NSSR117">#REF!</definedName>
    <definedName name="NSSR118" localSheetId="1">#REF!</definedName>
    <definedName name="NSSR118">#REF!</definedName>
    <definedName name="NSSR119" localSheetId="1">#REF!</definedName>
    <definedName name="NSSR119">#REF!</definedName>
    <definedName name="NSSR12" localSheetId="1">#REF!</definedName>
    <definedName name="NSSR12">#REF!</definedName>
    <definedName name="NSSR120" localSheetId="1">#REF!</definedName>
    <definedName name="NSSR120">#REF!</definedName>
    <definedName name="NSSR121" localSheetId="1">#REF!</definedName>
    <definedName name="NSSR121">#REF!</definedName>
    <definedName name="NSSR122" localSheetId="1">#REF!</definedName>
    <definedName name="NSSR122">#REF!</definedName>
    <definedName name="NSSR123" localSheetId="1">#REF!</definedName>
    <definedName name="NSSR123">#REF!</definedName>
    <definedName name="NSSR124" localSheetId="1">#REF!</definedName>
    <definedName name="NSSR124">#REF!</definedName>
    <definedName name="NSSR125" localSheetId="1">#REF!</definedName>
    <definedName name="NSSR125">#REF!</definedName>
    <definedName name="NSSR126" localSheetId="1">#REF!</definedName>
    <definedName name="NSSR126">#REF!</definedName>
    <definedName name="NSSR127" localSheetId="1">#REF!</definedName>
    <definedName name="NSSR127">#REF!</definedName>
    <definedName name="NSSR128" localSheetId="1">#REF!</definedName>
    <definedName name="NSSR128">#REF!</definedName>
    <definedName name="NSSR129" localSheetId="1">#REF!</definedName>
    <definedName name="NSSR129">#REF!</definedName>
    <definedName name="NSSR13" localSheetId="1">#REF!</definedName>
    <definedName name="NSSR13">#REF!</definedName>
    <definedName name="NSSR130" localSheetId="1">#REF!</definedName>
    <definedName name="NSSR130">#REF!</definedName>
    <definedName name="NSSR131" localSheetId="1">#REF!</definedName>
    <definedName name="NSSR131">#REF!</definedName>
    <definedName name="NSSR132" localSheetId="1">#REF!</definedName>
    <definedName name="NSSR132">#REF!</definedName>
    <definedName name="NSSR133" localSheetId="1">#REF!</definedName>
    <definedName name="NSSR133">#REF!</definedName>
    <definedName name="NSSR134" localSheetId="1">#REF!</definedName>
    <definedName name="NSSR134">#REF!</definedName>
    <definedName name="NSSR135" localSheetId="1">#REF!</definedName>
    <definedName name="NSSR135">#REF!</definedName>
    <definedName name="NSSR136" localSheetId="1">#REF!</definedName>
    <definedName name="NSSR136">#REF!</definedName>
    <definedName name="NSSR137" localSheetId="1">#REF!</definedName>
    <definedName name="NSSR137">#REF!</definedName>
    <definedName name="NSSR138" localSheetId="1">#REF!</definedName>
    <definedName name="NSSR138">#REF!</definedName>
    <definedName name="NSSR139" localSheetId="1">#REF!</definedName>
    <definedName name="NSSR139">#REF!</definedName>
    <definedName name="NSSR14" localSheetId="1">#REF!</definedName>
    <definedName name="NSSR14">#REF!</definedName>
    <definedName name="NSSR140" localSheetId="1">#REF!</definedName>
    <definedName name="NSSR140">#REF!</definedName>
    <definedName name="NSSR141" localSheetId="1">#REF!</definedName>
    <definedName name="NSSR141">#REF!</definedName>
    <definedName name="NSSR142" localSheetId="1">#REF!</definedName>
    <definedName name="NSSR142">#REF!</definedName>
    <definedName name="NSSR143" localSheetId="1">#REF!</definedName>
    <definedName name="NSSR143">#REF!</definedName>
    <definedName name="NSSR144" localSheetId="1">#REF!</definedName>
    <definedName name="NSSR144">#REF!</definedName>
    <definedName name="NSSR145" localSheetId="1">#REF!</definedName>
    <definedName name="NSSR145">#REF!</definedName>
    <definedName name="NSSR146" localSheetId="1">#REF!</definedName>
    <definedName name="NSSR146">#REF!</definedName>
    <definedName name="NSSR147" localSheetId="1">#REF!</definedName>
    <definedName name="NSSR147">#REF!</definedName>
    <definedName name="NSSR148" localSheetId="1">#REF!</definedName>
    <definedName name="NSSR148">#REF!</definedName>
    <definedName name="NSSR149" localSheetId="1">#REF!</definedName>
    <definedName name="NSSR149">#REF!</definedName>
    <definedName name="NSSR15" localSheetId="1">#REF!</definedName>
    <definedName name="NSSR15">#REF!</definedName>
    <definedName name="NSSR150" localSheetId="1">#REF!</definedName>
    <definedName name="NSSR150">#REF!</definedName>
    <definedName name="NSSR151" localSheetId="1">#REF!</definedName>
    <definedName name="NSSR151">#REF!</definedName>
    <definedName name="NSSR152" localSheetId="1">#REF!</definedName>
    <definedName name="NSSR152">#REF!</definedName>
    <definedName name="NSSR153" localSheetId="1">#REF!</definedName>
    <definedName name="NSSR153">#REF!</definedName>
    <definedName name="NSSR154" localSheetId="1">#REF!</definedName>
    <definedName name="NSSR154">#REF!</definedName>
    <definedName name="NSSR155" localSheetId="1">#REF!</definedName>
    <definedName name="NSSR155">#REF!</definedName>
    <definedName name="NSSR156" localSheetId="1">#REF!</definedName>
    <definedName name="NSSR156">#REF!</definedName>
    <definedName name="NSSR157" localSheetId="1">#REF!</definedName>
    <definedName name="NSSR157">#REF!</definedName>
    <definedName name="NSSR158" localSheetId="1">#REF!</definedName>
    <definedName name="NSSR158">#REF!</definedName>
    <definedName name="NSSR159" localSheetId="1">#REF!</definedName>
    <definedName name="NSSR159">#REF!</definedName>
    <definedName name="NSSR16" localSheetId="1">#REF!</definedName>
    <definedName name="NSSR16">#REF!</definedName>
    <definedName name="NSSR160" localSheetId="1">#REF!</definedName>
    <definedName name="NSSR160">#REF!</definedName>
    <definedName name="NSSR161" localSheetId="1">#REF!</definedName>
    <definedName name="NSSR161">#REF!</definedName>
    <definedName name="NSSR162" localSheetId="1">#REF!</definedName>
    <definedName name="NSSR162">#REF!</definedName>
    <definedName name="NSSR163" localSheetId="1">#REF!</definedName>
    <definedName name="NSSR163">#REF!</definedName>
    <definedName name="NSSR164" localSheetId="1">#REF!</definedName>
    <definedName name="NSSR164">#REF!</definedName>
    <definedName name="NSSR165" localSheetId="1">#REF!</definedName>
    <definedName name="NSSR165">#REF!</definedName>
    <definedName name="NSSR166" localSheetId="1">#REF!</definedName>
    <definedName name="NSSR166">#REF!</definedName>
    <definedName name="NSSR167" localSheetId="1">#REF!</definedName>
    <definedName name="NSSR167">#REF!</definedName>
    <definedName name="NSSR168" localSheetId="1">#REF!</definedName>
    <definedName name="NSSR168">#REF!</definedName>
    <definedName name="NSSR169" localSheetId="1">#REF!</definedName>
    <definedName name="NSSR169">#REF!</definedName>
    <definedName name="NSSR17" localSheetId="1">#REF!</definedName>
    <definedName name="NSSR17">#REF!</definedName>
    <definedName name="NSSR170" localSheetId="1">#REF!</definedName>
    <definedName name="NSSR170">#REF!</definedName>
    <definedName name="NSSR171" localSheetId="1">#REF!</definedName>
    <definedName name="NSSR171">#REF!</definedName>
    <definedName name="NSSR172" localSheetId="1">#REF!</definedName>
    <definedName name="NSSR172">#REF!</definedName>
    <definedName name="NSSR173" localSheetId="1">#REF!</definedName>
    <definedName name="NSSR173">#REF!</definedName>
    <definedName name="NSSR174" localSheetId="1">#REF!</definedName>
    <definedName name="NSSR174">#REF!</definedName>
    <definedName name="NSSR18" localSheetId="1">#REF!</definedName>
    <definedName name="NSSR18">#REF!</definedName>
    <definedName name="NSSR19" localSheetId="1">#REF!</definedName>
    <definedName name="NSSR19">#REF!</definedName>
    <definedName name="NSSR2" localSheetId="1">#REF!</definedName>
    <definedName name="NSSR2">#REF!</definedName>
    <definedName name="NSSR20" localSheetId="1">#REF!</definedName>
    <definedName name="NSSR20">#REF!</definedName>
    <definedName name="NSSR21" localSheetId="1">#REF!</definedName>
    <definedName name="NSSR21">#REF!</definedName>
    <definedName name="NSSR22" localSheetId="1">#REF!</definedName>
    <definedName name="NSSR22">#REF!</definedName>
    <definedName name="NSSR23" localSheetId="1">#REF!</definedName>
    <definedName name="NSSR23">#REF!</definedName>
    <definedName name="NSSR24" localSheetId="1">#REF!</definedName>
    <definedName name="NSSR24">#REF!</definedName>
    <definedName name="NSSR25" localSheetId="1">#REF!</definedName>
    <definedName name="NSSR25">#REF!</definedName>
    <definedName name="NSSR26" localSheetId="1">#REF!</definedName>
    <definedName name="NSSR26">#REF!</definedName>
    <definedName name="NSSR27" localSheetId="1">#REF!</definedName>
    <definedName name="NSSR27">#REF!</definedName>
    <definedName name="NSSR28" localSheetId="1">#REF!</definedName>
    <definedName name="NSSR28">#REF!</definedName>
    <definedName name="NSSR29" localSheetId="1">#REF!</definedName>
    <definedName name="NSSR29">#REF!</definedName>
    <definedName name="NSSR3" localSheetId="1">#REF!</definedName>
    <definedName name="NSSR3">#REF!</definedName>
    <definedName name="NSSR30" localSheetId="1">#REF!</definedName>
    <definedName name="NSSR30">#REF!</definedName>
    <definedName name="NSSR31" localSheetId="1">#REF!</definedName>
    <definedName name="NSSR31">#REF!</definedName>
    <definedName name="NSSR32" localSheetId="1">#REF!</definedName>
    <definedName name="NSSR32">#REF!</definedName>
    <definedName name="NSSR33" localSheetId="1">#REF!</definedName>
    <definedName name="NSSR33">#REF!</definedName>
    <definedName name="NSSR34" localSheetId="1">#REF!</definedName>
    <definedName name="NSSR34">#REF!</definedName>
    <definedName name="NSSR35" localSheetId="1">#REF!</definedName>
    <definedName name="NSSR35">#REF!</definedName>
    <definedName name="NSSR36" localSheetId="1">#REF!</definedName>
    <definedName name="NSSR36">#REF!</definedName>
    <definedName name="NSSR37" localSheetId="1">#REF!</definedName>
    <definedName name="NSSR37">#REF!</definedName>
    <definedName name="NSSR38" localSheetId="1">#REF!</definedName>
    <definedName name="NSSR38">#REF!</definedName>
    <definedName name="NSSR39" localSheetId="1">#REF!</definedName>
    <definedName name="NSSR39">#REF!</definedName>
    <definedName name="NSSR4" localSheetId="1">#REF!</definedName>
    <definedName name="NSSR4">#REF!</definedName>
    <definedName name="NSSR40" localSheetId="1">#REF!</definedName>
    <definedName name="NSSR40">#REF!</definedName>
    <definedName name="NSSR41" localSheetId="1">#REF!</definedName>
    <definedName name="NSSR41">#REF!</definedName>
    <definedName name="NSSR42" localSheetId="1">#REF!</definedName>
    <definedName name="NSSR42">#REF!</definedName>
    <definedName name="NSSR43" localSheetId="1">#REF!</definedName>
    <definedName name="NSSR43">#REF!</definedName>
    <definedName name="NSSR44" localSheetId="1">#REF!</definedName>
    <definedName name="NSSR44">#REF!</definedName>
    <definedName name="NSSR45" localSheetId="1">#REF!</definedName>
    <definedName name="NSSR45">#REF!</definedName>
    <definedName name="NSSR46" localSheetId="1">#REF!</definedName>
    <definedName name="NSSR46">#REF!</definedName>
    <definedName name="NSSR47" localSheetId="1">#REF!</definedName>
    <definedName name="NSSR47">#REF!</definedName>
    <definedName name="NSSR48" localSheetId="1">#REF!</definedName>
    <definedName name="NSSR48">#REF!</definedName>
    <definedName name="NSSR49" localSheetId="1">#REF!</definedName>
    <definedName name="NSSR49">#REF!</definedName>
    <definedName name="NSSR5" localSheetId="1">#REF!</definedName>
    <definedName name="NSSR5">#REF!</definedName>
    <definedName name="NSSR50" localSheetId="1">#REF!</definedName>
    <definedName name="NSSR50">#REF!</definedName>
    <definedName name="NSSR51" localSheetId="1">#REF!</definedName>
    <definedName name="NSSR51">#REF!</definedName>
    <definedName name="NSSR52" localSheetId="1">#REF!</definedName>
    <definedName name="NSSR52">#REF!</definedName>
    <definedName name="NSSR53" localSheetId="1">#REF!</definedName>
    <definedName name="NSSR53">#REF!</definedName>
    <definedName name="NSSR54" localSheetId="1">#REF!</definedName>
    <definedName name="NSSR54">#REF!</definedName>
    <definedName name="NSSR55" localSheetId="1">#REF!</definedName>
    <definedName name="NSSR55">#REF!</definedName>
    <definedName name="NSSR56" localSheetId="1">#REF!</definedName>
    <definedName name="NSSR56">#REF!</definedName>
    <definedName name="NSSR57" localSheetId="1">#REF!</definedName>
    <definedName name="NSSR57">#REF!</definedName>
    <definedName name="NSSR58" localSheetId="1">#REF!</definedName>
    <definedName name="NSSR58">#REF!</definedName>
    <definedName name="NSSR59" localSheetId="1">#REF!</definedName>
    <definedName name="NSSR59">#REF!</definedName>
    <definedName name="NSSR6" localSheetId="1">#REF!</definedName>
    <definedName name="NSSR6">#REF!</definedName>
    <definedName name="NSSR60" localSheetId="1">#REF!</definedName>
    <definedName name="NSSR60">#REF!</definedName>
    <definedName name="NSSR61" localSheetId="1">#REF!</definedName>
    <definedName name="NSSR61">#REF!</definedName>
    <definedName name="NSSR62" localSheetId="1">#REF!</definedName>
    <definedName name="NSSR62">#REF!</definedName>
    <definedName name="NSSR63" localSheetId="1">#REF!</definedName>
    <definedName name="NSSR63">#REF!</definedName>
    <definedName name="NSSR64" localSheetId="1">#REF!</definedName>
    <definedName name="NSSR64">#REF!</definedName>
    <definedName name="NSSR65" localSheetId="1">#REF!</definedName>
    <definedName name="NSSR65">#REF!</definedName>
    <definedName name="NSSR66" localSheetId="1">#REF!</definedName>
    <definedName name="NSSR66">#REF!</definedName>
    <definedName name="NSSR67" localSheetId="1">#REF!</definedName>
    <definedName name="NSSR67">#REF!</definedName>
    <definedName name="NSSR68" localSheetId="1">#REF!</definedName>
    <definedName name="NSSR68">#REF!</definedName>
    <definedName name="NSSR69" localSheetId="1">#REF!</definedName>
    <definedName name="NSSR69">#REF!</definedName>
    <definedName name="NSSR7" localSheetId="1">#REF!</definedName>
    <definedName name="NSSR7">#REF!</definedName>
    <definedName name="NSSR70" localSheetId="1">#REF!</definedName>
    <definedName name="NSSR70">#REF!</definedName>
    <definedName name="NSSR71" localSheetId="1">#REF!</definedName>
    <definedName name="NSSR71">#REF!</definedName>
    <definedName name="NSSR72" localSheetId="1">#REF!</definedName>
    <definedName name="NSSR72">#REF!</definedName>
    <definedName name="NSSR73" localSheetId="1">#REF!</definedName>
    <definedName name="NSSR73">#REF!</definedName>
    <definedName name="NSSR74" localSheetId="1">#REF!</definedName>
    <definedName name="NSSR74">#REF!</definedName>
    <definedName name="NSSR75" localSheetId="1">#REF!</definedName>
    <definedName name="NSSR75">#REF!</definedName>
    <definedName name="NSSR76" localSheetId="1">#REF!</definedName>
    <definedName name="NSSR76">#REF!</definedName>
    <definedName name="NSSR77" localSheetId="1">#REF!</definedName>
    <definedName name="NSSR77">#REF!</definedName>
    <definedName name="NSSR78" localSheetId="1">#REF!</definedName>
    <definedName name="NSSR78">#REF!</definedName>
    <definedName name="NSSR79" localSheetId="1">#REF!</definedName>
    <definedName name="NSSR79">#REF!</definedName>
    <definedName name="NSSR8" localSheetId="1">#REF!</definedName>
    <definedName name="NSSR8">#REF!</definedName>
    <definedName name="NSSR80" localSheetId="1">#REF!</definedName>
    <definedName name="NSSR80">#REF!</definedName>
    <definedName name="NSSR81" localSheetId="1">#REF!</definedName>
    <definedName name="NSSR81">#REF!</definedName>
    <definedName name="NSSR82" localSheetId="1">#REF!</definedName>
    <definedName name="NSSR82">#REF!</definedName>
    <definedName name="NSSR83" localSheetId="1">#REF!</definedName>
    <definedName name="NSSR83">#REF!</definedName>
    <definedName name="NSSR84" localSheetId="1">#REF!</definedName>
    <definedName name="NSSR84">#REF!</definedName>
    <definedName name="NSSR85" localSheetId="1">#REF!</definedName>
    <definedName name="NSSR85">#REF!</definedName>
    <definedName name="NSSR86" localSheetId="1">#REF!</definedName>
    <definedName name="NSSR86">#REF!</definedName>
    <definedName name="NSSR87" localSheetId="1">#REF!</definedName>
    <definedName name="NSSR87">#REF!</definedName>
    <definedName name="NSSR88" localSheetId="1">#REF!</definedName>
    <definedName name="NSSR88">#REF!</definedName>
    <definedName name="NSSR89" localSheetId="1">#REF!</definedName>
    <definedName name="NSSR89">#REF!</definedName>
    <definedName name="NSSR9" localSheetId="1">#REF!</definedName>
    <definedName name="NSSR9">#REF!</definedName>
    <definedName name="NSSR90" localSheetId="1">#REF!</definedName>
    <definedName name="NSSR90">#REF!</definedName>
    <definedName name="NSSR91" localSheetId="1">#REF!</definedName>
    <definedName name="NSSR91">#REF!</definedName>
    <definedName name="NSSR92" localSheetId="1">#REF!</definedName>
    <definedName name="NSSR92">#REF!</definedName>
    <definedName name="NSSR93" localSheetId="1">#REF!</definedName>
    <definedName name="NSSR93">#REF!</definedName>
    <definedName name="NSSR94" localSheetId="1">#REF!</definedName>
    <definedName name="NSSR94">#REF!</definedName>
    <definedName name="NSSR95" localSheetId="1">#REF!</definedName>
    <definedName name="NSSR95">#REF!</definedName>
    <definedName name="NSSR96" localSheetId="1">#REF!</definedName>
    <definedName name="NSSR96">#REF!</definedName>
    <definedName name="NSSR97" localSheetId="1">#REF!</definedName>
    <definedName name="NSSR97">#REF!</definedName>
    <definedName name="NSSR98" localSheetId="1">#REF!</definedName>
    <definedName name="NSSR98">#REF!</definedName>
    <definedName name="NSSR99" localSheetId="1">#REF!</definedName>
    <definedName name="NSSR99">#REF!</definedName>
    <definedName name="OrdinaryRodBinder" localSheetId="1">#REF!</definedName>
    <definedName name="OrdinaryRodBinder">#REF!</definedName>
    <definedName name="pa" hidden="1">{"Execavation",#N/A,FALSE,"furniture (employer)"}</definedName>
    <definedName name="painter" localSheetId="1">#REF!</definedName>
    <definedName name="painter">#REF!</definedName>
    <definedName name="painter1">'[5]Labour &amp; Plant'!$C$32</definedName>
    <definedName name="paver" localSheetId="1">#REF!</definedName>
    <definedName name="paver">#REF!</definedName>
    <definedName name="platecompactor" localSheetId="1">#REF!</definedName>
    <definedName name="platecompactor">#REF!</definedName>
    <definedName name="plumber" localSheetId="1">#REF!</definedName>
    <definedName name="plumber">#REF!</definedName>
    <definedName name="Premould20" localSheetId="1">#REF!</definedName>
    <definedName name="Premould20">#REF!</definedName>
    <definedName name="premoulded" localSheetId="1">#REF!</definedName>
    <definedName name="premoulded">#REF!</definedName>
    <definedName name="_xlnm.Print_Area" localSheetId="0">'ABSTRACT OF COST'!$A$1:$D$17</definedName>
    <definedName name="_xlnm.Print_Area" localSheetId="1">BOQ!$A$1:$AK$1636</definedName>
    <definedName name="Print_Area_MI" localSheetId="1">#REF!</definedName>
    <definedName name="Print_Area_MI">#REF!</definedName>
    <definedName name="_xlnm.Print_Titles" localSheetId="1">BOQ!$1:$1</definedName>
    <definedName name="Ptroller" localSheetId="1">#REF!</definedName>
    <definedName name="Ptroller">#REF!</definedName>
    <definedName name="Pugmill" localSheetId="1">#REF!</definedName>
    <definedName name="Pugmill">#REF!</definedName>
    <definedName name="pvcpipe100" localSheetId="1">#REF!</definedName>
    <definedName name="pvcpipe100">#REF!</definedName>
    <definedName name="pvcpipe150" localSheetId="1">#REF!</definedName>
    <definedName name="pvcpipe150">#REF!</definedName>
    <definedName name="pvcpipe50" localSheetId="1">#REF!</definedName>
    <definedName name="pvcpipe50">#REF!</definedName>
    <definedName name="Rodbinder" localSheetId="1">#REF!</definedName>
    <definedName name="Rodbinder">#REF!</definedName>
    <definedName name="roller" localSheetId="1">#REF!</definedName>
    <definedName name="roller">#REF!</definedName>
    <definedName name="roughstone" localSheetId="1">#REF!</definedName>
    <definedName name="roughstone">#REF!</definedName>
    <definedName name="salballies" localSheetId="1">#REF!</definedName>
    <definedName name="salballies">#REF!</definedName>
    <definedName name="sand" localSheetId="1">#REF!</definedName>
    <definedName name="sand">#REF!</definedName>
    <definedName name="scraper" localSheetId="1">#REF!</definedName>
    <definedName name="scraper">#REF!</definedName>
    <definedName name="senserpaver" localSheetId="1">#REF!</definedName>
    <definedName name="senserpaver">#REF!</definedName>
    <definedName name="shutteringtimber" localSheetId="1">#REF!</definedName>
    <definedName name="shutteringtimber">#REF!</definedName>
    <definedName name="skilldresser" localSheetId="1">#REF!</definedName>
    <definedName name="skilldresser">#REF!</definedName>
    <definedName name="skilledmazdoor" localSheetId="1">#REF!</definedName>
    <definedName name="skilledmazdoor">#REF!</definedName>
    <definedName name="skillmazdoor" localSheetId="1">#REF!</definedName>
    <definedName name="skillmazdoor">#REF!</definedName>
    <definedName name="sprayer" localSheetId="1">#REF!</definedName>
    <definedName name="sprayer">#REF!</definedName>
    <definedName name="ss" hidden="1">{"Execavation",#N/A,FALSE,"furniture (employer)"}</definedName>
    <definedName name="staticpaver" localSheetId="1">#REF!</definedName>
    <definedName name="staticpaver">#REF!</definedName>
    <definedName name="steelbars" localSheetId="1">#REF!</definedName>
    <definedName name="steelbars">#REF!</definedName>
    <definedName name="steelrod" localSheetId="1">#REF!</definedName>
    <definedName name="steelrod">#REF!</definedName>
    <definedName name="steelstrands" localSheetId="1">#REF!</definedName>
    <definedName name="steelstrands">#REF!</definedName>
    <definedName name="steelwire" localSheetId="1">#REF!</definedName>
    <definedName name="steelwire">#REF!</definedName>
    <definedName name="steelwires" localSheetId="1">#REF!</definedName>
    <definedName name="steelwires">#REF!</definedName>
    <definedName name="stonebreaker" localSheetId="1">#REF!</definedName>
    <definedName name="stonebreaker">#REF!</definedName>
    <definedName name="strands" localSheetId="1">#REF!</definedName>
    <definedName name="strands">#REF!</definedName>
    <definedName name="structuralsteel" localSheetId="1">#REF!</definedName>
    <definedName name="structuralsteel">#REF!</definedName>
    <definedName name="sumana" localSheetId="1">#REF!</definedName>
    <definedName name="sumana">#REF!</definedName>
    <definedName name="tarnian" localSheetId="1">#REF!</definedName>
    <definedName name="tarnian">#REF!</definedName>
    <definedName name="Tiles" localSheetId="1">#REF!</definedName>
    <definedName name="Tiles">#REF!</definedName>
    <definedName name="timber">'[2]Material '!$G$30</definedName>
    <definedName name="tipp5t" localSheetId="1">#REF!</definedName>
    <definedName name="tipp5t">#REF!</definedName>
    <definedName name="tipper" localSheetId="1">#REF!</definedName>
    <definedName name="tipper">#REF!</definedName>
    <definedName name="tipper5t" localSheetId="1">#REF!</definedName>
    <definedName name="tipper5t">#REF!</definedName>
    <definedName name="tractor" localSheetId="1">#REF!</definedName>
    <definedName name="tractor">#REF!</definedName>
    <definedName name="transitmixer" localSheetId="1">#REF!</definedName>
    <definedName name="transitmixer">#REF!</definedName>
    <definedName name="truck5t" localSheetId="1">#REF!</definedName>
    <definedName name="truck5t">#REF!</definedName>
    <definedName name="vibrator" localSheetId="1">#REF!</definedName>
    <definedName name="vibrator">#REF!</definedName>
    <definedName name="vibro" localSheetId="1">#REF!</definedName>
    <definedName name="vibro">#REF!</definedName>
    <definedName name="watertank" localSheetId="1">#REF!</definedName>
    <definedName name="watertank">#REF!</definedName>
    <definedName name="watertanker" localSheetId="1">#REF!</definedName>
    <definedName name="watertanker">#REF!</definedName>
    <definedName name="Welder" localSheetId="1">#REF!</definedName>
    <definedName name="Welder">#REF!</definedName>
    <definedName name="welderhelper" localSheetId="1">#REF!</definedName>
    <definedName name="welderhelper">#REF!</definedName>
    <definedName name="wmmplant" localSheetId="1">#REF!</definedName>
    <definedName name="wmmplant">#REF!</definedName>
    <definedName name="wrn.abc." hidden="1">{"Execavation",#N/A,FALSE,"furniture (employer)"}</definedName>
    <definedName name="xxxx" localSheetId="1">#REF!</definedName>
    <definedName name="xxxx">#REF!</definedName>
    <definedName name="Zero" localSheetId="1">#REF!</definedName>
    <definedName name="Zer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9" l="1"/>
  <c r="C9" i="2" l="1"/>
  <c r="D9" i="2" s="1"/>
  <c r="C4" i="2"/>
  <c r="D4" i="2" s="1"/>
  <c r="C7" i="2"/>
  <c r="D7" i="2" s="1"/>
  <c r="C12" i="2"/>
  <c r="D12" i="2" s="1"/>
  <c r="C5" i="2"/>
  <c r="D5" i="2" s="1"/>
  <c r="C11" i="2"/>
  <c r="D11" i="2" s="1"/>
  <c r="C10" i="2"/>
  <c r="D10" i="2" s="1"/>
  <c r="C14" i="2"/>
  <c r="D14" i="2" s="1"/>
  <c r="C13" i="2" l="1"/>
  <c r="D13" i="2" s="1"/>
  <c r="C6" i="2"/>
  <c r="D6" i="2" s="1"/>
  <c r="C8" i="2"/>
  <c r="D8" i="2" s="1"/>
  <c r="C3" i="2" l="1"/>
  <c r="D3" i="2" l="1"/>
  <c r="C15" i="2"/>
  <c r="C16" i="2" l="1"/>
  <c r="D16" i="2" s="1"/>
  <c r="D15" i="2"/>
  <c r="C17" i="2" l="1"/>
  <c r="D17" i="2" s="1"/>
</calcChain>
</file>

<file path=xl/sharedStrings.xml><?xml version="1.0" encoding="utf-8"?>
<sst xmlns="http://schemas.openxmlformats.org/spreadsheetml/2006/main" count="5806" uniqueCount="2723">
  <si>
    <t>Item No.</t>
  </si>
  <si>
    <t>Description</t>
  </si>
  <si>
    <t>Unit</t>
  </si>
  <si>
    <t>PCC Grade M15</t>
  </si>
  <si>
    <t>PCC Grade M20</t>
  </si>
  <si>
    <t>90 cm equilateral triangle</t>
  </si>
  <si>
    <t>60 cm circular</t>
  </si>
  <si>
    <t>5th kilometre stone (precast)</t>
  </si>
  <si>
    <t>Sqm.</t>
  </si>
  <si>
    <t>Total Amount</t>
  </si>
  <si>
    <t>ABSTRACT OF COST</t>
  </si>
  <si>
    <t>S#</t>
  </si>
  <si>
    <t>Rm.</t>
  </si>
  <si>
    <t>tonne</t>
  </si>
  <si>
    <t>A</t>
  </si>
  <si>
    <t>B</t>
  </si>
  <si>
    <t>A)</t>
  </si>
  <si>
    <t>B)</t>
  </si>
  <si>
    <t xml:space="preserve"> By Manual Means:-</t>
  </si>
  <si>
    <t>In area of light jungle</t>
  </si>
  <si>
    <t>In area of thorny jungle</t>
  </si>
  <si>
    <t xml:space="preserve">By Mechanical Meansby by Dozer </t>
  </si>
  <si>
    <t>By Mechanical Means using by motor Grader</t>
  </si>
  <si>
    <t xml:space="preserve">(i)     </t>
  </si>
  <si>
    <t>(ii)</t>
  </si>
  <si>
    <t>(iii)</t>
  </si>
  <si>
    <t>hectare</t>
  </si>
  <si>
    <t>Girth from 300 mm to 600 mm</t>
  </si>
  <si>
    <t>Girth from 600 mm to 900 mm</t>
  </si>
  <si>
    <t xml:space="preserve">(iii)   </t>
  </si>
  <si>
    <t>Girth from 900 mm to 1800 mm</t>
  </si>
  <si>
    <t xml:space="preserve">(iv)  </t>
  </si>
  <si>
    <t xml:space="preserve"> Girth above 1800 mm </t>
  </si>
  <si>
    <t>each</t>
  </si>
  <si>
    <t xml:space="preserve"> Lime /Cement Concrete</t>
  </si>
  <si>
    <t>I</t>
  </si>
  <si>
    <t>By Manual Means</t>
  </si>
  <si>
    <t xml:space="preserve">Lime Concrete, cement concrete grade M-10 and below </t>
  </si>
  <si>
    <t>cum</t>
  </si>
  <si>
    <t>Cement Concrete Grade M-15 &amp; M-20</t>
  </si>
  <si>
    <t>C</t>
  </si>
  <si>
    <t>Prestressed / Reinforced cement concrete grade M-20 &amp; above</t>
  </si>
  <si>
    <t>II</t>
  </si>
  <si>
    <t xml:space="preserve">By Mechanical Means for items No. 2.04( b)   &amp; ( c)   </t>
  </si>
  <si>
    <t>Dismantling Brick / Tile work</t>
  </si>
  <si>
    <t>In lime mortar</t>
  </si>
  <si>
    <t>In cement mortar</t>
  </si>
  <si>
    <t>In mud mortar</t>
  </si>
  <si>
    <t>D</t>
  </si>
  <si>
    <t>Dry brick pitching or brick soling</t>
  </si>
  <si>
    <t>Dismantling Stone Masonry</t>
  </si>
  <si>
    <t>Rubble stone masonry in lime mortar</t>
  </si>
  <si>
    <t>Rubble stone masonry in cement mortar.</t>
  </si>
  <si>
    <t>Rubble Stone Masonry in mud mortar.</t>
  </si>
  <si>
    <t>Dry rubble masonry</t>
  </si>
  <si>
    <t>E</t>
  </si>
  <si>
    <t>Dismantling stone pitching/ dry stone spalls.</t>
  </si>
  <si>
    <t>F</t>
  </si>
  <si>
    <t>Dismantling boulders laid in wire crates including opening of crates and stacking dismantled materials.</t>
  </si>
  <si>
    <t>By Mechanical Means for items No. 2.04 (iii)</t>
  </si>
  <si>
    <t>(iv)</t>
  </si>
  <si>
    <t xml:space="preserve"> Wood work wrought framed and fixed in frames of trusses upto a height of 5 m above plinth level</t>
  </si>
  <si>
    <t>(v)</t>
  </si>
  <si>
    <t>Steel work in all types of sections upto a height of 5 m above plinth level excluding cutting of rivet.</t>
  </si>
  <si>
    <t>Including dismembering</t>
  </si>
  <si>
    <t>Excluding dismembering.</t>
  </si>
  <si>
    <t>Extra over item No( V ) A and( V ) B for cutting rivets.</t>
  </si>
  <si>
    <t>(vi)</t>
  </si>
  <si>
    <t>Scraping of bricks dismantled from brick work including stacking.</t>
  </si>
  <si>
    <t xml:space="preserve">In lime/Cement mortar </t>
  </si>
  <si>
    <t>1000 numbers</t>
  </si>
  <si>
    <t>(vii)</t>
  </si>
  <si>
    <t>Scraping of Stone from dismantled stone masonry</t>
  </si>
  <si>
    <t>In cement and lime mortar</t>
  </si>
  <si>
    <t>In Mud mortar</t>
  </si>
  <si>
    <t>(viii)</t>
  </si>
  <si>
    <t xml:space="preserve">Scarping plaster in lime or cement mortar from brick/ stone masonry </t>
  </si>
  <si>
    <t>sqm</t>
  </si>
  <si>
    <t>(ix)</t>
  </si>
  <si>
    <t>Removing all type of hume pipes and stacking within a lead of 1000 metres including earthwork and dismantling of masonry works.</t>
  </si>
  <si>
    <t>Up to 600 mm dia</t>
  </si>
  <si>
    <t>metre</t>
  </si>
  <si>
    <t>Above 600 mm to 900 mm dia</t>
  </si>
  <si>
    <t>Above 900 mm</t>
  </si>
  <si>
    <t>Dismantling Brick / Tile work/ rubble masonary/ pitching/ etc by mechanical means</t>
  </si>
  <si>
    <t>Bituminous courses</t>
  </si>
  <si>
    <t>Granular courses</t>
  </si>
  <si>
    <t xml:space="preserve"> By Mechanical Means</t>
  </si>
  <si>
    <t>Bituminous course</t>
  </si>
  <si>
    <t>2.10</t>
  </si>
  <si>
    <t xml:space="preserve"> 5th KM stone</t>
  </si>
  <si>
    <t>Ordinary KM Stone</t>
  </si>
  <si>
    <t>Hectometre Stone</t>
  </si>
  <si>
    <t>2.11</t>
  </si>
  <si>
    <t>2.12</t>
  </si>
  <si>
    <t>2.13</t>
  </si>
  <si>
    <t>2.14</t>
  </si>
  <si>
    <t>EARTH WORK, EROSION CONTROL AND DRAINAGE</t>
  </si>
  <si>
    <t>Mechanised</t>
  </si>
  <si>
    <t>Manual Method</t>
  </si>
  <si>
    <t>3.10</t>
  </si>
  <si>
    <t>3.11</t>
  </si>
  <si>
    <t>3.12</t>
  </si>
  <si>
    <t>3.13</t>
  </si>
  <si>
    <t>(i)</t>
  </si>
  <si>
    <t>Ordinary soil</t>
  </si>
  <si>
    <t>Manual Means (Depth upto 3 m)</t>
  </si>
  <si>
    <t>Mechanical Means (Depth upto 3 m)</t>
  </si>
  <si>
    <t xml:space="preserve"> Ordinary rock (not requiring blasting)</t>
  </si>
  <si>
    <t xml:space="preserve"> Mechanical Means</t>
  </si>
  <si>
    <t>Hard rock ( requiring blasting )</t>
  </si>
  <si>
    <t>Hard rock ( blasting prohibited )</t>
  </si>
  <si>
    <t>Mechanical Means</t>
  </si>
  <si>
    <t>Marshy soil</t>
  </si>
  <si>
    <t>Manual means ( upto 3 m depth)</t>
  </si>
  <si>
    <t>3.14</t>
  </si>
  <si>
    <t xml:space="preserve">Scarifying Existing Granular Surface to a Depth of 50 mm </t>
  </si>
  <si>
    <t>3.15</t>
  </si>
  <si>
    <t xml:space="preserve">Scarifying Existing bituminous surface to a depth of 50 mm </t>
  </si>
  <si>
    <t>3.16</t>
  </si>
  <si>
    <t>3.17</t>
  </si>
  <si>
    <t>3.18</t>
  </si>
  <si>
    <t>3.19</t>
  </si>
  <si>
    <t>Compacting Original Ground</t>
  </si>
  <si>
    <t>Case-I</t>
  </si>
  <si>
    <t xml:space="preserve">Case-II </t>
  </si>
  <si>
    <t>:Compacting original ground supporting embankment</t>
  </si>
  <si>
    <t>Mechanical means</t>
  </si>
  <si>
    <t>Manual Means</t>
  </si>
  <si>
    <t>3.26</t>
  </si>
  <si>
    <t>3.27</t>
  </si>
  <si>
    <t>3.28</t>
  </si>
  <si>
    <t>3.29</t>
  </si>
  <si>
    <t>3.30</t>
  </si>
  <si>
    <t>3.31</t>
  </si>
  <si>
    <t>3.32</t>
  </si>
  <si>
    <t>3.33</t>
  </si>
  <si>
    <t>3.34</t>
  </si>
  <si>
    <t>SUB-BASES, BASES ( NON- BITUMINOUS) AND SHOULDERS</t>
  </si>
  <si>
    <t>Granular Sub-base with Close Graded Material (Table:- 400-1)</t>
  </si>
  <si>
    <t>for grading- I  Material</t>
  </si>
  <si>
    <t>for grading- II  Material</t>
  </si>
  <si>
    <t>for grading-III  Material</t>
  </si>
  <si>
    <t>for grading-IV  Material</t>
  </si>
  <si>
    <t>for grading-V  Material</t>
  </si>
  <si>
    <t>for grading-VI  Material</t>
  </si>
  <si>
    <t>Lime Stabilisation for Improving Subgrade</t>
  </si>
  <si>
    <t>By Mechanical Means</t>
  </si>
  <si>
    <t xml:space="preserve"> </t>
  </si>
  <si>
    <t>Cement Stabilisation for Improving Subgrade</t>
  </si>
  <si>
    <t>Cement Stabilisation for Improving Embankment</t>
  </si>
  <si>
    <t>For Sub-Base course</t>
  </si>
  <si>
    <t>For Base course</t>
  </si>
  <si>
    <t>Plant Mix Method (Using by Mechanical Paver)</t>
  </si>
  <si>
    <t>Cement Treated Crushed Stone Sub base (Grading-III Material)</t>
  </si>
  <si>
    <t>Cement Treated Crushed Stone Sub base (Grading-IV Material)</t>
  </si>
  <si>
    <t>By Mix in Place Method ((Using by Soil Stabilizer)</t>
  </si>
  <si>
    <t>Grading- I  (Using Screening Crushable type such as Moorum or Gravel)</t>
  </si>
  <si>
    <t>(a)</t>
  </si>
  <si>
    <t>Using Screening Crushable type such as Moorum or Gravel</t>
  </si>
  <si>
    <t>(b)</t>
  </si>
  <si>
    <t>Using Screening Type-A (13.2mm Agg.)</t>
  </si>
  <si>
    <t>Grading- II  (Using Screening Crushable type such as Moorum or Gravel)</t>
  </si>
  <si>
    <t>(c)</t>
  </si>
  <si>
    <t>Using Screening Type-B (11.2mm Agg.)</t>
  </si>
  <si>
    <t>Grading- III  (Using Screening Crushable type such as Moorum or Gravel)</t>
  </si>
  <si>
    <t>By Mechanical Means:</t>
  </si>
  <si>
    <t xml:space="preserve"> Wet Mix Macadam laying </t>
  </si>
  <si>
    <t>By Mix in Place Method</t>
  </si>
  <si>
    <t xml:space="preserve">(i) </t>
  </si>
  <si>
    <t>For 53 mm maximum size</t>
  </si>
  <si>
    <t xml:space="preserve">(ii) </t>
  </si>
  <si>
    <t>For 45 mm maximum size</t>
  </si>
  <si>
    <t>By Mixing Plant :</t>
  </si>
  <si>
    <t xml:space="preserve">Prime coat </t>
  </si>
  <si>
    <t>Prime Coat over WMM/WBM</t>
  </si>
  <si>
    <t xml:space="preserve">Prime Coat over Stabilized soil bases/Crusher Run Macadam </t>
  </si>
  <si>
    <t xml:space="preserve">Tack coat </t>
  </si>
  <si>
    <t xml:space="preserve">Bituminous Macadam </t>
  </si>
  <si>
    <t xml:space="preserve">   (i)</t>
  </si>
  <si>
    <t>Dense Graded Bituminous Macadam</t>
  </si>
  <si>
    <t xml:space="preserve">Bituminous Concrete </t>
  </si>
  <si>
    <t>Case -1</t>
  </si>
  <si>
    <t>:-19 mm nominal chipping size</t>
  </si>
  <si>
    <t>Case - II</t>
  </si>
  <si>
    <t>13 mm nominal size chipping</t>
  </si>
  <si>
    <t>Type A</t>
  </si>
  <si>
    <t xml:space="preserve">Type B </t>
  </si>
  <si>
    <t>Case - I : Type A</t>
  </si>
  <si>
    <t xml:space="preserve"> 5 mm thickness</t>
  </si>
  <si>
    <t>3 mm thickness</t>
  </si>
  <si>
    <t>1.5 mm thickness</t>
  </si>
  <si>
    <t>Fog Spray</t>
  </si>
  <si>
    <t>added</t>
  </si>
  <si>
    <t>1.In case it is decided by the engineer to blind the fog spray, the following may be added</t>
  </si>
  <si>
    <t xml:space="preserve">Using bitumen emulsion and 9.5 mm or 13.2 mm nominal size aggregate </t>
  </si>
  <si>
    <t xml:space="preserve">Using bitumen emulsion and 19 mm or 26.5 mm nominal size aggregate </t>
  </si>
  <si>
    <t xml:space="preserve">Using cutback bitumen and 9.5 mm or 13.2 mm nominal size aggregate </t>
  </si>
  <si>
    <t xml:space="preserve">Using cutback bitumen and 19 mm or 26.5 mm nominal size aggregate </t>
  </si>
  <si>
    <t>Crack Prevention Courses</t>
  </si>
  <si>
    <t xml:space="preserve"> 75 mm thickness</t>
  </si>
  <si>
    <t>40 mm thickness</t>
  </si>
  <si>
    <t>25 mm thickness</t>
  </si>
  <si>
    <t>Assembling, joining and laying of reinforcing elements.</t>
  </si>
  <si>
    <t>Sqm</t>
  </si>
  <si>
    <t xml:space="preserve"> With reinforcing element of steel / Aluminium strips / polymeric strips.</t>
  </si>
  <si>
    <t>Type 1</t>
  </si>
  <si>
    <t xml:space="preserve">1.Galvanised carbon steel strips </t>
  </si>
  <si>
    <t>Type 2</t>
  </si>
  <si>
    <t xml:space="preserve">2.Copper Strips </t>
  </si>
  <si>
    <t>Type 3</t>
  </si>
  <si>
    <t>3.Aluminium Strips</t>
  </si>
  <si>
    <t>Type 4</t>
  </si>
  <si>
    <t>4.Stainless steel strips</t>
  </si>
  <si>
    <t>Type 5</t>
  </si>
  <si>
    <t>5.Glass reinforced polymer/fibre reinforced polymer/polymeric strips</t>
  </si>
  <si>
    <t>With reinforcing elements of synthetic geogrids</t>
  </si>
  <si>
    <t xml:space="preserve">Facing elements of RCC </t>
  </si>
  <si>
    <t xml:space="preserve">Bi-axial extruded high modulus polypropylene geogrid </t>
  </si>
  <si>
    <t>Supplying &amp; laying of bi-axial extruded high modulus polypropylene geogrid conforming to MORT&amp;H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t>
  </si>
  <si>
    <t>Synthetic Geogrid Ultimate tensile strength- 100 kN/m</t>
  </si>
  <si>
    <t>Synthetic Geogrid Ultimate tensile strength- 150 kN/m</t>
  </si>
  <si>
    <t>Synthetic Geogrid Ultimate tensile strength- 200 kN/m</t>
  </si>
  <si>
    <t>Synthetic Geogrid Ultimate tensile strength- 250 kN/m</t>
  </si>
  <si>
    <t>Synthetic Geogrid Ultimate tensile strength- 300 kN/m</t>
  </si>
  <si>
    <t>Synthetic Geogrid Ultimate tensile strength- 350 kN/m</t>
  </si>
  <si>
    <t>Synthetic Geogrid Ultimate tensile strength- 400 kN/m</t>
  </si>
  <si>
    <t>Synthetic Geogrid Ultimate tensile strength- 500 kN/m</t>
  </si>
  <si>
    <t>Synthetic Geogrid Ultimate tensile strength- 600 kN/m</t>
  </si>
  <si>
    <t>(x)</t>
  </si>
  <si>
    <t>Synthetic Geogrid Ultimate tensile strength- 800 kN/m</t>
  </si>
  <si>
    <t>(xi)</t>
  </si>
  <si>
    <t>Synthetic Geogrid Ultimate tensile strength- 900 kN/m</t>
  </si>
  <si>
    <t>(xii)</t>
  </si>
  <si>
    <t>Synthetic Geogrid Ultimate tensile strength- 1000 kN/m</t>
  </si>
  <si>
    <t>(xiii)</t>
  </si>
  <si>
    <t>Synthetic Geogrid Ultimate tensile strength- 1100 kN/m</t>
  </si>
  <si>
    <t>(xiv)</t>
  </si>
  <si>
    <t>Synthetic Geogrid Ultimate tensile strength- 1200 kN/m</t>
  </si>
  <si>
    <t>TRAFFIC SIGNS, MARKINGS &amp; OTHER ROAD APPURTENANCES</t>
  </si>
  <si>
    <t>Using Concrete Batching and Mixing Plant</t>
  </si>
  <si>
    <t>PCC M15  for Kerb base</t>
  </si>
  <si>
    <t>PCC M20 for  Kerb (Cast in Situ)</t>
  </si>
  <si>
    <t>cm height per letter</t>
  </si>
  <si>
    <t>English and Roman</t>
  </si>
  <si>
    <t>( i )</t>
  </si>
  <si>
    <t>( ii )</t>
  </si>
  <si>
    <t>( iii )</t>
  </si>
  <si>
    <t>( iv )</t>
  </si>
  <si>
    <t>60 cm equilateral triangle</t>
  </si>
  <si>
    <t>( v )</t>
  </si>
  <si>
    <t>(vi )</t>
  </si>
  <si>
    <t>( vii )</t>
  </si>
  <si>
    <t>( viii )</t>
  </si>
  <si>
    <t>( ix)</t>
  </si>
  <si>
    <t>( x)</t>
  </si>
  <si>
    <t>80 mm x 60 mm rectangular</t>
  </si>
  <si>
    <t>( xi)</t>
  </si>
  <si>
    <t>( xii)</t>
  </si>
  <si>
    <t>60 cm x 45 cm rectangular</t>
  </si>
  <si>
    <t>( xiii)</t>
  </si>
  <si>
    <t>60 cm x 60 cm square</t>
  </si>
  <si>
    <t>( xiv)</t>
  </si>
  <si>
    <t>( xv)</t>
  </si>
  <si>
    <t>90 cm high octagon</t>
  </si>
  <si>
    <t>( xvi)</t>
  </si>
  <si>
    <t xml:space="preserve">Truss and Vertical Support </t>
  </si>
  <si>
    <t>Aluminium alloy plate for over head sign</t>
  </si>
  <si>
    <t>8.10</t>
  </si>
  <si>
    <t>8.11</t>
  </si>
  <si>
    <t xml:space="preserve">Over 10 cm in width </t>
  </si>
  <si>
    <t xml:space="preserve">Up to 10 cm in width </t>
  </si>
  <si>
    <t>8.12</t>
  </si>
  <si>
    <t xml:space="preserve"> Over 10 cm in width </t>
  </si>
  <si>
    <t>8.13</t>
  </si>
  <si>
    <t>8.14</t>
  </si>
  <si>
    <t>Ordinary Kilometer stone (Precast)</t>
  </si>
  <si>
    <t>Hectometer stone (Precast)</t>
  </si>
  <si>
    <t>8.15</t>
  </si>
  <si>
    <t>8.16</t>
  </si>
  <si>
    <t>8.17</t>
  </si>
  <si>
    <t>8.18</t>
  </si>
  <si>
    <t>8.19</t>
  </si>
  <si>
    <t>8.20</t>
  </si>
  <si>
    <t>8.21</t>
  </si>
  <si>
    <t>8.22</t>
  </si>
  <si>
    <t>8.23</t>
  </si>
  <si>
    <t>Metal Beam Crash Barrier</t>
  </si>
  <si>
    <t>8.24</t>
  </si>
  <si>
    <t>8.25</t>
  </si>
  <si>
    <t>8.26</t>
  </si>
  <si>
    <t>Anti - Glare Devices in Median</t>
  </si>
  <si>
    <t>8.27</t>
  </si>
  <si>
    <t>For Fixing in Median</t>
  </si>
  <si>
    <t>For fixing in Footpath</t>
  </si>
  <si>
    <t>8.28</t>
  </si>
  <si>
    <t>8.29</t>
  </si>
  <si>
    <t>Single Row for one utility service</t>
  </si>
  <si>
    <t>Double Row for two utility services</t>
  </si>
  <si>
    <t>Triple Row for three utility services</t>
  </si>
  <si>
    <t>8.30</t>
  </si>
  <si>
    <t>8.31</t>
  </si>
  <si>
    <t>8.32</t>
  </si>
  <si>
    <t>8.33</t>
  </si>
  <si>
    <t>Gantry Support System</t>
  </si>
  <si>
    <t>8.34</t>
  </si>
  <si>
    <t xml:space="preserve">Traffic Impact Attenuators at Abutments and Piers </t>
  </si>
  <si>
    <t>8.35</t>
  </si>
  <si>
    <t>8.36</t>
  </si>
  <si>
    <t>8.37</t>
  </si>
  <si>
    <t>Roadside Amenities</t>
  </si>
  <si>
    <t>8.38</t>
  </si>
  <si>
    <t>8.39</t>
  </si>
  <si>
    <t>8.40</t>
  </si>
  <si>
    <t>8.41</t>
  </si>
  <si>
    <t>8.42</t>
  </si>
  <si>
    <t>8.43</t>
  </si>
  <si>
    <t>8.44</t>
  </si>
  <si>
    <t xml:space="preserve">Permanent Type Barricade in Construction Zone </t>
  </si>
  <si>
    <t>8.45</t>
  </si>
  <si>
    <t xml:space="preserve">Traffic Management Command Centre Equipment </t>
  </si>
  <si>
    <t>Control Centre Server</t>
  </si>
  <si>
    <t>Nos.</t>
  </si>
  <si>
    <t>Hot Standby Backup Server</t>
  </si>
  <si>
    <t>NAS Video Server with storage Minimum 70 TB</t>
  </si>
  <si>
    <t>Backup Video (Only Incidents) Server</t>
  </si>
  <si>
    <t xml:space="preserve">Graphic Display (70" LED DLP in 3x2 matrix) </t>
  </si>
  <si>
    <t>Graphic Display Controller and software including Video Switches</t>
  </si>
  <si>
    <t>CCTV Monitoring Workstation</t>
  </si>
  <si>
    <t>Emergency Telephone (1033) console</t>
  </si>
  <si>
    <t>VIDS- Workstation</t>
  </si>
  <si>
    <t>Administrative Workstation</t>
  </si>
  <si>
    <t>ATMS Operator Workstation</t>
  </si>
  <si>
    <t>CCTV Joystick</t>
  </si>
  <si>
    <t>Operations Laser Printer (Colour)</t>
  </si>
  <si>
    <t>Operations Laser Printer (Black)</t>
  </si>
  <si>
    <t>Rack 19"</t>
  </si>
  <si>
    <t>Advanced Traffic Management Systems (ATMS) Software</t>
  </si>
  <si>
    <t>ATMS Control Room Software (integrated with VIDS, ATCC, VMS, MOS)</t>
  </si>
  <si>
    <t>Video Management Software with atleast 150 VMS Lic.</t>
  </si>
  <si>
    <t>Facility Monitoring System Controller Software</t>
  </si>
  <si>
    <t>Server &amp; Database license</t>
  </si>
  <si>
    <t>Antivirus license</t>
  </si>
  <si>
    <t>PTZ Closed Circuit Television System</t>
  </si>
  <si>
    <t>PTZ Camera (including CCTV Controller)</t>
  </si>
  <si>
    <t>Set</t>
  </si>
  <si>
    <t>Solar System with UPS, battery &amp; 12m Pole &amp; Cabinet</t>
  </si>
  <si>
    <t>Video Incident Detection System Equipment (VIDS)</t>
  </si>
  <si>
    <t>VIDS Camera (including Image Processing unit)</t>
  </si>
  <si>
    <t>Warning amber lights with hooters, 72 Hrs solar backup, 5m poles and foundation</t>
  </si>
  <si>
    <t>Cabinet</t>
  </si>
  <si>
    <t>12 m Pole (including manufacturing and galvanizing)</t>
  </si>
  <si>
    <t>Solar System with UPS &amp; batteries</t>
  </si>
  <si>
    <t>Automatic Traffic Counters-cum-classifier System Equipment (ATCC)</t>
  </si>
  <si>
    <t xml:space="preserve"> Equipment, Sensor unit, Processing unit, Solar power supply </t>
  </si>
  <si>
    <t>Solar System with UPS, batteries</t>
  </si>
  <si>
    <t>Variable Message Sign Equipment (VMS)</t>
  </si>
  <si>
    <t>VMS (Variable Message Sign - M type)</t>
  </si>
  <si>
    <t>Gantry (including manufacturing and galvanizing)</t>
  </si>
  <si>
    <t>Solar System with UPS, battery and cabinet for M type VMS</t>
  </si>
  <si>
    <t>G</t>
  </si>
  <si>
    <t>UPS and Power system</t>
  </si>
  <si>
    <t>Uninterruptible Power Supply (UPS) For Server Rack (10 KVA)</t>
  </si>
  <si>
    <t>Uninterruptible Power Supply (UPS) For TMC (30 KVA)</t>
  </si>
  <si>
    <t>Power Distribution Board (Essential &amp; Critical Supply)</t>
  </si>
  <si>
    <t>H</t>
  </si>
  <si>
    <t xml:space="preserve">Meteorological Observation System (MOS) </t>
  </si>
  <si>
    <t>MOS sensor Equipment (including MOS Controller)</t>
  </si>
  <si>
    <t>Pole</t>
  </si>
  <si>
    <t>Steel fence for protection</t>
  </si>
  <si>
    <t>24 Core Armoured OFC + all accessories</t>
  </si>
  <si>
    <t>Meter</t>
  </si>
  <si>
    <t>40 mm PLB HDPE duct as per latest TSEC specifications + all accessories</t>
  </si>
  <si>
    <t xml:space="preserve">Trenching of 1.8 meters, Laying &amp; Backfilling for PLB HDPE duct </t>
  </si>
  <si>
    <t>upto 3 m depth</t>
  </si>
  <si>
    <t>3 m to 6 m depth</t>
  </si>
  <si>
    <t>Above 6 m depth</t>
  </si>
  <si>
    <t xml:space="preserve">Depth upto 3 m </t>
  </si>
  <si>
    <t>Depth 3 m to 6 m</t>
  </si>
  <si>
    <t>Depth above 6m</t>
  </si>
  <si>
    <t>Ordinary rock (not requiring blasting)</t>
  </si>
  <si>
    <t>Depth upto 3 m</t>
  </si>
  <si>
    <t>III</t>
  </si>
  <si>
    <t>IV</t>
  </si>
  <si>
    <t>V</t>
  </si>
  <si>
    <t>Manual means</t>
  </si>
  <si>
    <t>VI</t>
  </si>
  <si>
    <t>Back Filling in Marshy Foundation Pits</t>
  </si>
  <si>
    <t xml:space="preserve">Cement Mortar </t>
  </si>
  <si>
    <t>Cement Mortar 1:3 (1 cement : 3 sand)</t>
  </si>
  <si>
    <t>Cement Mortar1:2 (1cement :2 sand)</t>
  </si>
  <si>
    <t>Cement Mortar1:4 (1cement :4 sand)</t>
  </si>
  <si>
    <t>Cement Mortar1:6 (1cement :6 sand)</t>
  </si>
  <si>
    <t>Stone masonry work in cement mortar 1:3 for substructure complete as per drawing and Technical Specifications</t>
  </si>
  <si>
    <t>Random Rubble Masonry</t>
  </si>
  <si>
    <t>Coursed rubble masonry (first sort )</t>
  </si>
  <si>
    <t>Ashlar masonry ( first sort )</t>
  </si>
  <si>
    <t>1000 mm dia</t>
  </si>
  <si>
    <t>1200 mm dia</t>
  </si>
  <si>
    <t>Plain/Reinforced Cement Concrete in Open Foundation complete as per Drawing and Technical Specifications.</t>
  </si>
  <si>
    <t xml:space="preserve">PCC Grade M15 </t>
  </si>
  <si>
    <t>Case I</t>
  </si>
  <si>
    <t>With Batching Plant,  Transit Mixer and Concrete Pump</t>
  </si>
  <si>
    <t>Case II</t>
  </si>
  <si>
    <t>With Batching Plant,  Transit Mixer and Manual placing</t>
  </si>
  <si>
    <t xml:space="preserve">PCC Grade M20 </t>
  </si>
  <si>
    <t>RCC Grade M20</t>
  </si>
  <si>
    <t>PCC Grade M25</t>
  </si>
  <si>
    <t>RCC Grade M25</t>
  </si>
  <si>
    <t xml:space="preserve">PCC Grade M30 </t>
  </si>
  <si>
    <t>RCC Grade M30</t>
  </si>
  <si>
    <t xml:space="preserve">Case II    </t>
  </si>
  <si>
    <t xml:space="preserve">RCC Grade M35 </t>
  </si>
  <si>
    <t>RCC Grade M40</t>
  </si>
  <si>
    <t>Plain/Reinforced Cement Concrete for wall &amp; slab etc. complete as per Drawing and Technical Specifications.</t>
  </si>
  <si>
    <t>Providing weep holes in Brick masonry/Plain/ Reinforced concrete abutment, wing wall/ return wall with 100 mm dia AC pipe, extending through the full width of the structure with slope of 1V :20H towards drawing foce. Complete as per drawing and Technical Specifications</t>
  </si>
  <si>
    <t>PCC M15 Grade leveling course below approach slab complete as per drawing and Technical specification</t>
  </si>
  <si>
    <t>Reinforced cement concrete approach slab including reinforcement and formwork complete as per drawing and Technical specification</t>
  </si>
  <si>
    <t>Drainage Spouts complete as per drawing and Technical specification</t>
  </si>
  <si>
    <t>Providing and laying Cement concrete wearing coat M-30 grade including reinforcement complete as per drawing and Technical Specifications</t>
  </si>
  <si>
    <t xml:space="preserve">Providing and applying 2 coats of water based cement paint to unplastered concrete surface after cleaning the surface of dirt, dust, oil, grease, efflorescence and applying paint @ of 1 litre for 2 sqm. </t>
  </si>
  <si>
    <t>Filler joint</t>
  </si>
  <si>
    <t>Providing &amp; fixing 2 mm thick corrugated copper plate in expansion joint complete as per drawing &amp; Technical Specification.</t>
  </si>
  <si>
    <t>Providing &amp; fixing 20 mm thick compressible fibre board in expansion joint complete as per drawing &amp; Technical Specification.</t>
  </si>
  <si>
    <t>Providing and fixing in position 20 mm thick premoulded joint filler in expansion joint for fixed ends of simply supported spans not exceeding 10 m to cater for a horizontal movement upto 20 mm, covered with sealant complete as per drawing and technical specifications.</t>
  </si>
  <si>
    <t>Providing and filling joint sealing compound as per drawings and technical specifications with coarse sand and 6 per cent  bitumen by weight</t>
  </si>
  <si>
    <t xml:space="preserve">Back filling behind abutment, wing wall and return wall complete as per drawing and Technical Specification </t>
  </si>
  <si>
    <t>Granular material</t>
  </si>
  <si>
    <t>Sandy material</t>
  </si>
  <si>
    <t>Providing and laying of Filter media with granular materials/stone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complete as per drawing and Technical Specification.</t>
  </si>
  <si>
    <t>MAINTENANCE  OF ROADS</t>
  </si>
  <si>
    <t xml:space="preserve"> for grading I  Material</t>
  </si>
  <si>
    <t>for grading II  Material</t>
  </si>
  <si>
    <t>Stress Absorbing Membrane (SAM) crack width less than 6 mm</t>
  </si>
  <si>
    <t>Stress Absorbing Membrane (SAM) with crack width 6 mm to 9 mm</t>
  </si>
  <si>
    <t>Stress Absorbing Membrane (SAM) crack width above 9 mm and cracked area above 50 %</t>
  </si>
  <si>
    <t>Bitumen Impregnated Geotextile</t>
  </si>
  <si>
    <t>19 mm nominal chipping size</t>
  </si>
  <si>
    <t>10.10</t>
  </si>
  <si>
    <t>10.11</t>
  </si>
  <si>
    <t>10.12</t>
  </si>
  <si>
    <t>10.13</t>
  </si>
  <si>
    <t>10.14</t>
  </si>
  <si>
    <t>10.15</t>
  </si>
  <si>
    <t>In rows 15 cm apart in either direction</t>
  </si>
  <si>
    <t xml:space="preserve"> In rows 7.5 cm apart in either direction</t>
  </si>
  <si>
    <t xml:space="preserve">Maintenance of Lawns with Fine Grassing for the First Year </t>
  </si>
  <si>
    <t xml:space="preserve">(b)     </t>
  </si>
  <si>
    <t>Maintenance of Hedge for one year</t>
  </si>
  <si>
    <t>a)     Planting Flowering Plants and Shrubs in Central Verge</t>
  </si>
  <si>
    <t>km</t>
  </si>
  <si>
    <t xml:space="preserve">(b)    </t>
  </si>
  <si>
    <t>Maintenance of Flowering Plants and Shrubs in Central Verge for one Year</t>
  </si>
  <si>
    <t>11.10</t>
  </si>
  <si>
    <t>11.11</t>
  </si>
  <si>
    <t>11.12</t>
  </si>
  <si>
    <t>quintal</t>
  </si>
  <si>
    <t>11.13</t>
  </si>
  <si>
    <t>11.14</t>
  </si>
  <si>
    <t>11.15</t>
  </si>
  <si>
    <t>Edging with 2nd class Bricks,  laid dry lengthwise (Edging with 2nd class bricks,  laid dry lengthwise,  including excavation,  refilling,  consolidation,  with a hand packing and spreading nearly surplus earth within a lead of 50 metres)</t>
  </si>
  <si>
    <t>11.16</t>
  </si>
  <si>
    <t>11.17</t>
  </si>
  <si>
    <t>11.18</t>
  </si>
  <si>
    <t>11.19</t>
  </si>
  <si>
    <t>each tree guard</t>
  </si>
  <si>
    <t>11.20</t>
  </si>
  <si>
    <t>11.21</t>
  </si>
  <si>
    <t>Sand Filling in Foundation Trenches as per Drawing &amp; Technical Specification</t>
  </si>
  <si>
    <t>Brick masonry work in cement mortar 1:3 in foundation complete excluding pointing and plastering,  as per drawing and technical specifications</t>
  </si>
  <si>
    <t>Cement mortar1:3 (1cement :3 sand)</t>
  </si>
  <si>
    <t>Cement mortar1:2 (1cement :2 sand)</t>
  </si>
  <si>
    <t>Cement mortar1:4 (1cement :4 sand)</t>
  </si>
  <si>
    <t>Cement mortar1:6 (1cement :6 sand)</t>
  </si>
  <si>
    <t>Stone masonry work in cement mortar 1:3 in foundation complete as drawing and Technical Specification</t>
  </si>
  <si>
    <t xml:space="preserve">(a)     </t>
  </si>
  <si>
    <t>Square Rubble Coursed rubble masonry( first sort )</t>
  </si>
  <si>
    <t xml:space="preserve">(b)      </t>
  </si>
  <si>
    <t xml:space="preserve"> Plain/Reinforced cement concrete in open foundation complete as per drawing and technical specifications</t>
  </si>
  <si>
    <t>J</t>
  </si>
  <si>
    <t>RCC Grade M45</t>
  </si>
  <si>
    <t xml:space="preserve"> Providing and constructing temporary island 16 m diameter for construction of well foundation for 8m dia. Well.</t>
  </si>
  <si>
    <t>Assuming depth of water 1.0 m and height of island to be 1.25m.</t>
  </si>
  <si>
    <t>Assuming depth of water 4.0 m and height of island 4.5 m.</t>
  </si>
  <si>
    <t xml:space="preserve">Providing and constructing one span service road to reach island location from one pier location to another pier location </t>
  </si>
  <si>
    <t>12.10</t>
  </si>
  <si>
    <t>Providing and laying cutting edge of mild steel weighing 40 kg per metre for well foundation complete as per drawing and technical specification.</t>
  </si>
  <si>
    <t>12.11</t>
  </si>
  <si>
    <t>Plain/Reinforced cement concrete,  in well foundation complete as per drawing and technical specification</t>
  </si>
  <si>
    <t>Well curb</t>
  </si>
  <si>
    <t>RCC M20 Grade</t>
  </si>
  <si>
    <t>RCC M25 Grade</t>
  </si>
  <si>
    <t xml:space="preserve">(iii) </t>
  </si>
  <si>
    <t>RCC M30Grade</t>
  </si>
  <si>
    <t xml:space="preserve">(iv) </t>
  </si>
  <si>
    <t>RCC M35 Grade</t>
  </si>
  <si>
    <t xml:space="preserve">(v) </t>
  </si>
  <si>
    <t>RCC M40Grade</t>
  </si>
  <si>
    <t>Well steining</t>
  </si>
  <si>
    <t>(I)</t>
  </si>
  <si>
    <t xml:space="preserve">PCC M15 Grade </t>
  </si>
  <si>
    <t xml:space="preserve">PCC M20 Grade </t>
  </si>
  <si>
    <t xml:space="preserve">RCC M20 Grade </t>
  </si>
  <si>
    <t xml:space="preserve">PCC M25 Grade </t>
  </si>
  <si>
    <t xml:space="preserve">RCC M25 Grade </t>
  </si>
  <si>
    <t>PCC M30 Grade</t>
  </si>
  <si>
    <t>RCC M30 Grade</t>
  </si>
  <si>
    <t>RCC M40 Grade</t>
  </si>
  <si>
    <t xml:space="preserve">Bottom Plug </t>
  </si>
  <si>
    <t xml:space="preserve">Case I </t>
  </si>
  <si>
    <t xml:space="preserve">PCC Grade M25 </t>
  </si>
  <si>
    <t xml:space="preserve">PCC Grade M35 </t>
  </si>
  <si>
    <t>Intermediate plug</t>
  </si>
  <si>
    <t>Grade M20 PCC</t>
  </si>
  <si>
    <t>Grade M25 PCC</t>
  </si>
  <si>
    <t>Grade M30 PCC</t>
  </si>
  <si>
    <t>Top plug</t>
  </si>
  <si>
    <t>Grade M15 PCC</t>
  </si>
  <si>
    <t>Well cap</t>
  </si>
  <si>
    <t xml:space="preserve"> RCC Grade M20</t>
  </si>
  <si>
    <t>12.12</t>
  </si>
  <si>
    <t>Sandy soil</t>
  </si>
  <si>
    <t xml:space="preserve"> Depth below bed level upto 3.0 M</t>
  </si>
  <si>
    <t xml:space="preserve"> Beyond 3m upto 10m depth</t>
  </si>
  <si>
    <t>Beyond 10m upto 20m</t>
  </si>
  <si>
    <t>a</t>
  </si>
  <si>
    <t>Add 5% for every additional meter depth of sinking over the rate of sinking for the previous meter</t>
  </si>
  <si>
    <t xml:space="preserve"> Beyond 20m upto 30 m</t>
  </si>
  <si>
    <t>Add 7.5% for every additional meter depth of sinking over the rate of sinking for the previous meter</t>
  </si>
  <si>
    <t>b</t>
  </si>
  <si>
    <t>Add 20% of cost for Kentledge including supports, loading arrangement and Labour .</t>
  </si>
  <si>
    <t>Beyond 30m upto 40 m</t>
  </si>
  <si>
    <t>Add 10% for every additional meter depth of sinking over the rate of sinking for the previous meter</t>
  </si>
  <si>
    <t xml:space="preserve"> Clayey soil ( 6m dia. Well )</t>
  </si>
  <si>
    <t>Beyond 10 m upto 20 m</t>
  </si>
  <si>
    <t>Add for dewatering @ 5% of cost, if required.</t>
  </si>
  <si>
    <t>Beyond 20m upto 30 m</t>
  </si>
  <si>
    <t>Add 5% of cost for dewatering of the cost,  if required</t>
  </si>
  <si>
    <t>c</t>
  </si>
  <si>
    <t>Add 25% of cost for Kentledge including supports, loading arrangement and Labour ).</t>
  </si>
  <si>
    <t>Add 5% of cost for dewatering,  if required</t>
  </si>
  <si>
    <t>Add 20% of cost for Kentledge including supports, loading arrangement and Labour).</t>
  </si>
  <si>
    <t xml:space="preserve"> Soft rock (6m dia well )</t>
  </si>
  <si>
    <t xml:space="preserve"> Extra over item no. 12.12 (A) &amp; (B) irrespective of depth for sinking in  Soft Rock</t>
  </si>
  <si>
    <t>Hard rock (6m dia well )</t>
  </si>
  <si>
    <t xml:space="preserve"> Extra over item no. 12.12 (A) &amp; (B) irrespective of depth for sinking in  Soft Rock </t>
  </si>
  <si>
    <t>Bouldery strata(6m dia well )</t>
  </si>
  <si>
    <t xml:space="preserve">Extra over item no. 12.12 (A) &amp; (B) irrespective of depth for sinking in rock bouldery strata  </t>
  </si>
  <si>
    <t>12.13</t>
  </si>
  <si>
    <t xml:space="preserve"> Beyond 10m upto 20m</t>
  </si>
  <si>
    <t>Add 20% of cost for Kentledge including supports, loading arrangement and Labour) .</t>
  </si>
  <si>
    <t xml:space="preserve"> Beyond 30m upto 40 m</t>
  </si>
  <si>
    <t>Add 20% of cost for Kentledge including supports, loading arrangement, and Labour etc.</t>
  </si>
  <si>
    <t xml:space="preserve"> Clayey soil ( 7m dia. Well )</t>
  </si>
  <si>
    <t>Beyond 3m upto 10m depth</t>
  </si>
  <si>
    <t>Add 5% of cost for dewatering on the cost,  if required</t>
  </si>
  <si>
    <t xml:space="preserve"> Soft rock (7 m dia well )</t>
  </si>
  <si>
    <t xml:space="preserve"> Extra over item no. 12.13 (A) &amp; (B) irrespective of depth for sinking in  Soft Rock </t>
  </si>
  <si>
    <t>Hard rock (7 m dia well )</t>
  </si>
  <si>
    <t xml:space="preserve"> Extra over item no. 12.13(A) &amp; (B) irrespective of depth for sinking in  Soft Rock </t>
  </si>
  <si>
    <t>Bouldery strata(7 m dia well )</t>
  </si>
  <si>
    <t>Extra over item no. 12.13 (A) &amp; (B) irrespective of depth for sinking in rock bouldery strata</t>
  </si>
  <si>
    <t>12.14</t>
  </si>
  <si>
    <t xml:space="preserve"> Clayey soil ( 8m dia. Well )</t>
  </si>
  <si>
    <t xml:space="preserve"> Depth upto 3.0 M</t>
  </si>
  <si>
    <t xml:space="preserve"> Soft rock (8 m dia well )</t>
  </si>
  <si>
    <t xml:space="preserve"> Extra over item no. 12.14 (A) &amp; (B) irrespective of depth for sinking in  Soft Rock </t>
  </si>
  <si>
    <t>Hard rock (8 m dia well )</t>
  </si>
  <si>
    <t>Bouldery strata(8 m dia well )</t>
  </si>
  <si>
    <t xml:space="preserve">Extra over item no. 12.14 (A) &amp; (B) irrespective of depth for sinking in rock bouldery strata  </t>
  </si>
  <si>
    <t>12.15</t>
  </si>
  <si>
    <t xml:space="preserve"> Clayey soil ( 9m dia. Well )</t>
  </si>
  <si>
    <t>Depth below bed level upto 3.0 M</t>
  </si>
  <si>
    <t xml:space="preserve"> Soft rock (9 m dia well )</t>
  </si>
  <si>
    <t>Hard rock (9 m dia well )</t>
  </si>
  <si>
    <t>Bouldery strata (9 m dia well )</t>
  </si>
  <si>
    <t>12.16</t>
  </si>
  <si>
    <t xml:space="preserve"> Sandy soil</t>
  </si>
  <si>
    <t>Clayey soil (10m dia. Well )</t>
  </si>
  <si>
    <t>'b</t>
  </si>
  <si>
    <t xml:space="preserve"> Soft rock (10 m dia well )</t>
  </si>
  <si>
    <t>Hard rock (10 m dia well )</t>
  </si>
  <si>
    <t>Bouldery strata (10 m dia well )</t>
  </si>
  <si>
    <t>12.17</t>
  </si>
  <si>
    <t>Depth from bed level upto 3.0 M</t>
  </si>
  <si>
    <t>Clayey soil (11 m dia. Well )</t>
  </si>
  <si>
    <t xml:space="preserve"> Soft rock (11 m dia well )</t>
  </si>
  <si>
    <t>Hard rock (11 m dia well )</t>
  </si>
  <si>
    <t>Bouldery strata (11 m dia well )</t>
  </si>
  <si>
    <t>12.18</t>
  </si>
  <si>
    <t>I) Depth below bed level upto 3.0 M</t>
  </si>
  <si>
    <t>Clayey soil (12 m dia. Well )</t>
  </si>
  <si>
    <t xml:space="preserve"> Soft rock (12 m dia well )</t>
  </si>
  <si>
    <t xml:space="preserve"> Extra over item no. 12.18 (A) &amp; (B) irrespective of depth for sinking in  Soft Rock </t>
  </si>
  <si>
    <t>Hard rock (12 m dia well )</t>
  </si>
  <si>
    <t>Bouldery strata (12 m dia well )</t>
  </si>
  <si>
    <t xml:space="preserve">Extra over item no. 12.18 (A) &amp; (B) irrespective of depth for sinking in rock bouldery strata  </t>
  </si>
  <si>
    <t>12.19</t>
  </si>
  <si>
    <t xml:space="preserve"> Clayey soil (Twin D Type Well )</t>
  </si>
  <si>
    <t>Soft rock (Twin D Type well )</t>
  </si>
  <si>
    <t xml:space="preserve"> Extra over item no. 12.19 (A) &amp; (B) irrespective of depth for sinking in  Soft Rock </t>
  </si>
  <si>
    <t>Hard rock (Twin D Type well )</t>
  </si>
  <si>
    <t xml:space="preserve"> Extra over item no. 12.19(A) &amp; (B) irrespective of depth for sinking in  Soft Rock </t>
  </si>
  <si>
    <t>Bouldery strata  (Twin D Type well )</t>
  </si>
  <si>
    <t xml:space="preserve">Extra over item no. 12.19 (A) &amp; (B) irrespective of depth for sinking in rock bouldery strata  </t>
  </si>
  <si>
    <t>12.20</t>
  </si>
  <si>
    <t>Pneumatic sinking of wells with equipment of approved design, drawing and specifications worked by competent and trained personnel and comprising of compression and decompression chambers, reducers, two air locks separately for men and plant &amp; materials, arrangement for supply of fresh air to working chambers, check valves, exhaust valves, shafts made from steel plates of riveted construction not less than 6 mm thick to withstand an air pressure of 0.50 MPa, controlled blasting of hard rock where required, staircases and 1 m wide landing plateforms with railing, arrangement for compression and decompression, electric lighting of 50 V maximum, proper rooms for rest and medical examinations and compliance with safety precautions as per IS:4138, all as per clause1208.8 of MoRTH Specifications.</t>
  </si>
  <si>
    <t>12.21</t>
  </si>
  <si>
    <t>Sand filling in wells complete as per drawing and technical specifications</t>
  </si>
  <si>
    <t>12.22</t>
  </si>
  <si>
    <t>Providing steel liner 10 mm thick for curbs and 6mm thick for steining of wells including fabricating and setting out as per detailed drawing</t>
  </si>
  <si>
    <t>12.23</t>
  </si>
  <si>
    <t>12.24</t>
  </si>
  <si>
    <t>12.25</t>
  </si>
  <si>
    <t>12.26</t>
  </si>
  <si>
    <t>12.27</t>
  </si>
  <si>
    <t>12.28</t>
  </si>
  <si>
    <t>12.29</t>
  </si>
  <si>
    <t>12.30</t>
  </si>
  <si>
    <t>12.31</t>
  </si>
  <si>
    <t>12.32</t>
  </si>
  <si>
    <t>12.33</t>
  </si>
  <si>
    <t>12.34</t>
  </si>
  <si>
    <t>12.35</t>
  </si>
  <si>
    <t>12.36</t>
  </si>
  <si>
    <t>12.37</t>
  </si>
  <si>
    <t>12.38</t>
  </si>
  <si>
    <t>Pile load test on single vertical pile in accordance with IS:2911(Part-IV)</t>
  </si>
  <si>
    <t>12.39</t>
  </si>
  <si>
    <t>Dismantling of Reinforced Concrete Pile head complete as per Drawing and Technical Specification</t>
  </si>
  <si>
    <t>12.40</t>
  </si>
  <si>
    <t>Cement concrete for reinforced concrete in pile cap complete as per drawing and Technical Specification</t>
  </si>
  <si>
    <t xml:space="preserve">RCC Grade M20 </t>
  </si>
  <si>
    <t xml:space="preserve">RCC Grade M25 </t>
  </si>
  <si>
    <t xml:space="preserve">RCC Grade M30 </t>
  </si>
  <si>
    <t>Levelling course for Pile cap</t>
  </si>
  <si>
    <t xml:space="preserve">Supplying,  fitting and placing un-coated HYSD bar reinforcement in foundation complete as per drawing and technical specifications </t>
  </si>
  <si>
    <t>12.41</t>
  </si>
  <si>
    <t>Supplying,  fitting and placing un-coated Mild steel reinforcement complete in foundation as per drawing and technical specification</t>
  </si>
  <si>
    <t>Brick masonry work in 1:3 in sub-structure complete excluding pointing and plastering,  as per drawing and technical specifications</t>
  </si>
  <si>
    <t xml:space="preserve">Pointing with cement mortar (1:3 ) on brick work in substructure as per Technical specifications </t>
  </si>
  <si>
    <t xml:space="preserve">Plastering with cement mortar (1:3 ) on brick work in sub-structure as per Technical specifications </t>
  </si>
  <si>
    <t>Plain/Reinforced cement concrete in sub-structure complete as per drawing and technical specifications</t>
  </si>
  <si>
    <t>(p)</t>
  </si>
  <si>
    <t>Height upto 5m</t>
  </si>
  <si>
    <t>(q)</t>
  </si>
  <si>
    <t>Height 5m to 10m</t>
  </si>
  <si>
    <t>(r)</t>
  </si>
  <si>
    <t>Height above 10m</t>
  </si>
  <si>
    <t>PCC Grade M30</t>
  </si>
  <si>
    <t>RCC Grade M35</t>
  </si>
  <si>
    <t>K</t>
  </si>
  <si>
    <t>RCC Grade M50</t>
  </si>
  <si>
    <t xml:space="preserve">Supplying,  fitting and placing HYSD bar reinforcement in sub-structure complete as per drawing and technical specifications </t>
  </si>
  <si>
    <t xml:space="preserve"> Supplying,  fitting and placing Mild steel reinforcement complete in sub-structure as per drawing and technical specification</t>
  </si>
  <si>
    <t>Providing weep holes in Brick masonry/Plain/Reinforced concrete abutment,  wing wall/return wall with 100 mm dia AC pipe, extending through the full width of the structure with slope of 1V :20H towards drawing foce. Complete as per drawing and Technical specifications</t>
  </si>
  <si>
    <t xml:space="preserve">Back filling behind abutment,  wing wall and return wall complete as per drawing and Technical specification </t>
  </si>
  <si>
    <t>13.10</t>
  </si>
  <si>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 mm having pores of 150 micron and tensile strength of 8.0 kN/m that will be working as separation or protecting layer, geocomposite having in plane flow capacity of 2.1 L / (m.s) at hydraulic gradient of 1.0 &amp; 20 kpa pressure and tensile strength of 18 kN/m , with mass per unit area of 740 gsm, supplied in the form of roll for easy transportation to site of work as per detailed specification all complete as per directions of Engineer in charge.</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</si>
  <si>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g/m2 and tensile strength of 8.0 kN/m that will be working as separation or protecting layer, geocomposite having in plane flow capacity of 0.7 L / (m.s) at hydraulic gradient of 1.0 &amp; 20 kPa pressure and tensile strength of 13.5 kN/ m , with mass per unit area of 830 gsm, at easily accessible location including top and bottom, with all leads and lifts, manpower and machinery, materials, labour etc. complete and as directed by Engineer - In - Charge.</t>
  </si>
  <si>
    <t>Supplying,  fitting and fixing in position true to line and level cast steel rocker bearing conforming to IRC: 83(Pt.-1) section IX and clause 2003 of MoRTH specifications complete including all accessories as per drawing and Technical Specifications.</t>
  </si>
  <si>
    <t>tonne capacity</t>
  </si>
  <si>
    <t>Supplying,  fitting and fixing in position true to line and level forged steel roller bearing conforming to IRC: 83(Pt.-1) section IX and clause 2003 of MoRTH specifications complete including all accessories as per drawing and Technical Specifications.</t>
  </si>
  <si>
    <t>Supplying,  fitting and fixing in position true to line and level sliding plate bearing with PTFE surface sliding on stainless steel complete including all accessories as per drawing and Technical Specifications and BS: 5400,  section 9.1 &amp; 9.2 (for PTFE)      and clause 2004 of MoRTH Specifications.</t>
  </si>
  <si>
    <t>Supplying,  fitting and fixing in position true to line and level elastomeric bearing conforming to IRC: 83 (Part-II) section IX and clause 2005 of MoRTH specifications complete including all accessories as per drawing and Technical Specifications.</t>
  </si>
  <si>
    <t>cubic centimetre</t>
  </si>
  <si>
    <t>Supplying,  fitting and fixing in position true to line and level sliding plate bearing with stainless steel plate sliding on stainless steel plate with mild steel matrix complete including all accessories as per drawing and Technical Specifications.</t>
  </si>
  <si>
    <t>Supplying,  fitting and fixing in position true to line and level POT-PTFE bearing consisting of a metal piston supported by a disc or unreinforced elastomer confined within a metal cylinder,  sealing rings,  dust seals,  PTFE surface sliding against stainless steel mating surface,  completre assembly to be of cast steel/fabricated structural steel,  metal and elastomer elements to be as per IRC: 83 part-I &amp; II respectively and other parts conforming to BS: 5400,  section 9.1 &amp; 9.2 and clause 2006 of MoRTH Specifications complete asper drawing and approved technical specifications.</t>
  </si>
  <si>
    <t>Furnishing and Placing Reinforced/Prestressed cement concrete in super-structure as per drawing and Technical Specification</t>
  </si>
  <si>
    <t xml:space="preserve">For solid slab super-structure,  20-30% of (a+b+c)     </t>
  </si>
  <si>
    <t xml:space="preserve">For T-beam &amp; slab,  25-35% of (a+b+c)     </t>
  </si>
  <si>
    <t xml:space="preserve">For solid slab super-structure,  18-28% of (a+b+c)     </t>
  </si>
  <si>
    <t xml:space="preserve">For T-beam &amp; slab,  23-33% of (a+b+c)     </t>
  </si>
  <si>
    <t>For box girder and balanced cantilever, 38-58% of cost of concrete.</t>
  </si>
  <si>
    <t>RCC/PSC Grade M-45</t>
  </si>
  <si>
    <t xml:space="preserve"> For solid slab/voided slab super-structure,  16-26% of cost of concrete (a+b+c)     </t>
  </si>
  <si>
    <t>For I-beam &amp; slab including launching of precast girders by launching truss upto 40 m span,  21-31% of cost of concrete.</t>
  </si>
  <si>
    <t>For cast-in-situ box girder,  segmental construction and balanced cantilever,  36-56% of cost of concrete.</t>
  </si>
  <si>
    <t>PSC Grade M-50</t>
  </si>
  <si>
    <t>For cast-in-situ box girder,  segmental construction and balanced cantilever,  35-55% of cost of concrete</t>
  </si>
  <si>
    <t>PSC Grade M- 55</t>
  </si>
  <si>
    <t>PSC Grade M- 60</t>
  </si>
  <si>
    <t>PSC Grade M- 65</t>
  </si>
  <si>
    <t xml:space="preserve">a)     Supplying, fitting and placing HYSD bar reinforcement in super-structure complete as per drawing and technical specifications </t>
  </si>
  <si>
    <t>High tensile steel wires/strands including all accessories for stressing,  stressing operations and grouting complete as per drawing and Technical Specifications</t>
  </si>
  <si>
    <t>Construction of precast RCC railing of M30 Grade,  aggregate size not exceeding 12 mm,  true to line and grade,  tolurence of vertical RCC post not to exceed 1 in 500,  centre to centre spacing between vertical post not to exceed 2000 mm,  leaving adequate space between vertical post for expansion,  complete as per approved drawings and technical specifications.</t>
  </si>
  <si>
    <t>Construction of RCC railing of M30 Grade in-situ with 20 mm nominal size aggregate,  true to line and grade,  tolurence of vertical RCC post not to exceed 1 in 500,  centre to centre spacing between vertical post not to exceed 2000 mm,  leaving adequate space between vertical post for expansion,  complete as per approved drawings and technical specifications.</t>
  </si>
  <si>
    <t>Providing,  fitting and fixing mild steel railing complete as per drawing and Technical Specification</t>
  </si>
  <si>
    <t>14.10</t>
  </si>
  <si>
    <t>14.11</t>
  </si>
  <si>
    <t>14.12</t>
  </si>
  <si>
    <t>14.13</t>
  </si>
  <si>
    <t>14.14</t>
  </si>
  <si>
    <t>Providing and fixing Helical pipes in voided concrete slabs</t>
  </si>
  <si>
    <t>14.15</t>
  </si>
  <si>
    <t>14.16</t>
  </si>
  <si>
    <t>Providing and fixing in position 20 mm thick premoulded joint filler in expansion joint for fixed ends of simply supported spans not exceeding 10 m to cater for a horizontal movement upto 20 mm,  covered with sealant complete as per drawing and technical specifications.</t>
  </si>
  <si>
    <t>Providing and filling joint sealing compound as per drawings and technical specifications with coarse sand and 6% bitumen by weight</t>
  </si>
  <si>
    <t>Providing and laying boulders apron on river bed for protection against scour with stone boulders weighing not less than 40 kg each complete as per drawing and Technical specification.</t>
  </si>
  <si>
    <t>Boulder laid dry without wire crates.</t>
  </si>
  <si>
    <t>Providing and laying Pitching on slopes laid over prepared filter media including boulder apron laid dry in front of toe of embankment complete as per drawing and Technical specifications</t>
  </si>
  <si>
    <t>Stone/Boulder</t>
  </si>
  <si>
    <t xml:space="preserve"> Cement Concrete blocks of size 0.3x0.3 x0.3 m cast in cement concrete of Grade M15</t>
  </si>
  <si>
    <t>Providing and laying Filter material underneath pitching in slopes complete as per drawing and Technical specification</t>
  </si>
  <si>
    <t>Providing and laying Flooring complete as per drawing and Technical specifications laid over cement concrete bedding.</t>
  </si>
  <si>
    <t xml:space="preserve"> Rubble stone laid in cement mortar 1:3</t>
  </si>
  <si>
    <t>Cement Concrete blocks Grade M15</t>
  </si>
  <si>
    <t>Dry rubble Flooring</t>
  </si>
  <si>
    <t>Curtain wall complete as per drawing and Technical specification</t>
  </si>
  <si>
    <t>Stone masonry in cement mortar (1:3)</t>
  </si>
  <si>
    <t>Cement concrete Grade M15</t>
  </si>
  <si>
    <t>Flexible Apron :Construction of flexible apron 1 m thick comprising of loose stone boulders weighing not less than 40 kg beyond curtain wall.</t>
  </si>
  <si>
    <t>Providing &amp; making Gabion structure with Mechanically Woven Double Twisted Hexagonal Shaped Wire mesh Gabion Boxes as per IS 16014:2012, MORT&amp;H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 mm, supplied @3% by weight of Gabion boxes, filled with boulders with least dimension of 200 mm, as per drawing, all complete as per direction of Engineer-in-charge.</t>
  </si>
  <si>
    <t>Removal of existing asphaltic wearing coat comprising of 50 mm thick asphaltic concrete laid over 12 mm thick mastic asphalt including disposal with all lift and lead upto 1000m.</t>
  </si>
  <si>
    <t>Guniting concrete surface with cement mortar applied with compressor after cleaning surface and spraying with epoxy complete as per Technical specification</t>
  </si>
  <si>
    <t>Providing and inserting nipples with approved fixing compound after drilling holes for grouting as per Technical specifications including subsequent cutting/removal and sealing of the hole as necessary of nipples after completion of grouting with Cement/Epoxy</t>
  </si>
  <si>
    <t>Sealing of cracks/porous concrete by injection process through nipples/Grouting complete as per Technical specification.</t>
  </si>
  <si>
    <t>Cement Grout</t>
  </si>
  <si>
    <t>kg</t>
  </si>
  <si>
    <t xml:space="preserve"> Cement mortar (1:1) Grouting</t>
  </si>
  <si>
    <t>Patching of damaged concrete surface with polymer concrete and curing compounds,  initiator and promoter,  available in present formulations,  to be applied as per instructions of manufacturer and as approved by the Engineer.</t>
  </si>
  <si>
    <t>Sealing of crack / porous concrete with Epoxy Grout by injection through nipples complete as per clause 2803.1.</t>
  </si>
  <si>
    <t>Applying epoxy mortar over leached,  honey combed and spalled concrete surface and exposed steel reinforcement complete as per Technical specification</t>
  </si>
  <si>
    <t xml:space="preserve">Removal of defective concrete,  cleaning the surface thoroughly,  applying the shotcrete mixture mechanically with compressed air under pressure,  comprising of cement,  sand,  coarse aggregates,  water and quick setting compound in the proportion as per clause 2807.1., sand and coarse aggregates conforming to IS: 383 and table 1 of IS: 9012 respectively,  water cement ratio ranging from 0.35 to 0.50,  density of gunite not less than 2000 kg/cum,  strength not less than 25 Mpa and workmanship conforming to clause 2807.6. </t>
  </si>
  <si>
    <t>16.10</t>
  </si>
  <si>
    <t xml:space="preserve"> Applying pre-packed cement based polymer mortar of strength 45 Mpa at 28 days for replacement of spalled concrete</t>
  </si>
  <si>
    <t>16.11</t>
  </si>
  <si>
    <t>Eproxy bonding of new concrete to old concrete</t>
  </si>
  <si>
    <t>16.12</t>
  </si>
  <si>
    <t>Providing external prestressing with high tensile steel wires/strands including drilling for passage of prestessing steel,  all accessories for stressing and stressing operation and grouting complete as per drawing and Technical specification</t>
  </si>
  <si>
    <t>16.13</t>
  </si>
  <si>
    <t>16.14</t>
  </si>
  <si>
    <t>16.15</t>
  </si>
  <si>
    <t>Replacement of bearings complete as per Technical specification</t>
  </si>
  <si>
    <t>Rectification of bearings as per Technical specifications</t>
  </si>
  <si>
    <t>Replacement of Expansion Joints complete as per drawings</t>
  </si>
  <si>
    <t>Replacement of damaged concrete railing.</t>
  </si>
  <si>
    <t>Replacement of crash barrier.</t>
  </si>
  <si>
    <t>Replacement of damaged mild steel railing</t>
  </si>
  <si>
    <t>Cum</t>
  </si>
  <si>
    <t>RCC Grade M55</t>
  </si>
  <si>
    <t>RCC Grade M60</t>
  </si>
  <si>
    <t>RCC Grade M65</t>
  </si>
  <si>
    <t>Rate (Rs.)</t>
  </si>
  <si>
    <t>Main Carriageway</t>
  </si>
  <si>
    <t>Service Road</t>
  </si>
  <si>
    <t>SITE CLEARANCE</t>
  </si>
  <si>
    <t xml:space="preserve">Slurry Seal </t>
  </si>
  <si>
    <t>Surface Dressing for maintance works.</t>
  </si>
  <si>
    <t xml:space="preserve">BASES, SURFACE COURSES AND CEMENT CONCRETE PAVEMENTS </t>
  </si>
  <si>
    <t>REPAIR, REPAIR AND REHABILITATION OF EXISTING BRIDGES</t>
  </si>
  <si>
    <t>6A</t>
  </si>
  <si>
    <t>DRAINAGE, RIVER TRAINING AND PROTECTION WORKS</t>
  </si>
  <si>
    <t>TUNNEL WORKS</t>
  </si>
  <si>
    <t>Amount (Cr.)</t>
  </si>
  <si>
    <t>BRIDGES / ROB</t>
  </si>
  <si>
    <t>1500 mm dia</t>
  </si>
  <si>
    <t>TOTAL COST (INR)</t>
  </si>
  <si>
    <t>TOTAL CONSTRUCTION COST (A+B)</t>
  </si>
  <si>
    <t xml:space="preserve"> 120 cm equilateral triangle</t>
  </si>
  <si>
    <t>75 cm equilateral triangle</t>
  </si>
  <si>
    <t>120 cm circular</t>
  </si>
  <si>
    <t>90 cm circular</t>
  </si>
  <si>
    <t>75cm circular</t>
  </si>
  <si>
    <t>90 cm x 75 cm rectangular</t>
  </si>
  <si>
    <t>60 cm x 50 cm rectangular</t>
  </si>
  <si>
    <t>120 cm high octagon</t>
  </si>
  <si>
    <t>75 cm high octagon</t>
  </si>
  <si>
    <t>Sub- Surface Drain with Geotextiles (Construction of sub surface drain 200 mm dia using geotextiles treated with carbon black with physical properties as given in clause 702.2.3 formed in to a stable network and a planar geocomposite structure, joints wrapped with geotextile to prevent ingress of soil, all as per clause 702 and approved drawings including excavation and backfilling)</t>
  </si>
  <si>
    <t>Laying Paving Fabric Beneath a Pavement Overlay (Providing and laying paving fabric with physical requirements as per Table 700-16 over a tack coat of paving grade Bitumen 80-100 penetration, laid at the rate of 1 kg per sqm over thoroughly cleaned and repaired surface to provide a water resistant membrane and crack retarding layer. Paving fabric to be free of wrinkling and folding and to be laid before cooling of tack coat, brooming and rolling of surface with pneumatic roller to maximise paving fabric contact with pavement surface)</t>
  </si>
  <si>
    <t>Laying Boulder Apron in Crates of Synthetic Geogrids (Providing, preparing and laying of geogrid crated apron 1 m x 5 m, 600 mm thick including excavation and backfilling with baffles at 1 metre interval, made with geogrids having characteristics as per clause 703.2, joining sides with connectors/ring staples, top corners to be tie tensioned, placing of suitable cross interval ties in layers of 300 mm connecting opposite side with lateral braces and tied with polymer braids to avoid bulging, constructed as per clause 703.3. filled with stone with minimum size of 200 mm and specific gravity not less than 2.65, packed with stone spalls, keyed to the foundation recess in case of sloping ground and laid over a layer of geotextile to prevent migration of fines, all as per clause 703 and laid as per clause 2503.3 and approved design.)</t>
  </si>
  <si>
    <t>Reinforced Earth Retaining Wall (Reinforced earth retaining walls have four main components as under: a)   Excavation for foundation, foundation concrete and cement concrete grooved seating in the foundation for facing elements (facia material). b)   Facia material and its placement. c)   Assembling, joining with facing elements and laying of the reinforcing elements. d)   Earthfill with granular material which is to be retained by the wall.)</t>
  </si>
  <si>
    <t>Supplying &amp; laying of bi-axial extruded high modulus polypropylene geogrid conforming to MORT&amp;H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t>
  </si>
  <si>
    <t>Supplying &amp; laying of bi-axial extruded high modulus polypropylene geogrid conforming to MORT&amp;H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t>
  </si>
  <si>
    <t>Supplying &amp; laying of bi-axial extruded high modulus polypropylene geogrid coforming to MORT&amp;H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t>
  </si>
  <si>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etc. complete and as directed by Engineer - In - Charge.</t>
  </si>
  <si>
    <t>Cast in Situ Cement Concrete M20 kerb (Construction of cement concrete kerb with top and bottom width 115 and 165 mm respectively, 250 mm high in M 20 grade PCC on M-10 grade foundation 150 mm thick, foundation having 50 mm projection beyond kerb stone, kerb stone laid with kerb laying machine, foundation concrete laid manually, all complete as per clause 408)</t>
  </si>
  <si>
    <t>Cast in Situ Cement Concrete M 20 Kerb with Channel (Construction of cement concrete kerb with channel with top and bottom width 115 and 165 mm respectively, 250 mm high in M 20 grade PCC on M10 grade foundation 150 mm thick, kerb channel 300 mm wide, 50 mm thick in PCC M20 grade, sloped towards the kerb, kerb stone with channel laid with kerb laying machine, foundation concrete laid manually, all complete as per clause 408)</t>
  </si>
  <si>
    <t>Printing new letter and figures of any shade (Printing new letter and figures of any shade with synthetic enamel paint black or any other approved colour to give an even shade)</t>
  </si>
  <si>
    <t xml:space="preserve"> Hindi ( Matras commas and the like not to be measured and paid for Half letter shall be counted as half )</t>
  </si>
  <si>
    <t>Direction and Place Identification signs upto 0.9 sqm size board. (Providing and erecting direction and place identification retro-reflectorised sign asper IRC:67 made of encapsulated lens type reflective sheeting vide clause 801.3, fixed over aluminium sheeting, 2 mm thick with area not exceeding 0.9 sqm supported on a mild steel single angle iron post 75 x 75 x 6 mm firmly fixed to the ground by means of properly designed foundation with M15 grade cement concrete 45 x 45 x 60 cm, 60 cm below ground level as per approved drawing)</t>
  </si>
  <si>
    <t>Direction and Place Identification signs with size more than 0.9 sqm size board. (Providing and erecting direction and place identification retro- reflectorised sign asper IRC :67 made of encapsulated lens type reflective sheeting vide clause 801.3, fixed over aluminium sheeting, 2 mm thick with area exceeding 0.9 sqm supported on a mild steel angle iron post 75 mm x 75 mm x 6 mm, 2 Nos. firmly fixed to the ground by means of properly designed foundation with M 15 grade cement concrete45 cm x 45 cm x 60 cm, 60 cm below ground level as per approved drawing)</t>
  </si>
  <si>
    <t>Overhead Signs (Providing and erecting overhead signs with a corrosion resistant aluminium alloy sheet reflectorised with high intensity retro-reflective sheeting of encapsulated lense type with vertical and lateral clearance given in clause 802.2 and 802.3 and installed as per clause 802.7 over a designed support system of aluminium alloy or galvanised steel trestles and trusses of sections and type as per structural design requirements and approved plans)</t>
  </si>
  <si>
    <t>Painting Two Coats on New Concrete Surfaces (Painting two coats after filling the surface with synthetic enamel paint in all shades on new plastered concrete surfaces)</t>
  </si>
  <si>
    <t>Painting on Steel Surfaces (Providing and applying two coats of ready mix paint of approved brand on steel surface after through cleaning of surface to give an even shade)</t>
  </si>
  <si>
    <t>Painting on Wood Surfaces (Providing and applying two coats of ready mix paint of approved brand on wood surface after through cleaning of surface to give an even shade)</t>
  </si>
  <si>
    <t>Painting Lines, Dashes, Arrows etc on Roads in Two Coats on New Work  (Painting lines, dashes, arrows etc on roads in two coats on new work with ready mixed road marking paint conforming to IS:164 on bituminous surface, including cleaning the surface of all dirt, dust and other foreign matter, demarcation at site and traffic control )</t>
  </si>
  <si>
    <t>Painting Lines, Dashes, Arrows etc on Roads in Two Coats on Old Work (Painting lines, dashes, arrows etc on roads in two coats on old work with ready mixed road marking paint confirming to IS: 164 on bituminous surface, including cleaning the surface of all dirt, dust and other foreign matter, demarcation at site and traffic control )</t>
  </si>
  <si>
    <t>Road Marking with Hot Applied Thermoplastic Compound with Reflectorising Glass Beads on Bituminous Surface (Providing and laying of hot applied thermoplastic compound 2.5 mm thick including reflectorising glass beads @ 250 gms per sqm area, thickness of 2.5 mm is exclusive of surface applied glass beads as per IRC:35 .The finished surface to be level, uniform and free from streaks and holes.)</t>
  </si>
  <si>
    <t>Kilo Metre Stone (Reinforced cement concrete M15grade kilometre stone of standard design as per IRC:8-1980, fixing in position including painting and printing etc)</t>
  </si>
  <si>
    <t>Road Delineators (Supplying and installation of delineators (road way indicators, hazard markers, object markers), 80-100 cm high above ground level, painted black and white in 15 cm wide stripes, fitted with 80 x 100 mm rectangular or 75 mm dia circular reflectorised panels at the top, buried or pressed into the ground and confirming toIRC-79 and the drawings.)</t>
  </si>
  <si>
    <t>Boundary pillar (Reinforced cement concrete M15 grade boundary pillars of standard design as per IRC:25-1967, fixed in position including finishing and lettering but excluding painting)</t>
  </si>
  <si>
    <t>G.I Barbed wire Fencing 1.2 metre high (Providing and fixing 1.2 metres high GI barbed wire fencing with 1.8 m angle iron posts 40 mm x 40 mm x 6 mm placed every 3 metres center to center founded in M15 grade cement concrete, 0.6 metre below ground level, every 15th post, last but one end post and corner post shall be strutted on both sides and end post on one side only and provided with 9 horizontal lines and 2 diagonals interwoven with horizontal wires, fixed with GI staples, turn buckles etc complete as per clause 808 )</t>
  </si>
  <si>
    <t>G.I Barbed wire Fencing 1.8 metre high (Providing and fixing 1.8 metres high GI barbed wire fencing with 2.4 m angle iron posts 50 mm x 50 mm x 6 mm placed every 3 metres center to center founded in M15 grade cement concrete, 0.6 metre below ground level, every 15th post, last but one end post and corner post shall be strutted on both sides and end post on one side only and provided with 12 horizontal lines and 2 diagonals interwoven with horizontal wires, fixed with GI staples, turn buckles etc complete as per clause 808 )</t>
  </si>
  <si>
    <t>Fencing with welded steel wire Fabric 75 mm x 50 mm (Suggestive) (Providing 1.20 metre high fencing with angle iron posts 50 mm x 50 mm x 6 mm at 3 metre center to center with 0.40 metre embedded in M15 grade cement concrete, corner, end and every 10th post to be strutted, provided with welded steel wire fabric of 75 mm x 50 mm mesh or 75 mm x 25 mm mesh and fixed to iron posts by flat iron 50 x 5 mm and bolts etc. complete in all respects.)</t>
  </si>
  <si>
    <t>Tubular Steel Railing on Medium Weight steel channel ( ISMC series) 100 mm x 50 mm (Providing, fixing and erecting 50 mm dia steel pipe railing in 3 rows duly painted on medium weight steel channels (ISMC series) 100 mm x 50 mm, 1.2 metres high above ground, 2 m centre to centre, complete as per approved drawings)</t>
  </si>
  <si>
    <t>Tubular Steel Railing on Precast RCC posts, 1.2 m high above ground level (Providing, fencing and erecting 50 mm dia painted steel pipe railing in 3 rows on precast M20 grade RCC vertical posts1.8 metres high (1.2 m above GL) with 3 holes 50 mm dia for pipe, fixed 2 metres centre to, complete as per approved drawing)</t>
  </si>
  <si>
    <t>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811)</t>
  </si>
  <si>
    <t>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811)</t>
  </si>
  <si>
    <t>Road Traffic Signals electrically operated (Since it is a ready made item commercially produced and erected by specialised firm in the electrical and electronic field, rate may be taken based on market enquiry from firms specialised in this field and ISI certified for the approved design and drawing.)</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</si>
  <si>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gradecementconcretefoundation2400 x 450 x 900 mm (depth), strengthened by a strut of RS joist 100 x 75 mm, 2 m long at 450 inclination and a tie 100 x 8 mm, 1.50 m long at the bottom, all embedded in foundation concrete as per approved design and drawing, rate excluding excavation and cement concrete.)</t>
  </si>
  <si>
    <t>Plantation (Plantation of shrubs and plants of approved species in the median. apart from cutting off glare from vehicle coming from opposite direction, these plants provide a pleasant envoirenment and are eco-friendly. The rate for this item is available in the chapter 11 on horticulture. )</t>
  </si>
  <si>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</si>
  <si>
    <t xml:space="preserve"> 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</si>
  <si>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Street Lighting (Providing and erecting street light mounted on a steel circular hollow pole of standard specifications for street lighting, 9 m high spaced 40 m apart, 1.8 m overhang on both sides if fixed in the median and on one side if fixed on the footpath, fitted with sodium vapour lamp and fixed firmly in concrete foundation.)</t>
  </si>
  <si>
    <t>Lighting on Bridges (Providing and fixing lighting on bridges, mounted on steel hollow circular poles of standard specifications, 5 m high fixed on parapets with cement concrete, 20 m apart and fitted with sodium vapour lamp)</t>
  </si>
  <si>
    <t>Cable Duct Across the Road (Providing and laying of a reinforced cement concrete pipe duct, 300 mm dia, across the road (new construction), extending from drain to drain in cuts and toe of slope to toe of slope in fills, constructing head walls at both ends, providing a minimum fill of granular material over top and sides of RCC pipe as per IRC:98-1997, bedded on a 0.3 m thick layer of granular material free of rock pieces, outer to outer distance of pipe at least half dia of pipe subject to minimum 450 mm in case of double and triple row ducts, joints to be made leak proof, invert level of duct to be above higher than ground level to prevent entry of water and dirt, all as per IRC: 98 - 1997 and approved drawings.)</t>
  </si>
  <si>
    <t>Highway Patrolling and Traffic Aid Post (It is proposed to locate one Traffic Aid Post every 50-60 km of the highway. )</t>
  </si>
  <si>
    <t>Items related to under pass/ subway/ overhead bridge/ overhead foot bridge (The items involved for underpass/ subway/ overhead bridge/ overhead foot bridge are earthwork, plain cement concrete, plastering, painting, information sign etc. The rates for these items are available in respective chapters which can be adopted for the quantities derived from the approved designs and drawings)</t>
  </si>
  <si>
    <t>Traffic Control System and Communication system (Providing a traffic control centre and communication system including telecommunication facilities and related accessories, CCTV, radar, vehicle detection camera, central computer system These are specialised item of telecommunication system and are the commercial products. The designer is required to contact the manufacturers to ascertain market prices. In case of civil works required to be executed for these installations, pricing may be done as per rates in relevant chapters for quantities derived approved design and drawing.)</t>
  </si>
  <si>
    <t>Gantry Mounted Variable Message Sign board (Providing and erecting gantry mounted variable message sign board electronically operated capable of flashing the desired message over a designed support system of aluminium alloy or galvanised steel, erected as per approved design and drawings and with lateral clearance as per clause 802.3)</t>
  </si>
  <si>
    <t>Message Display (Message display board 6 sqm electronically operated with complete electronic fitments for flashing the pre-determined messages.)</t>
  </si>
  <si>
    <t xml:space="preserve"> With Scrap Tyres (Provision and installation of traffic attenuators at abutment/pier of flyovers bridges using scrap tyres of size 100 x 20 retrieved from trucks laid in 2 rows and 4 tiers, one above the other and tied with 20 mm wire rope as per approved design and drawings.)</t>
  </si>
  <si>
    <t>Using Plastic/Steel Barrel, Filled with Sand (Provision and installation of traffic impact attenuator at abutment/pier of flyovers bridges using plastic/steel barrels 0.60 m dia and 1.0 m in height, filled with sand in three rows and tied with20 mm steel wire rope as per approved design and drawings)</t>
  </si>
  <si>
    <t xml:space="preserve"> With HI - DRO cell Sandwich (Patented) ((In this patented HI - DRO cell system, water gets discharged from plastic tubes on impact over a pre-determined time, thus absorbing the energy))</t>
  </si>
  <si>
    <t>Road Markers/Road Stud with Lense Reflector (Providing and fixing of road stud 100x 100 mm, die cast in aluminium, resistant to corrosive effect of salt and grit, fitted with lense reflectors, installed in concrete or asphaltic surface by drilling hole 30 mm upto a depth of 60 mm and bedded in a suitable bituminous grout or epoxy mortar, all as per BS 873 part 4:1973)</t>
  </si>
  <si>
    <t>Traffic Cone (Provision of red fluorescent with white reflective sleeve traffic cone made of low density polyethylene (LDPE)  material with a square base of 390 x 390 x 35 mm and a height of 770 mm, 4 kg in weight, placed at 1.5 m interval, all as per BS 873)</t>
  </si>
  <si>
    <t xml:space="preserve"> Rest Areas (Providing plainly furnished accommodation for rest rooms, dormitories, restaurants, stalls, shops, petrol pump, telephone booth, first aid room, traffic aid post, police assistance booth, including electricity, toilet and sewerage system Pricing may be done based on current plinth area rates approved by PWD/CPWD/MES for a particular zone. Area is required to be assessed for specific location as per actual site conditions)</t>
  </si>
  <si>
    <t>Parking areas and Bus Laybyes for Trucks, Buses and Light vehicles (Pricing of parking areas may be done for the quantities of various items based on the approved dimensions and pavement design for a particular terrain and soil. Rates for items may be from respective chapters.)</t>
  </si>
  <si>
    <t>Lawn (Providing a lawn planted with grass and its maintenance )</t>
  </si>
  <si>
    <t>Rumble Strips (Provision of 15 nos rumble strips covered with premix bituminous carpet, 15-20 mm high at center, 250 mm wide placed at 1 m center to center at approved locations to control speed, marked with white strips of road marking paint.)</t>
  </si>
  <si>
    <t>Policeman Umbrella (Provision of a 2 m high (floor to roof)  umbrella for traffic policeman at road crossings, where necessary, installed on a raised platform, built on a central support of a steel pipe 100 mm dia, roof made of 25 mm dia steel pipe to provide covered area of 3 sqm, roofed with CGI sheets, all steel parts to be given 2 coats of paint)</t>
  </si>
  <si>
    <t>High Mast Pole Lighting at Interchanges and Flyovers (Providing and erecting a high mast pole lighting with 30 m high hot dip galvanised mast designed to withstand forces exerted with wind speeds of 180 km per hour with 3 seconds gust,  as per IS:875 (Part 3) - 1978,  fitted with a base flange,  door at the base of mast with heavy duty internal lock,  lantern carriage,  suitable winching arrangement for safe working load of 750 kg and high powered electrically driven power tools for raising and lowering of lantern carriage,  flexible 8 core electric cable,  lightening conductor,  earthing terminal,  and fixing 2 nos aviation obstruction lights on top of the mast,  all complete as per approved design and drawings This is a specialised work and is generally done by firms who specialise in such jobs. The detailed designs and estimates are submitted by the firms alongwith their tender for checks by the Department. The cost of this work is required to be worked out based on approved design,  drawings and estimate of the lowest tender. A separate contract for this work is concluded as the contractors for road and bridge works generally donot undertake such jobs.)</t>
  </si>
  <si>
    <t>Toll Plaza (The construction,  operation and maintenance of Toll Plaza can be broken into separate items of work as under based on the approved design and drawings:-)</t>
  </si>
  <si>
    <t>Safety Devices and signs in Construction Zones (Provision and fixing of traffic signs for limited period at suitable locations in construction zone comprising of warning zone,  approach transition zone,  working zone and terminal transition zone with a minimum distance of 60 cm from the edge of the kerb in case of kerbed roads and 2 to 3 m from the edge of the carriageway in case of un-kerbed roads,  the bottom edge of the lowest sign plate to be not less than 2 m above the road level,  fixed on 60 mm x 60 mm x 6 mm angle iron post,  founded and installed as per approved design and drawings,  removed and disposed of after completion of construction work,  all as per IRC:SP:55-2001)</t>
  </si>
  <si>
    <t>Portable Barricade in Construction Zone (Installation of a steel portable barricade with horizontal rail 300 mm wide,  2.5 m in length fitted on a 'A' frame made with 45 x 45 x 5 mm angle iron section,  1.5 m in height,  horizontal rail painted (2 coats) with yellow and white stripes,  150 mm in width at an angle of 450,  'A' frame painted with 2 coats of yellow paint,  complete as per IRC:SP:55-2001 )</t>
  </si>
  <si>
    <t>With Steel Components (Construction of a permanent type barricade made of steel components,  1.5 m high from road level,  fitted with 3 horizontal rails 200 mm wide and 4 m long on 50 x 50 x 5 mm angle iron vertical support,  painted with yellow and white strips,  150 mm in width at an angle of450,  complete as per IRC:SP:55-2001 )</t>
  </si>
  <si>
    <t>With Wooden Components (Construction of a permanent type barricade made of wooden components,  1.5 m high from road level,  fitted with 3 horizontal planks 200 mm wide and 3.66 m long on 100 x 100mm wooden vertical post,  painted with yellow and white striups,  150 mm in width at an angle of450,  complete as per IRC:SP:55-2001 )</t>
  </si>
  <si>
    <t xml:space="preserve"> With Bricks (Construction of a permanent type barricade made with brick work in mud mortar,  1.5 m high,  4 m long,  600 mm thick,  plastered with cement mortar 1:6,  painted with yellow and white strips)</t>
  </si>
  <si>
    <t>Drum Delineator in Construction Zone (Provision of metal drum/empty bitumen drum delineator,  300 mm in diameter,  800 mm high,  filled with earth for stability,  painted in circumferential strips of alternate black and white 100 mm wide fitted with reflectors 3 Nos of 7.5 cm dia,  all as per IRC:SP:55-2001)</t>
  </si>
  <si>
    <t>Water Filled Barricades Work zone sheeting (Providing water filled barricades made up of LDPE to segregate the vehicular movement and workzone as per IRC SP 55  shall be in Trapezoidal Shape 800 mm to 1000 mm in length, 700 mm in height for Major Roads and expressway and 500 mm tall for other roads with interlocking arrnagements, To be placed 0.5 m from the edge of the carriageway for expressway and 0.3 m for other roads. It should have reboubdable workzone sheeting as per ASTM D 4956 S2.)</t>
  </si>
  <si>
    <t>Providing Tubular Marker made up of Polyurethane used to divide opposing lanes of road users shall be flexible in nature. Tubular maker having minimum height 450 mm shall be having minimum 75 mm Reboundable workzone retroreflective sheeting as per ASTM 4956 S2. Application of Tubular Marker Shall be done as per IRC SP 55.</t>
  </si>
  <si>
    <t>Providing Tubular Marker made up of Polyurethane used to divide opposing lanes of road users shall be flexible in nature. Tubular maker having minimum height 700 mm shall be having minimum 75 mm Reboundable workzone retroreflective sheeting as per ASTM 4956 S2. Application of Tubular Marker Shall be done as per IRC SP 55.</t>
  </si>
  <si>
    <t>Flagman (Positioning of a smart flagman with a yellow vest and a yellow cap and a red flag 600 x 600 mm securely fastened to a staff 1 m in length for guiding the traffic)</t>
  </si>
  <si>
    <t>Advanced Traffic Management Systems (ATMS)  work shall cover design, supply, installation, commissioning and/or operation and maintenance of Advance Traffic Management Systems (which is one of the components of Intelligent Transport Systems - ITS). The system would include out-door equipment including emergency call boxes, variable message sign systems, meteorological data system, close circuit TV camera (CCTV) system, traffic counting and classification system and transmission system. The indoor equipment would comprise a large display board, central computer (with Network Management System - NMS), CCTV monitor system, call centre system or management of emergency call boxes housed in a control centre with uninterrupted power supply.</t>
  </si>
  <si>
    <t>Digital Transmission System (DTS)</t>
  </si>
  <si>
    <t>Nr</t>
  </si>
  <si>
    <t>Sliding</t>
  </si>
  <si>
    <t>Free</t>
  </si>
  <si>
    <t>Fixed</t>
  </si>
  <si>
    <t>MT</t>
  </si>
  <si>
    <t>No.</t>
  </si>
  <si>
    <t>Sl. No.</t>
  </si>
  <si>
    <t>12.42</t>
  </si>
  <si>
    <t>12.43</t>
  </si>
  <si>
    <t>Nr.</t>
  </si>
  <si>
    <t>Providing shelters for bus passengers as per drawing and MORT&amp;H Specifications section 300, 1500, 1600 and 1700.</t>
  </si>
  <si>
    <t>Providing &amp; fixing tube well, complete as per drawing and additional specifictions.</t>
  </si>
  <si>
    <t>Providing a Drinking Water Kiosk complete as per drawing &amp; specification.</t>
  </si>
  <si>
    <t>Providing and fixing of litter bins in Truck lay Bye locations complete as per drawing or as directed by the engineer.</t>
  </si>
  <si>
    <t>Construction of toilet block provided with fittings and fixtures complete  in truck parking area complete as per drg. and direction of the Engineer.</t>
  </si>
  <si>
    <t>Construction of restaurant, workshop, first aid room, shop etc. in truck parking area complete as per drg. and direction of the Engineer.</t>
  </si>
  <si>
    <t>Construction of Open lined U - Drain in truck laybye area complete as shown in drawing and technical specification clause 309.</t>
  </si>
  <si>
    <t>MR01</t>
  </si>
  <si>
    <t>MR02</t>
  </si>
  <si>
    <t>MR03</t>
  </si>
  <si>
    <t>MR04</t>
  </si>
  <si>
    <t>MR05</t>
  </si>
  <si>
    <t>MR06</t>
  </si>
  <si>
    <t>MR07</t>
  </si>
  <si>
    <t>MR08</t>
  </si>
  <si>
    <t>MR09</t>
  </si>
  <si>
    <t>MR10</t>
  </si>
  <si>
    <t>MR11</t>
  </si>
  <si>
    <t>MR12</t>
  </si>
  <si>
    <t>MR13</t>
  </si>
  <si>
    <t>MR14</t>
  </si>
  <si>
    <t>MR15</t>
  </si>
  <si>
    <t>MR16</t>
  </si>
  <si>
    <t>MR17</t>
  </si>
  <si>
    <t>MR18</t>
  </si>
  <si>
    <t>MR19</t>
  </si>
  <si>
    <t>MR20</t>
  </si>
  <si>
    <t>MR21</t>
  </si>
  <si>
    <t>MR22</t>
  </si>
  <si>
    <t>MR23</t>
  </si>
  <si>
    <t>Providing &amp; fixing guard railing with tubular steel sections at foot path / medians / islands etc including foundation concrete and painting with approved paint etc. all complete as per drawing &amp; MORT&amp;H Specifications Clauses 808, 300, 1500, 1700 &amp; 1900.</t>
  </si>
  <si>
    <t>Km.</t>
  </si>
  <si>
    <t>Sub_Bill_Id</t>
  </si>
  <si>
    <t>2.3.iii</t>
  </si>
  <si>
    <t>2.3.iii.A</t>
  </si>
  <si>
    <t>2.3.iii.B</t>
  </si>
  <si>
    <t>2.10.A</t>
  </si>
  <si>
    <t>2.10.B</t>
  </si>
  <si>
    <t>2.10.C</t>
  </si>
  <si>
    <t>3.13.i</t>
  </si>
  <si>
    <t>3.13.i.A</t>
  </si>
  <si>
    <t>3.13.i.B</t>
  </si>
  <si>
    <t>3.13.ii</t>
  </si>
  <si>
    <t>3.13.ii.A</t>
  </si>
  <si>
    <t>3.13.ii.B</t>
  </si>
  <si>
    <t>3.13.iii</t>
  </si>
  <si>
    <t>3.13.iii.A</t>
  </si>
  <si>
    <t>3.13.iv</t>
  </si>
  <si>
    <t>3.13.iv.A</t>
  </si>
  <si>
    <t>3.13.v</t>
  </si>
  <si>
    <t>3.13.v.A</t>
  </si>
  <si>
    <t>3.13.v.B</t>
  </si>
  <si>
    <t>3.14.i</t>
  </si>
  <si>
    <t>3.14.ii</t>
  </si>
  <si>
    <t>3.14.iii</t>
  </si>
  <si>
    <t>3.15.i</t>
  </si>
  <si>
    <t>3.15.ii</t>
  </si>
  <si>
    <t>3.20</t>
  </si>
  <si>
    <t>3.20.I</t>
  </si>
  <si>
    <t>3.20.II</t>
  </si>
  <si>
    <t>3.21</t>
  </si>
  <si>
    <t>3.22</t>
  </si>
  <si>
    <t>3.23</t>
  </si>
  <si>
    <t>3.24</t>
  </si>
  <si>
    <t>3.25</t>
  </si>
  <si>
    <t>3.25.A</t>
  </si>
  <si>
    <t>3.25.B</t>
  </si>
  <si>
    <t>3.26.A</t>
  </si>
  <si>
    <t>3.26.B</t>
  </si>
  <si>
    <t>4.10</t>
  </si>
  <si>
    <t>4.11</t>
  </si>
  <si>
    <t>4.11.A</t>
  </si>
  <si>
    <t>4.11.A.i</t>
  </si>
  <si>
    <t>4.11.A.i.a</t>
  </si>
  <si>
    <t>4.11.A.i.b</t>
  </si>
  <si>
    <t>4.11.A.ii</t>
  </si>
  <si>
    <t>4.11.A.ii.a</t>
  </si>
  <si>
    <t>4.11.A.ii.b</t>
  </si>
  <si>
    <t>4.11.A.ii.c</t>
  </si>
  <si>
    <t>4.11.A.iii</t>
  </si>
  <si>
    <t>4.11.A.iii.a</t>
  </si>
  <si>
    <t>4.11.A.iii.b</t>
  </si>
  <si>
    <t>4.11.B</t>
  </si>
  <si>
    <t>4.11.B.i</t>
  </si>
  <si>
    <t>4.11.B.i.a</t>
  </si>
  <si>
    <t>4.11.B.i.b</t>
  </si>
  <si>
    <t>4.11.B.ii</t>
  </si>
  <si>
    <t>4.11.B.ii.a</t>
  </si>
  <si>
    <t>4.11.B.ii.b</t>
  </si>
  <si>
    <t>4.11.B.ii.c</t>
  </si>
  <si>
    <t>4.11.B.iii</t>
  </si>
  <si>
    <t>4.11.B.iii.a</t>
  </si>
  <si>
    <t>4.11.B.iii.b</t>
  </si>
  <si>
    <t>4.12</t>
  </si>
  <si>
    <t>4.13</t>
  </si>
  <si>
    <t>4.14</t>
  </si>
  <si>
    <t>4.14.A</t>
  </si>
  <si>
    <t>4.14.B</t>
  </si>
  <si>
    <t>4.15</t>
  </si>
  <si>
    <t>4.16</t>
  </si>
  <si>
    <t>4.17</t>
  </si>
  <si>
    <t>4.18</t>
  </si>
  <si>
    <t>4.19</t>
  </si>
  <si>
    <t>4.20</t>
  </si>
  <si>
    <t>4.20.A</t>
  </si>
  <si>
    <t>4.20.A.i</t>
  </si>
  <si>
    <t>4.20.A.ii</t>
  </si>
  <si>
    <t>4.20.B</t>
  </si>
  <si>
    <t>4.20.B.i</t>
  </si>
  <si>
    <t>4.20.B.ii</t>
  </si>
  <si>
    <t>4.21</t>
  </si>
  <si>
    <t>5.6.I</t>
  </si>
  <si>
    <t>5.6.II</t>
  </si>
  <si>
    <t>5.10</t>
  </si>
  <si>
    <t>5.11</t>
  </si>
  <si>
    <t>5.12</t>
  </si>
  <si>
    <t>5.12.i</t>
  </si>
  <si>
    <t>5.12.ii</t>
  </si>
  <si>
    <t>5.12.iii</t>
  </si>
  <si>
    <t>5.13</t>
  </si>
  <si>
    <t>5.14</t>
  </si>
  <si>
    <t>5.14.i</t>
  </si>
  <si>
    <t>5.15</t>
  </si>
  <si>
    <t>5.15.i</t>
  </si>
  <si>
    <t>5.15.ii</t>
  </si>
  <si>
    <t>5.15.iii</t>
  </si>
  <si>
    <t>5.15.iv</t>
  </si>
  <si>
    <t>5.16</t>
  </si>
  <si>
    <t>5.17</t>
  </si>
  <si>
    <t>5.17.i</t>
  </si>
  <si>
    <t>5.17.ii</t>
  </si>
  <si>
    <t>5.17.iii</t>
  </si>
  <si>
    <t>5.17.iv</t>
  </si>
  <si>
    <t>5.18</t>
  </si>
  <si>
    <t>5.18.i</t>
  </si>
  <si>
    <t>5.18.ii</t>
  </si>
  <si>
    <t>5.18.iii</t>
  </si>
  <si>
    <t>8.11.i</t>
  </si>
  <si>
    <t>8.11.ii</t>
  </si>
  <si>
    <t>8.12.i</t>
  </si>
  <si>
    <t>8.12.ii</t>
  </si>
  <si>
    <t>8.14.i</t>
  </si>
  <si>
    <t>8.14.ii</t>
  </si>
  <si>
    <t>8.14.iii</t>
  </si>
  <si>
    <t>8.23.A</t>
  </si>
  <si>
    <t>8.23.B</t>
  </si>
  <si>
    <t>8.26.A</t>
  </si>
  <si>
    <t>8.26.B</t>
  </si>
  <si>
    <t>8.26.C</t>
  </si>
  <si>
    <t>8.27.i</t>
  </si>
  <si>
    <t>8.27.ii</t>
  </si>
  <si>
    <t>8.29.i</t>
  </si>
  <si>
    <t>8.29.ii</t>
  </si>
  <si>
    <t>8.29.iii</t>
  </si>
  <si>
    <t>8.33.i</t>
  </si>
  <si>
    <t>8.33.ii</t>
  </si>
  <si>
    <t>8.34.A</t>
  </si>
  <si>
    <t>8.34.B</t>
  </si>
  <si>
    <t>8.34.C</t>
  </si>
  <si>
    <t>8.37.A</t>
  </si>
  <si>
    <t>8.37.B</t>
  </si>
  <si>
    <t>8.37.C</t>
  </si>
  <si>
    <t>8.44.A</t>
  </si>
  <si>
    <t>8.44.B</t>
  </si>
  <si>
    <t>8.44.C</t>
  </si>
  <si>
    <t>8.46</t>
  </si>
  <si>
    <t>8.47</t>
  </si>
  <si>
    <t>8.48</t>
  </si>
  <si>
    <t>8.49</t>
  </si>
  <si>
    <t>8.50</t>
  </si>
  <si>
    <t>8.50.A</t>
  </si>
  <si>
    <t>8.50.B</t>
  </si>
  <si>
    <t>8.50.C</t>
  </si>
  <si>
    <t>8.50.D</t>
  </si>
  <si>
    <t>8.50.E</t>
  </si>
  <si>
    <t>8.50.F</t>
  </si>
  <si>
    <t>8.50.G</t>
  </si>
  <si>
    <t>8.50.H</t>
  </si>
  <si>
    <t>8.50.I</t>
  </si>
  <si>
    <t>11.8.b</t>
  </si>
  <si>
    <t>12.11.A</t>
  </si>
  <si>
    <t>12.11.A.i</t>
  </si>
  <si>
    <t>12.11.A.i.I</t>
  </si>
  <si>
    <t>12.11.A.i.II</t>
  </si>
  <si>
    <t>12.11.A.ii</t>
  </si>
  <si>
    <t>12.11.A.ii.I</t>
  </si>
  <si>
    <t>12.11.A.ii.II</t>
  </si>
  <si>
    <t>12.11.A.iii</t>
  </si>
  <si>
    <t>12.11.A.iii.I</t>
  </si>
  <si>
    <t>12.11.A.iii.II</t>
  </si>
  <si>
    <t>12.11.A.iv</t>
  </si>
  <si>
    <t>12.11.A.iv.I</t>
  </si>
  <si>
    <t>12.11.A.iv.II</t>
  </si>
  <si>
    <t>12.11.A.v</t>
  </si>
  <si>
    <t>12.11.A.v.I</t>
  </si>
  <si>
    <t>12.11.A.v.II</t>
  </si>
  <si>
    <t>12.11.B</t>
  </si>
  <si>
    <t>12.11.B.i</t>
  </si>
  <si>
    <t>12.11.B.i.I</t>
  </si>
  <si>
    <t>12.11.B.i.II</t>
  </si>
  <si>
    <t>12.11.B.ii</t>
  </si>
  <si>
    <t>12.11.B.ii.I</t>
  </si>
  <si>
    <t>12.11.B.ii.II</t>
  </si>
  <si>
    <t>12.11.B.iii</t>
  </si>
  <si>
    <t>12.11.B.iii.I</t>
  </si>
  <si>
    <t>12.11.B.iii.II</t>
  </si>
  <si>
    <t>12.11.B.iv</t>
  </si>
  <si>
    <t>12.11.B.iv.I</t>
  </si>
  <si>
    <t>12.11.B.iv.II</t>
  </si>
  <si>
    <t>12.11.B.v</t>
  </si>
  <si>
    <t>12.11.B.v.I</t>
  </si>
  <si>
    <t>12.11.B.v.II</t>
  </si>
  <si>
    <t>12.11.B.vi</t>
  </si>
  <si>
    <t>12.11.B.vi.I</t>
  </si>
  <si>
    <t>12.11.B.vi.II</t>
  </si>
  <si>
    <t>12.11.B.vii</t>
  </si>
  <si>
    <t>12.11.B.vii.I</t>
  </si>
  <si>
    <t>12.11.B.vii.II</t>
  </si>
  <si>
    <t>12.11.B.viii</t>
  </si>
  <si>
    <t>12.11.B.viii.I</t>
  </si>
  <si>
    <t>12.11.B.viii.II</t>
  </si>
  <si>
    <t>12.11.B.ix</t>
  </si>
  <si>
    <t>12.11.B.ix.I</t>
  </si>
  <si>
    <t>12.11.B.ix.II</t>
  </si>
  <si>
    <t>12.11.C</t>
  </si>
  <si>
    <t>12.11.C.i</t>
  </si>
  <si>
    <t>12.11.C.i.I</t>
  </si>
  <si>
    <t>12.11.C.i.II</t>
  </si>
  <si>
    <t>12.11.C.ii</t>
  </si>
  <si>
    <t>12.11.C.ii.I</t>
  </si>
  <si>
    <t>12.11.C.ii.II</t>
  </si>
  <si>
    <t>12.11.C.iii</t>
  </si>
  <si>
    <t>12.11.C.iii.I</t>
  </si>
  <si>
    <t>12.11.C.iii.II</t>
  </si>
  <si>
    <t>12.11.C.iv</t>
  </si>
  <si>
    <t>12.11.C.iv.I</t>
  </si>
  <si>
    <t>12.11.C.iv.II</t>
  </si>
  <si>
    <t>12.11.D</t>
  </si>
  <si>
    <t>12.11.D.i</t>
  </si>
  <si>
    <t>12.11.D.i.I</t>
  </si>
  <si>
    <t>12.11.D.i.II</t>
  </si>
  <si>
    <t>12.11.D.ii</t>
  </si>
  <si>
    <t>12.11.D.ii.I</t>
  </si>
  <si>
    <t>12.11.D.ii.II</t>
  </si>
  <si>
    <t>12.11.D.iii</t>
  </si>
  <si>
    <t>12.11.D.iii.I</t>
  </si>
  <si>
    <t>12.11.D.iii.II</t>
  </si>
  <si>
    <t>12.11.E</t>
  </si>
  <si>
    <t>12.11.E.i</t>
  </si>
  <si>
    <t>12.11.E.i.I</t>
  </si>
  <si>
    <t>12.11.E.i.II</t>
  </si>
  <si>
    <t>12.11.E.ii</t>
  </si>
  <si>
    <t>12.11.E.ii.I</t>
  </si>
  <si>
    <t>12.11.E.ii.II</t>
  </si>
  <si>
    <t>12.11.E.iii</t>
  </si>
  <si>
    <t>12.11.E.iii.I</t>
  </si>
  <si>
    <t>12.11.E.iii.II</t>
  </si>
  <si>
    <t>12.11.E.iv</t>
  </si>
  <si>
    <t>12.11.E.iv.I</t>
  </si>
  <si>
    <t>12.11.E.iv.II</t>
  </si>
  <si>
    <t>12.11.F</t>
  </si>
  <si>
    <t>12.11.F.i</t>
  </si>
  <si>
    <t>12.11.F.i.I</t>
  </si>
  <si>
    <t>12.11.F.i.II</t>
  </si>
  <si>
    <t>12.11.F.ii</t>
  </si>
  <si>
    <t>12.11.F.ii.I</t>
  </si>
  <si>
    <t>12.11.F.ii.II</t>
  </si>
  <si>
    <t>12.11.F.iii</t>
  </si>
  <si>
    <t>12.11.F.iii.I</t>
  </si>
  <si>
    <t>12.11.F.iii.II</t>
  </si>
  <si>
    <t>12.11.iv</t>
  </si>
  <si>
    <t>12.11.iv.I</t>
  </si>
  <si>
    <t>12.11.iv.II</t>
  </si>
  <si>
    <t>12.11.v</t>
  </si>
  <si>
    <t>12.11.v.I</t>
  </si>
  <si>
    <t>12.11.v.II</t>
  </si>
  <si>
    <t>12.11.vi</t>
  </si>
  <si>
    <t>12.11.vi.I</t>
  </si>
  <si>
    <t>12.11.vi.II</t>
  </si>
  <si>
    <t>12.12.A</t>
  </si>
  <si>
    <t>12.12.A.i</t>
  </si>
  <si>
    <t>12.12.A.ii</t>
  </si>
  <si>
    <t>12.12.A.iii</t>
  </si>
  <si>
    <t>12.12.A.iii.a</t>
  </si>
  <si>
    <t>12.12.A.iv</t>
  </si>
  <si>
    <t>12.12.A.iv.a</t>
  </si>
  <si>
    <t>12.12.A.iv.b</t>
  </si>
  <si>
    <t>12.12.A.v</t>
  </si>
  <si>
    <t>12.12.A.v.a</t>
  </si>
  <si>
    <t>12.12.A.v.b</t>
  </si>
  <si>
    <t>12.12.B</t>
  </si>
  <si>
    <t>12.12.B.i</t>
  </si>
  <si>
    <t>12.12.B.ii</t>
  </si>
  <si>
    <t>12.12.B.iii</t>
  </si>
  <si>
    <t>12.12.B.iii.a</t>
  </si>
  <si>
    <t>12.12.B.iii.b</t>
  </si>
  <si>
    <t>12.12.B.iv</t>
  </si>
  <si>
    <t>12.12.B.iv.a</t>
  </si>
  <si>
    <t>12.12.B.iv.b</t>
  </si>
  <si>
    <t>12.12.B.iv.c</t>
  </si>
  <si>
    <t>12.12.B.v</t>
  </si>
  <si>
    <t>12.12.B.v.a</t>
  </si>
  <si>
    <t>12.12.B.v.b</t>
  </si>
  <si>
    <t>12.12.B.v.c</t>
  </si>
  <si>
    <t>12.12.C</t>
  </si>
  <si>
    <t>12.12.C.i</t>
  </si>
  <si>
    <t>12.12.D</t>
  </si>
  <si>
    <t>12.12.D.i</t>
  </si>
  <si>
    <t>12.12.E</t>
  </si>
  <si>
    <t>12.12.E.i</t>
  </si>
  <si>
    <t>12.13.A</t>
  </si>
  <si>
    <t>12.13.A.i</t>
  </si>
  <si>
    <t>12.13.A.ii</t>
  </si>
  <si>
    <t>12.13.A.iii</t>
  </si>
  <si>
    <t>12.13.A.iii.a</t>
  </si>
  <si>
    <t>12.13.A.iv</t>
  </si>
  <si>
    <t>12.13.A.iv.a</t>
  </si>
  <si>
    <t>12.13.A.iv.b</t>
  </si>
  <si>
    <t>12.13.A.v</t>
  </si>
  <si>
    <t>12.13.A.v.a</t>
  </si>
  <si>
    <t>12.13.A.v.b</t>
  </si>
  <si>
    <t>12.13.B</t>
  </si>
  <si>
    <t>12.13.B.i</t>
  </si>
  <si>
    <t>12.13.B.ii</t>
  </si>
  <si>
    <t>12.13.B.iii</t>
  </si>
  <si>
    <t>12.13.B.iii.a</t>
  </si>
  <si>
    <t>12.13.B.iii.b</t>
  </si>
  <si>
    <t>12.13.B.iv</t>
  </si>
  <si>
    <t>12.13.B.iv.a</t>
  </si>
  <si>
    <t>12.13.B.iv.b</t>
  </si>
  <si>
    <t>12.13.B.iv.c</t>
  </si>
  <si>
    <t>12.13.B.v</t>
  </si>
  <si>
    <t>12.13.B.v.a</t>
  </si>
  <si>
    <t>12.13.B.v.b</t>
  </si>
  <si>
    <t>12.13.B.v.c</t>
  </si>
  <si>
    <t>12.13.C</t>
  </si>
  <si>
    <t>12.13.C.i</t>
  </si>
  <si>
    <t>12.13.D</t>
  </si>
  <si>
    <t>12.13.D.i</t>
  </si>
  <si>
    <t>12.13.E</t>
  </si>
  <si>
    <t>12.13.E.i</t>
  </si>
  <si>
    <t>12.14.A</t>
  </si>
  <si>
    <t>12.14.A.i</t>
  </si>
  <si>
    <t>12.14.A.ii</t>
  </si>
  <si>
    <t>12.14.A.iii</t>
  </si>
  <si>
    <t>12.14.A.iii.a</t>
  </si>
  <si>
    <t>12.14.A.iv</t>
  </si>
  <si>
    <t>12.14.A.iv.a</t>
  </si>
  <si>
    <t>12.14.A.iv.b</t>
  </si>
  <si>
    <t>12.14.A.v</t>
  </si>
  <si>
    <t>12.14.A.v.a</t>
  </si>
  <si>
    <t>12.14.A.v.b</t>
  </si>
  <si>
    <t>12.14.B</t>
  </si>
  <si>
    <t>12.14.B.i</t>
  </si>
  <si>
    <t>12.14.B.ii</t>
  </si>
  <si>
    <t>12.14.B.iii</t>
  </si>
  <si>
    <t>12.14.B.iii.a</t>
  </si>
  <si>
    <t>12.14.B.iii.b</t>
  </si>
  <si>
    <t>12.14.B.iv</t>
  </si>
  <si>
    <t>12.14.B.iv.a</t>
  </si>
  <si>
    <t>12.14.B.iv.b</t>
  </si>
  <si>
    <t>12.14.B.iv.c</t>
  </si>
  <si>
    <t>12.14.B.v</t>
  </si>
  <si>
    <t>12.14.B.v.a</t>
  </si>
  <si>
    <t>12.14.B.v.b</t>
  </si>
  <si>
    <t>12.14.B.v.c</t>
  </si>
  <si>
    <t>12.14.C</t>
  </si>
  <si>
    <t>12.14.C.i</t>
  </si>
  <si>
    <t>12.14.D</t>
  </si>
  <si>
    <t>12.14.D.i</t>
  </si>
  <si>
    <t>12.14.E</t>
  </si>
  <si>
    <t>12.14.E.i</t>
  </si>
  <si>
    <t>12.15.A</t>
  </si>
  <si>
    <t>12.15.A.i</t>
  </si>
  <si>
    <t>12.15.A.ii</t>
  </si>
  <si>
    <t>12.15.A.iii</t>
  </si>
  <si>
    <t>12.15.A.iii.a</t>
  </si>
  <si>
    <t>12.15.A.iv</t>
  </si>
  <si>
    <t>12.15.A.iv.a</t>
  </si>
  <si>
    <t>12.15.A.iv.b</t>
  </si>
  <si>
    <t>12.15.A.v</t>
  </si>
  <si>
    <t>12.15.A.v.a</t>
  </si>
  <si>
    <t>12.15.A.v.b</t>
  </si>
  <si>
    <t>12.15.B</t>
  </si>
  <si>
    <t>12.15.B.i</t>
  </si>
  <si>
    <t>12.15.B.ii</t>
  </si>
  <si>
    <t>12.15.B.iii</t>
  </si>
  <si>
    <t>12.15.B.iii.a</t>
  </si>
  <si>
    <t>12.15.B.iii.b</t>
  </si>
  <si>
    <t>12.15.B.iv</t>
  </si>
  <si>
    <t>12.15.B.iv.a</t>
  </si>
  <si>
    <t>12.15.B.iv.b</t>
  </si>
  <si>
    <t>12.15.B.iv.c</t>
  </si>
  <si>
    <t>12.15.B.v</t>
  </si>
  <si>
    <t>12.15.B.v.a</t>
  </si>
  <si>
    <t>12.15.B.v.b</t>
  </si>
  <si>
    <t>12.15.B.v.c</t>
  </si>
  <si>
    <t>12.15.C</t>
  </si>
  <si>
    <t>12.15.C.i</t>
  </si>
  <si>
    <t>12.15.D</t>
  </si>
  <si>
    <t>12.15.D.i</t>
  </si>
  <si>
    <t>12.15.E</t>
  </si>
  <si>
    <t>12.15.E.i</t>
  </si>
  <si>
    <t>12.16.A</t>
  </si>
  <si>
    <t>12.16.A.i</t>
  </si>
  <si>
    <t>12.16.A.ii</t>
  </si>
  <si>
    <t>12.16.A.iii</t>
  </si>
  <si>
    <t>12.16.A.iii.a</t>
  </si>
  <si>
    <t>12.16.A.iv</t>
  </si>
  <si>
    <t>12.16.A.iv.a</t>
  </si>
  <si>
    <t>12.16.A.iv.b</t>
  </si>
  <si>
    <t>12.16.A.v</t>
  </si>
  <si>
    <t>12.16.A.v.a</t>
  </si>
  <si>
    <t>12.16.A.v.b</t>
  </si>
  <si>
    <t>12.16.B</t>
  </si>
  <si>
    <t>12.16.B.i</t>
  </si>
  <si>
    <t>12.16.B.ii</t>
  </si>
  <si>
    <t>12.16.B.iii</t>
  </si>
  <si>
    <t>12.16.B.iii.a</t>
  </si>
  <si>
    <t>12.16.B.iii.b</t>
  </si>
  <si>
    <t>12.16.B.iv</t>
  </si>
  <si>
    <t>12.16.B.iv.a</t>
  </si>
  <si>
    <t>12.16.B.iv.b</t>
  </si>
  <si>
    <t>12.16.B.iv.c</t>
  </si>
  <si>
    <t>12.16.B.v</t>
  </si>
  <si>
    <t>12.16.B.v.a</t>
  </si>
  <si>
    <t>12.16.B.v.b</t>
  </si>
  <si>
    <t>12.16.B.v.c</t>
  </si>
  <si>
    <t>12.16.C</t>
  </si>
  <si>
    <t>12.16.C.i</t>
  </si>
  <si>
    <t>12.16.D</t>
  </si>
  <si>
    <t>12.16.D.i</t>
  </si>
  <si>
    <t>12.16.E</t>
  </si>
  <si>
    <t>12.16.E.i</t>
  </si>
  <si>
    <t>12.17.A</t>
  </si>
  <si>
    <t>12.17.A.i</t>
  </si>
  <si>
    <t>12.17.A.ii</t>
  </si>
  <si>
    <t>12.17.A.iii</t>
  </si>
  <si>
    <t>12.17.A.iii.a</t>
  </si>
  <si>
    <t>12.17.A.iv</t>
  </si>
  <si>
    <t>12.17.A.iv.a</t>
  </si>
  <si>
    <t>12.17.A.iv.b</t>
  </si>
  <si>
    <t>12.17.A.v</t>
  </si>
  <si>
    <t>12.17.A.v.a</t>
  </si>
  <si>
    <t>12.17.A.v.b</t>
  </si>
  <si>
    <t>12.17.B</t>
  </si>
  <si>
    <t>12.17.B.i</t>
  </si>
  <si>
    <t>12.17.B.ii</t>
  </si>
  <si>
    <t>12.17.B.iii</t>
  </si>
  <si>
    <t>12.17.B.iii.a</t>
  </si>
  <si>
    <t>12.17.B.iii.b</t>
  </si>
  <si>
    <t>12.17.B.iv</t>
  </si>
  <si>
    <t>12.17.B.iv.a</t>
  </si>
  <si>
    <t>12.17.B.iv.b</t>
  </si>
  <si>
    <t>12.17.B.iv.c</t>
  </si>
  <si>
    <t>12.17.B.v</t>
  </si>
  <si>
    <t>12.17.B.v.a</t>
  </si>
  <si>
    <t>12.17.B.v.b</t>
  </si>
  <si>
    <t>12.17.B.v.c</t>
  </si>
  <si>
    <t>12.17.C</t>
  </si>
  <si>
    <t>12.17.C.i</t>
  </si>
  <si>
    <t>12.17.D</t>
  </si>
  <si>
    <t>12.17.D.i</t>
  </si>
  <si>
    <t>12.17.E</t>
  </si>
  <si>
    <t>12.17.E.i</t>
  </si>
  <si>
    <t>12.18.A</t>
  </si>
  <si>
    <t>12.18.A.i</t>
  </si>
  <si>
    <t>12.18.A.ii</t>
  </si>
  <si>
    <t>12.18.A.iii</t>
  </si>
  <si>
    <t>12.18.A.iii.a</t>
  </si>
  <si>
    <t>12.18.A.iv</t>
  </si>
  <si>
    <t>12.18.A.iv.a</t>
  </si>
  <si>
    <t>12.18.A.iv.b</t>
  </si>
  <si>
    <t>12.18.A.v</t>
  </si>
  <si>
    <t>12.18.A.v.a</t>
  </si>
  <si>
    <t>12.18.A.v.b</t>
  </si>
  <si>
    <t>12.18.B</t>
  </si>
  <si>
    <t>12.18.B.i</t>
  </si>
  <si>
    <t>12.18.B.ii</t>
  </si>
  <si>
    <t>12.18.B.iii</t>
  </si>
  <si>
    <t>12.18.B.iii.a</t>
  </si>
  <si>
    <t>12.18.B.iii.b</t>
  </si>
  <si>
    <t>12.18.B.iv</t>
  </si>
  <si>
    <t>12.18.B.iv.a</t>
  </si>
  <si>
    <t>12.18.B.iv.b</t>
  </si>
  <si>
    <t>12.18.B.iv.c</t>
  </si>
  <si>
    <t>12.18.B.v</t>
  </si>
  <si>
    <t>12.18.B.v.a</t>
  </si>
  <si>
    <t>12.18.B.v.b</t>
  </si>
  <si>
    <t>12.18.B.v.c</t>
  </si>
  <si>
    <t>12.18.C</t>
  </si>
  <si>
    <t>12.18.C.i</t>
  </si>
  <si>
    <t>12.18.D</t>
  </si>
  <si>
    <t>12.18.D.i</t>
  </si>
  <si>
    <t>12.18.E</t>
  </si>
  <si>
    <t>12.18.E.i</t>
  </si>
  <si>
    <t>12.19.A</t>
  </si>
  <si>
    <t>12.19.A.i</t>
  </si>
  <si>
    <t>12.19.A.ii</t>
  </si>
  <si>
    <t>12.19.A.iii</t>
  </si>
  <si>
    <t>12.19.A.iii.a</t>
  </si>
  <si>
    <t>12.19.A.iv</t>
  </si>
  <si>
    <t>12.19.A.iv.a</t>
  </si>
  <si>
    <t>12.19.A.iv.b</t>
  </si>
  <si>
    <t>12.19.A.v</t>
  </si>
  <si>
    <t>12.19.A.v.a</t>
  </si>
  <si>
    <t>12.19.A.v.b</t>
  </si>
  <si>
    <t>12.19.B</t>
  </si>
  <si>
    <t>12.19.B.i</t>
  </si>
  <si>
    <t>12.19.B.ii</t>
  </si>
  <si>
    <t>12.19.B.iii</t>
  </si>
  <si>
    <t>12.19.B.iii.a</t>
  </si>
  <si>
    <t>12.19.B.iii.b</t>
  </si>
  <si>
    <t>12.19.B.iv</t>
  </si>
  <si>
    <t>12.19.B.iv.a</t>
  </si>
  <si>
    <t>12.19.B.iv.b</t>
  </si>
  <si>
    <t>12.19.B.iv.c</t>
  </si>
  <si>
    <t>12.19.B.v</t>
  </si>
  <si>
    <t>12.19.B.v.a</t>
  </si>
  <si>
    <t>12.19.B.v.b</t>
  </si>
  <si>
    <t>12.19.B.v.c</t>
  </si>
  <si>
    <t>12.19.C</t>
  </si>
  <si>
    <t>12.19.C.i</t>
  </si>
  <si>
    <t>12.19.D</t>
  </si>
  <si>
    <t>12.19.D.i</t>
  </si>
  <si>
    <t>12.19.E</t>
  </si>
  <si>
    <t>12.19.E.i</t>
  </si>
  <si>
    <t>12.40.A</t>
  </si>
  <si>
    <t>12.40.A.i</t>
  </si>
  <si>
    <t>12.40.A.ii</t>
  </si>
  <si>
    <t>12.40.B</t>
  </si>
  <si>
    <t>12.40.B.i</t>
  </si>
  <si>
    <t>12.40.B.ii</t>
  </si>
  <si>
    <t>12.40.C</t>
  </si>
  <si>
    <t>12.40.C.i</t>
  </si>
  <si>
    <t>12.40.C.ii</t>
  </si>
  <si>
    <t>12.40.D</t>
  </si>
  <si>
    <t>12.40.D.i</t>
  </si>
  <si>
    <t>12.40.D.ii</t>
  </si>
  <si>
    <t>12.40.E</t>
  </si>
  <si>
    <t>12.40.E.i</t>
  </si>
  <si>
    <t>12.40.E.ii</t>
  </si>
  <si>
    <t>12.40.F</t>
  </si>
  <si>
    <t>12.40.F.i</t>
  </si>
  <si>
    <t>12.40.F.ii</t>
  </si>
  <si>
    <t>12.41.i</t>
  </si>
  <si>
    <t>12.41.ii</t>
  </si>
  <si>
    <t>13.11</t>
  </si>
  <si>
    <t>13.12</t>
  </si>
  <si>
    <t>13.13</t>
  </si>
  <si>
    <t>13.14</t>
  </si>
  <si>
    <t>13.15</t>
  </si>
  <si>
    <t>13.16</t>
  </si>
  <si>
    <t>13.17</t>
  </si>
  <si>
    <t>13.18</t>
  </si>
  <si>
    <t>14.10.i</t>
  </si>
  <si>
    <t>14.10.ii</t>
  </si>
  <si>
    <t>14.17</t>
  </si>
  <si>
    <t>14.17.i</t>
  </si>
  <si>
    <t>14.17.ii</t>
  </si>
  <si>
    <t>14.17.iii</t>
  </si>
  <si>
    <t>14.17.iv</t>
  </si>
  <si>
    <t>14.18</t>
  </si>
  <si>
    <t>14.19</t>
  </si>
  <si>
    <t>14.20</t>
  </si>
  <si>
    <t>14.21</t>
  </si>
  <si>
    <t>14.22</t>
  </si>
  <si>
    <t>14.23</t>
  </si>
  <si>
    <t>14.24</t>
  </si>
  <si>
    <t>17.10</t>
  </si>
  <si>
    <t>17.11</t>
  </si>
  <si>
    <t>17.12</t>
  </si>
  <si>
    <t>17.13</t>
  </si>
  <si>
    <t>19.15</t>
  </si>
  <si>
    <t>RCC/PSC Grade M-40 - Using Batching Plant,  Transit Mixer and Concrete Pump</t>
  </si>
  <si>
    <t xml:space="preserve"> RCC/PSC Grade M35  - Using Batching Plant,  Transit Mixer and Concrete Pump</t>
  </si>
  <si>
    <t>RCC Grade M 30 - Using Batching Plant,  Transit Mixer and Concrete Pump.</t>
  </si>
  <si>
    <t>RCC Grade M25 - Using Batching Plant,  Transit Mixer and Concrete Pump</t>
  </si>
  <si>
    <t>RCC Grade M20 - Using Batching Plant,  Transit Mixer and Concrete Pump</t>
  </si>
  <si>
    <t>13.18.1</t>
  </si>
  <si>
    <t>Height above 10m - With Batching Plant,  Transit Mixer and Concrete Pump</t>
  </si>
  <si>
    <t>Height 5m to 10m - With Batching Plant,  Transit Mixer and Concrete Pump</t>
  </si>
  <si>
    <t>Height upto 5m - With Batching Plant,  Transit Mixer and Concrete Pump</t>
  </si>
  <si>
    <t>8.50.A.i</t>
  </si>
  <si>
    <t>8.50.A.ii</t>
  </si>
  <si>
    <t>8.50.A.iii</t>
  </si>
  <si>
    <t>8.50.A.iv</t>
  </si>
  <si>
    <t>8.50.A.v</t>
  </si>
  <si>
    <t>8.50.A.vi</t>
  </si>
  <si>
    <t>8.50.A.vii</t>
  </si>
  <si>
    <t>8.50.A.viii</t>
  </si>
  <si>
    <t>8.50.A.ix</t>
  </si>
  <si>
    <t>8.50.A.x</t>
  </si>
  <si>
    <t>8.50.A.xi</t>
  </si>
  <si>
    <t>8.50.A.xii</t>
  </si>
  <si>
    <t>8.50.A.xiii</t>
  </si>
  <si>
    <t>8.50.A.xiv</t>
  </si>
  <si>
    <t>8.50.A.xv</t>
  </si>
  <si>
    <t>8.50.B.i</t>
  </si>
  <si>
    <t>8.50.B.ii</t>
  </si>
  <si>
    <t>8.50.B.iii</t>
  </si>
  <si>
    <t>8.50.B.iv</t>
  </si>
  <si>
    <t>8.50.B.v</t>
  </si>
  <si>
    <t>8.50.C.i</t>
  </si>
  <si>
    <t>8.50.C.ii</t>
  </si>
  <si>
    <t>8.50.D.i</t>
  </si>
  <si>
    <t>8.50.D.ii</t>
  </si>
  <si>
    <t>8.50.D.iii</t>
  </si>
  <si>
    <t>8.50.D.iv</t>
  </si>
  <si>
    <t>8.50.D.v</t>
  </si>
  <si>
    <t>8.50.E.i</t>
  </si>
  <si>
    <t>8.50.E.ii</t>
  </si>
  <si>
    <t>8.50.F.i</t>
  </si>
  <si>
    <t>8.50.F.ii</t>
  </si>
  <si>
    <t>8.50.F.iii</t>
  </si>
  <si>
    <t>8.50.G.i</t>
  </si>
  <si>
    <t>8.50.G.ii</t>
  </si>
  <si>
    <t>8.50.G.iii</t>
  </si>
  <si>
    <t>8.50.H.i</t>
  </si>
  <si>
    <t>8.50.H.ii</t>
  </si>
  <si>
    <t>8.50.H.iii</t>
  </si>
  <si>
    <t>8.50.H.iv</t>
  </si>
  <si>
    <t>8.50.I.i</t>
  </si>
  <si>
    <t>8.50.I.ii</t>
  </si>
  <si>
    <t>8.50.I.iii</t>
  </si>
  <si>
    <t>13.18.2</t>
  </si>
  <si>
    <t>13.18.3</t>
  </si>
  <si>
    <t>12</t>
  </si>
  <si>
    <t>CHAPTER-12 - FOUNDATIONS</t>
  </si>
  <si>
    <t>CHAPTER-2 - SITE CLEARANCE</t>
  </si>
  <si>
    <t>3</t>
  </si>
  <si>
    <t>CHAPTER-3 - EARTH WORK, EROSION CONTROL AND DRAINAGE</t>
  </si>
  <si>
    <t>CHAPTER-4 - SUB-BASES, BASES ( NON- BITUMINOUS) AND SHOULDERS</t>
  </si>
  <si>
    <t>4</t>
  </si>
  <si>
    <t>CHAPTER-5 - BASES AND SURFACE COURSES (BITUMINOUS)</t>
  </si>
  <si>
    <t xml:space="preserve">CHAPTER-6 - CEMENT CONCRETE PAVEMENTS </t>
  </si>
  <si>
    <t>CHAPTER-7 - GEOSYNTHETICS AND  REINFORCED EARTH</t>
  </si>
  <si>
    <t>8</t>
  </si>
  <si>
    <t>CHAPTER-8 - TRAFFIC SIGNS, MARKINGS &amp; OTHER ROAD APPURTENANCES</t>
  </si>
  <si>
    <t>9</t>
  </si>
  <si>
    <t>CHAPTER-9 -  CULVERTS &amp; BOX CELL</t>
  </si>
  <si>
    <t>10</t>
  </si>
  <si>
    <t>CHAPTER-10 - MAINTENANCE  OF ROADS</t>
  </si>
  <si>
    <t>11</t>
  </si>
  <si>
    <t>CHAPTER-11 - HORTICULTURE</t>
  </si>
  <si>
    <t>13</t>
  </si>
  <si>
    <t>CHAPTER-13 - SUB-STRUCTURE</t>
  </si>
  <si>
    <t>14</t>
  </si>
  <si>
    <t>CHAPTER-14 - SUPER-STRUCTURE</t>
  </si>
  <si>
    <t>16</t>
  </si>
  <si>
    <t>17</t>
  </si>
  <si>
    <t>18</t>
  </si>
  <si>
    <t>2.01 (A)</t>
  </si>
  <si>
    <t>2.01 (B)</t>
  </si>
  <si>
    <t>2.02</t>
  </si>
  <si>
    <t>2.03</t>
  </si>
  <si>
    <t>2.04</t>
  </si>
  <si>
    <t>2.05</t>
  </si>
  <si>
    <t>2.06</t>
  </si>
  <si>
    <t>2.07</t>
  </si>
  <si>
    <t>2.08</t>
  </si>
  <si>
    <t>2.09</t>
  </si>
  <si>
    <t>2.01.B.i</t>
  </si>
  <si>
    <t>2.01.B.ii</t>
  </si>
  <si>
    <t>2.01.B.iii</t>
  </si>
  <si>
    <t>2.01.B.iv</t>
  </si>
  <si>
    <t>2.03.i</t>
  </si>
  <si>
    <t>2.03.i.A</t>
  </si>
  <si>
    <t>2.03.i.B</t>
  </si>
  <si>
    <t>2.03.ii</t>
  </si>
  <si>
    <t>2.03.ii.A</t>
  </si>
  <si>
    <t>2.03.ii.B</t>
  </si>
  <si>
    <t>2.01.A</t>
  </si>
  <si>
    <t>2.01.A.i</t>
  </si>
  <si>
    <t>2.01.A.ii</t>
  </si>
  <si>
    <t>2.01.A.iii</t>
  </si>
  <si>
    <t>2.01.A.iv</t>
  </si>
  <si>
    <t>2.01.B</t>
  </si>
  <si>
    <t>2.05.II.B</t>
  </si>
  <si>
    <t>2.05.II.A</t>
  </si>
  <si>
    <t>2.05.I.B</t>
  </si>
  <si>
    <t>2.05.II</t>
  </si>
  <si>
    <t>2.05.I.A</t>
  </si>
  <si>
    <t>2.05.I</t>
  </si>
  <si>
    <t>2.04.ix.C</t>
  </si>
  <si>
    <t>2.04.ix.B</t>
  </si>
  <si>
    <t>2.04.ix.A</t>
  </si>
  <si>
    <t>2.04.ix</t>
  </si>
  <si>
    <t>2.04.viii</t>
  </si>
  <si>
    <t>2.04.vii.B</t>
  </si>
  <si>
    <t>2.04.vii.A</t>
  </si>
  <si>
    <t>2.04.vii</t>
  </si>
  <si>
    <t>2.04.vi.B</t>
  </si>
  <si>
    <t>2.04.vi.A</t>
  </si>
  <si>
    <t>2.04.vi</t>
  </si>
  <si>
    <t>2.04.v.C</t>
  </si>
  <si>
    <t>2.04.v.B</t>
  </si>
  <si>
    <t>2.04.v.A</t>
  </si>
  <si>
    <t>2.04.v</t>
  </si>
  <si>
    <t>2.04.iv</t>
  </si>
  <si>
    <t>2.04.iii.II.A</t>
  </si>
  <si>
    <t>2.04.iii.II</t>
  </si>
  <si>
    <t>2.04.iii.F</t>
  </si>
  <si>
    <t>2.04.iii.E</t>
  </si>
  <si>
    <t>2.04.iii.C</t>
  </si>
  <si>
    <t>2.04.iii.D</t>
  </si>
  <si>
    <t>2.04.iii.B</t>
  </si>
  <si>
    <t>Bituminous Concrete with waste plastic</t>
  </si>
  <si>
    <t>5.19</t>
  </si>
  <si>
    <t>5.19.i</t>
  </si>
  <si>
    <t>5.19.ii</t>
  </si>
  <si>
    <t>16.01</t>
  </si>
  <si>
    <t>16.01A</t>
  </si>
  <si>
    <t>16.02</t>
  </si>
  <si>
    <t>16.03</t>
  </si>
  <si>
    <t>16.04</t>
  </si>
  <si>
    <t>16.04A</t>
  </si>
  <si>
    <t>16.04B</t>
  </si>
  <si>
    <t>16.05</t>
  </si>
  <si>
    <t>16.06</t>
  </si>
  <si>
    <t>16.07</t>
  </si>
  <si>
    <t>16.08</t>
  </si>
  <si>
    <t>16.08A</t>
  </si>
  <si>
    <t>16.08B</t>
  </si>
  <si>
    <t>16.09</t>
  </si>
  <si>
    <t>16.10.A</t>
  </si>
  <si>
    <t>16.10.B</t>
  </si>
  <si>
    <t>17.01</t>
  </si>
  <si>
    <t>17.02</t>
  </si>
  <si>
    <t>17.03</t>
  </si>
  <si>
    <t>17.04</t>
  </si>
  <si>
    <t>17.05</t>
  </si>
  <si>
    <t>17.05A</t>
  </si>
  <si>
    <t>17.05B</t>
  </si>
  <si>
    <t>17.06</t>
  </si>
  <si>
    <t>17.07</t>
  </si>
  <si>
    <t>17.08</t>
  </si>
  <si>
    <t>17.09</t>
  </si>
  <si>
    <t>17.14</t>
  </si>
  <si>
    <t>17.15</t>
  </si>
  <si>
    <t>17.16</t>
  </si>
  <si>
    <t>17.17</t>
  </si>
  <si>
    <t>17.18</t>
  </si>
  <si>
    <t>17.19</t>
  </si>
  <si>
    <t>17.20</t>
  </si>
  <si>
    <t>17.21</t>
  </si>
  <si>
    <t>17.22</t>
  </si>
  <si>
    <t>17.23</t>
  </si>
  <si>
    <t>CHAPTER-18 - TUNNEL WORK</t>
  </si>
  <si>
    <t>CHAPTER-17  - REPAIR AND REHABILITATION</t>
  </si>
  <si>
    <t>CHAPTER-16 - RIVER TRAINING AND PROTECTION WORKS</t>
  </si>
  <si>
    <t>18.01</t>
  </si>
  <si>
    <t>18.02</t>
  </si>
  <si>
    <t>18.03</t>
  </si>
  <si>
    <t>18.04</t>
  </si>
  <si>
    <t>18.05</t>
  </si>
  <si>
    <t>18.06</t>
  </si>
  <si>
    <t>18.07</t>
  </si>
  <si>
    <t>18.08</t>
  </si>
  <si>
    <t>18.09</t>
  </si>
  <si>
    <t>18.10</t>
  </si>
  <si>
    <t>18.11</t>
  </si>
  <si>
    <t>18.12</t>
  </si>
  <si>
    <t>18.13</t>
  </si>
  <si>
    <t>19</t>
  </si>
  <si>
    <t xml:space="preserve">CHAPTER-19- ENVIRONMENTAL MANAGEMENT &amp; BIO ENGINEERING </t>
  </si>
  <si>
    <t>18.12.A</t>
  </si>
  <si>
    <t>19.01</t>
  </si>
  <si>
    <t>19.02</t>
  </si>
  <si>
    <t>Masonary Wall</t>
  </si>
  <si>
    <t>Galvanized steel plain sheet</t>
  </si>
  <si>
    <t>Acrylic noise barrier sheet</t>
  </si>
  <si>
    <t xml:space="preserve">Soil Quality Monitoring 
(Grab Sample as per the monitoring locations mention in the EIA/EMP report or one sample/10 km length
</t>
  </si>
  <si>
    <t xml:space="preserve">Ambient Air Quality Monitoring 24 hrs continuous for location as mention in the EIA/EMP report or one monitoring location within 10 km radius
</t>
  </si>
  <si>
    <t>Ambient Noise Monitoring 24 hour continuous 
(To be carried out as per the location mention in the EIA/EMP report</t>
  </si>
  <si>
    <t>Consent Approvals  (Once)</t>
  </si>
  <si>
    <t>Compliance submission for Consent Approvals  
(Half Yearly)</t>
  </si>
  <si>
    <t>compliance submission for Consent to Establish (CTE)</t>
  </si>
  <si>
    <t>compliance submission for Consent to Operate  (CTO)</t>
  </si>
  <si>
    <t>Environmental Clearance Compliance  (Half Yearly)</t>
  </si>
  <si>
    <t>19.02.i</t>
  </si>
  <si>
    <t>19.02.ii</t>
  </si>
  <si>
    <t>19.02.iii</t>
  </si>
  <si>
    <t>19.03</t>
  </si>
  <si>
    <t>Environmental Workshops (Half Yearly)</t>
  </si>
  <si>
    <t>KL</t>
  </si>
  <si>
    <t>Hour</t>
  </si>
  <si>
    <t>Filling Annular Space Around Footing in Rock (PCC-15 nominal mix. Rate may be taken as per item 15.11.)</t>
  </si>
  <si>
    <t>Brick Masonry Work in Cement Mortar 1:3 in Foundation complete excluding Pointing and Plastering, as per Drawing and Technical Specifications.</t>
  </si>
  <si>
    <t>Stone Masonry Work in Cement Mortar 1:3 in Foundation complete as per Drawing and Technical Specifications.</t>
  </si>
  <si>
    <t>Brick masonry work in 1:3 in sub-structure complete excluding pointing and plastering, as per drawing and Technical Specifications</t>
  </si>
  <si>
    <t xml:space="preserve">Pointing with cement mortar (1:3 ) on brick work in substructure as per Technical Specifications </t>
  </si>
  <si>
    <t xml:space="preserve">Plastering with cement mortar (1:3 ) on brick work in sub-structure as per Technical Specifications </t>
  </si>
  <si>
    <t>RCC Grade M20 using batching plant transit mixer &amp; Concrete pump</t>
  </si>
  <si>
    <t>RCC Grade M25 using batching plant transit mixer &amp; Concrete pump</t>
  </si>
  <si>
    <t>RCC Grade M30 using batching plant transit mixer &amp; Concrete pump</t>
  </si>
  <si>
    <t>RCC Grade M35 using batching plant transit mixer &amp; Concrete pump</t>
  </si>
  <si>
    <t>RCC Grade M40 using batching plant transit mixer &amp; Concrete pump</t>
  </si>
  <si>
    <t>Providing and laying 12 mm thick mastic asphalt wearing course on top of deck slab excluding prime coat with paving grade bitumen meeting the requirements given in Table 500-39, prepared by using mastic cooker and laid to required level and slope after cleaning the surface, including providing antiskid surface with bitumen precoated fine grained hard stone chipping of 9.5 mm nominal size at the rate of 0.005cum per 10 sqm and at an approximate spacing of 10 cm center to center in both directions, pressed into surface when the temperature of surfaces not less than 100 deg. C, protruding 1 mm to 4 mm over mastic surface, all complete as per clause 516.</t>
  </si>
  <si>
    <t>Painting with synthetic enamel paint bridge No. and span arrangements (Painting two coats after filling the surface with synthetic enamel paint  bridge No. and span arrangements as per as directed by Engineer.)</t>
  </si>
  <si>
    <t>CHAPTER-15 - BOX CELL STRUCTURES</t>
  </si>
  <si>
    <t>15</t>
  </si>
  <si>
    <t>15.01.I</t>
  </si>
  <si>
    <t>15.01.I.A</t>
  </si>
  <si>
    <t>15.01.I.A.i</t>
  </si>
  <si>
    <t>15.01.I.A.ii</t>
  </si>
  <si>
    <t>15.01.I.A.iii</t>
  </si>
  <si>
    <t>15.01.I.B</t>
  </si>
  <si>
    <t>15.01.I.B.i</t>
  </si>
  <si>
    <t>15.01.I.B.ii</t>
  </si>
  <si>
    <t>15.01.I.B.iii</t>
  </si>
  <si>
    <t>15.01.II</t>
  </si>
  <si>
    <t>15.01.II.A</t>
  </si>
  <si>
    <t>15.01.II.A.i</t>
  </si>
  <si>
    <t>15.01.II.B</t>
  </si>
  <si>
    <t>15.01.III</t>
  </si>
  <si>
    <t>15.01.III.A</t>
  </si>
  <si>
    <t>15.01.III.B</t>
  </si>
  <si>
    <t>15.01.IV</t>
  </si>
  <si>
    <t>15.01.IV.A</t>
  </si>
  <si>
    <t>15.01.V</t>
  </si>
  <si>
    <t>15.01.V.i</t>
  </si>
  <si>
    <t>15.01.V.i.A</t>
  </si>
  <si>
    <t>15.01.V.i.B</t>
  </si>
  <si>
    <t>15.01.VI</t>
  </si>
  <si>
    <t>15.02</t>
  </si>
  <si>
    <t>15.03</t>
  </si>
  <si>
    <t>15.04</t>
  </si>
  <si>
    <t>15.05</t>
  </si>
  <si>
    <t>15.05.A</t>
  </si>
  <si>
    <t>15.05.B</t>
  </si>
  <si>
    <t>15.05.C</t>
  </si>
  <si>
    <t>15.05.D</t>
  </si>
  <si>
    <t>15.06</t>
  </si>
  <si>
    <t>15.08</t>
  </si>
  <si>
    <t>15.09</t>
  </si>
  <si>
    <t>15.10</t>
  </si>
  <si>
    <t>15.11</t>
  </si>
  <si>
    <t>15.11.A</t>
  </si>
  <si>
    <t>15.11.A.I</t>
  </si>
  <si>
    <t>15.11.A.II</t>
  </si>
  <si>
    <t>15.25</t>
  </si>
  <si>
    <t>15.23</t>
  </si>
  <si>
    <t>15.23.A</t>
  </si>
  <si>
    <t>15.23.B</t>
  </si>
  <si>
    <t>15.24</t>
  </si>
  <si>
    <t>15.22</t>
  </si>
  <si>
    <t>15.22.i</t>
  </si>
  <si>
    <t>15.22.ii</t>
  </si>
  <si>
    <t>15.22.iii</t>
  </si>
  <si>
    <t>15.22.iv</t>
  </si>
  <si>
    <t>15.16</t>
  </si>
  <si>
    <t>15.17</t>
  </si>
  <si>
    <t>15.18</t>
  </si>
  <si>
    <t>15.19</t>
  </si>
  <si>
    <t>15.20</t>
  </si>
  <si>
    <t>15.21</t>
  </si>
  <si>
    <t>15.12</t>
  </si>
  <si>
    <t>15.12.A</t>
  </si>
  <si>
    <t>15.12.B</t>
  </si>
  <si>
    <t>15.12.C</t>
  </si>
  <si>
    <t>15.12.D</t>
  </si>
  <si>
    <t>15.12.E</t>
  </si>
  <si>
    <t>15.13</t>
  </si>
  <si>
    <t>15.14</t>
  </si>
  <si>
    <t>15.15</t>
  </si>
  <si>
    <t>15.15.I</t>
  </si>
  <si>
    <t>15.15.II</t>
  </si>
  <si>
    <t>15.11.I</t>
  </si>
  <si>
    <t>15.11.I.I</t>
  </si>
  <si>
    <t>15.11.I.II</t>
  </si>
  <si>
    <t>15.11.H</t>
  </si>
  <si>
    <t>15.11.H.I</t>
  </si>
  <si>
    <t>15.11.H.II</t>
  </si>
  <si>
    <t>15.11.G</t>
  </si>
  <si>
    <t>15.11.G.I</t>
  </si>
  <si>
    <t>15.11.G.II</t>
  </si>
  <si>
    <t>15.11.F</t>
  </si>
  <si>
    <t>15.11.F.I</t>
  </si>
  <si>
    <t>15.11.F.II</t>
  </si>
  <si>
    <t>15.11.D</t>
  </si>
  <si>
    <t>15.11.D.I</t>
  </si>
  <si>
    <t>15.11.D.II</t>
  </si>
  <si>
    <t>15.11.E</t>
  </si>
  <si>
    <t>15.11.E.I</t>
  </si>
  <si>
    <t>15.11.E.II</t>
  </si>
  <si>
    <t>15.11.B.I</t>
  </si>
  <si>
    <t>15.11.B.II</t>
  </si>
  <si>
    <t>15.11.C</t>
  </si>
  <si>
    <t>15.11.C.I</t>
  </si>
  <si>
    <t>15.11.C.II</t>
  </si>
  <si>
    <t>15.10.A</t>
  </si>
  <si>
    <t>15.10.B</t>
  </si>
  <si>
    <t>15.10.C</t>
  </si>
  <si>
    <t>14.25</t>
  </si>
  <si>
    <t>14.26</t>
  </si>
  <si>
    <t>13.19</t>
  </si>
  <si>
    <t>13.20</t>
  </si>
  <si>
    <t>9.02</t>
  </si>
  <si>
    <t>9.03</t>
  </si>
  <si>
    <t>9.04</t>
  </si>
  <si>
    <t>9.04.A</t>
  </si>
  <si>
    <t>9.04.B</t>
  </si>
  <si>
    <t>9.04.C</t>
  </si>
  <si>
    <t>9.05</t>
  </si>
  <si>
    <t>9.05.A</t>
  </si>
  <si>
    <t>9.05.B</t>
  </si>
  <si>
    <t>9.05.C</t>
  </si>
  <si>
    <t>Plain/Reinforced Cement Concrete in Pipe Culverts complete as per Drawing and Technical Specifications.</t>
  </si>
  <si>
    <t>9.06</t>
  </si>
  <si>
    <t>9.07</t>
  </si>
  <si>
    <t xml:space="preserve">Supplying, Fitting and Placing un-coated HYSD bar Reinforcement in Pipe Culvert complete as per Drawing and Technical Specifications. </t>
  </si>
  <si>
    <t>9.06.A</t>
  </si>
  <si>
    <t>9.06.A.I</t>
  </si>
  <si>
    <t>9.06.A.II</t>
  </si>
  <si>
    <t>9.06.B</t>
  </si>
  <si>
    <t>9.06.B.I</t>
  </si>
  <si>
    <t>9.06.B.II</t>
  </si>
  <si>
    <t>9.06.C</t>
  </si>
  <si>
    <t>9.06.C.I</t>
  </si>
  <si>
    <t>9.06.C.II</t>
  </si>
  <si>
    <t>9.06.D</t>
  </si>
  <si>
    <t>9.06.D.I</t>
  </si>
  <si>
    <t>9.06.D.II</t>
  </si>
  <si>
    <t>9.06.E</t>
  </si>
  <si>
    <t>9.06.E.I</t>
  </si>
  <si>
    <t>9.06.E.II</t>
  </si>
  <si>
    <t>CULVERTS &amp; BOX CELL STRUCTURES</t>
  </si>
  <si>
    <t>4.01</t>
  </si>
  <si>
    <t>4.01.A</t>
  </si>
  <si>
    <t>4.01.A.i</t>
  </si>
  <si>
    <t>4.01.A.ii</t>
  </si>
  <si>
    <t>4.01.A.iii</t>
  </si>
  <si>
    <t>4.01.A.iv</t>
  </si>
  <si>
    <t>4.01.A.v</t>
  </si>
  <si>
    <t>4.01.A.vi</t>
  </si>
  <si>
    <t>4.01.B</t>
  </si>
  <si>
    <t>4.01.B.i</t>
  </si>
  <si>
    <t>4.01.B.ii</t>
  </si>
  <si>
    <t>4.01.B.iii</t>
  </si>
  <si>
    <t>4.01.B.iv</t>
  </si>
  <si>
    <t>4.01.B.v</t>
  </si>
  <si>
    <t>4.01.B.vi</t>
  </si>
  <si>
    <t>4.01.C</t>
  </si>
  <si>
    <t>4.01.C.i</t>
  </si>
  <si>
    <t>4.01.C.ii</t>
  </si>
  <si>
    <t>4.01.C.iii</t>
  </si>
  <si>
    <t>4.01.C.iv</t>
  </si>
  <si>
    <t>4.01.C.v</t>
  </si>
  <si>
    <t>4.01.C.vi</t>
  </si>
  <si>
    <t>4.02.A</t>
  </si>
  <si>
    <t>4.02.A.i</t>
  </si>
  <si>
    <t>4.02.B</t>
  </si>
  <si>
    <t>4.02.B.i</t>
  </si>
  <si>
    <t>4.02.B.ii</t>
  </si>
  <si>
    <t>4.03</t>
  </si>
  <si>
    <t>4.03.A</t>
  </si>
  <si>
    <t>4.03.A.1</t>
  </si>
  <si>
    <t>4.03.B</t>
  </si>
  <si>
    <t>4.03.B.i</t>
  </si>
  <si>
    <t>4.03.B.ii</t>
  </si>
  <si>
    <t>4.04</t>
  </si>
  <si>
    <t>4.04.A</t>
  </si>
  <si>
    <t>4.04.A.i</t>
  </si>
  <si>
    <t>4.04.B</t>
  </si>
  <si>
    <t>4.04.B.i</t>
  </si>
  <si>
    <t>4.04.B.ii</t>
  </si>
  <si>
    <t>4.04.B.iii</t>
  </si>
  <si>
    <t>4.04.B.iv</t>
  </si>
  <si>
    <t>4.05</t>
  </si>
  <si>
    <t>4.06</t>
  </si>
  <si>
    <t>4.07</t>
  </si>
  <si>
    <t>4.07.i</t>
  </si>
  <si>
    <t>4.07.ii</t>
  </si>
  <si>
    <t>4.08</t>
  </si>
  <si>
    <t>4.08.A</t>
  </si>
  <si>
    <t>4.08.A.i</t>
  </si>
  <si>
    <t>4.08.A.ii</t>
  </si>
  <si>
    <t>4.08.B</t>
  </si>
  <si>
    <t>4.08.B.i</t>
  </si>
  <si>
    <t>4.08.B.ii</t>
  </si>
  <si>
    <t>4.09</t>
  </si>
  <si>
    <t>5.01</t>
  </si>
  <si>
    <t>5.01.A</t>
  </si>
  <si>
    <t>5.01.A.i</t>
  </si>
  <si>
    <t>5.01.A.ii</t>
  </si>
  <si>
    <t>5.01.B</t>
  </si>
  <si>
    <t>5.01.B.i</t>
  </si>
  <si>
    <t>5.01.B.ii</t>
  </si>
  <si>
    <t>5.02</t>
  </si>
  <si>
    <t>5.02.i</t>
  </si>
  <si>
    <t>5.02.ii</t>
  </si>
  <si>
    <t>5.03</t>
  </si>
  <si>
    <t>5.02.iii</t>
  </si>
  <si>
    <t>5.03.i</t>
  </si>
  <si>
    <t>5.03.ii</t>
  </si>
  <si>
    <t>5.04</t>
  </si>
  <si>
    <t>5.04.i</t>
  </si>
  <si>
    <t>5.09.ii</t>
  </si>
  <si>
    <t>5.09.i</t>
  </si>
  <si>
    <t>5.09</t>
  </si>
  <si>
    <t>5.08</t>
  </si>
  <si>
    <t>5.07</t>
  </si>
  <si>
    <t>5.05</t>
  </si>
  <si>
    <t>5.05.i</t>
  </si>
  <si>
    <t>5.05.ii</t>
  </si>
  <si>
    <t>5.06</t>
  </si>
  <si>
    <t>5.08.i</t>
  </si>
  <si>
    <t>5.08.ii</t>
  </si>
  <si>
    <t>5.04.ii</t>
  </si>
  <si>
    <t xml:space="preserve">5.03     </t>
  </si>
  <si>
    <t>6.0</t>
  </si>
  <si>
    <t>6.01</t>
  </si>
  <si>
    <t>6.02</t>
  </si>
  <si>
    <t>6.03</t>
  </si>
  <si>
    <t>6.04</t>
  </si>
  <si>
    <t>6.05</t>
  </si>
  <si>
    <t>7.04.i</t>
  </si>
  <si>
    <t>7.04.i.A</t>
  </si>
  <si>
    <t>7.04.i.A.1</t>
  </si>
  <si>
    <t>7.04.i.A.2</t>
  </si>
  <si>
    <t>7.04.i.A.3</t>
  </si>
  <si>
    <t>7.04.i.A.5</t>
  </si>
  <si>
    <t>7.04.i.B</t>
  </si>
  <si>
    <t>7.04.i.B.2</t>
  </si>
  <si>
    <t>7.0</t>
  </si>
  <si>
    <t>7.01</t>
  </si>
  <si>
    <t>7.02</t>
  </si>
  <si>
    <t>7.03</t>
  </si>
  <si>
    <t>7.04</t>
  </si>
  <si>
    <t>7.06</t>
  </si>
  <si>
    <t>7.07</t>
  </si>
  <si>
    <t>7.08</t>
  </si>
  <si>
    <t>7.04.i.A.4</t>
  </si>
  <si>
    <t>7.05</t>
  </si>
  <si>
    <t>7.05.i</t>
  </si>
  <si>
    <t>7.05.ii</t>
  </si>
  <si>
    <t>7.05.iii</t>
  </si>
  <si>
    <t>7.05.iv</t>
  </si>
  <si>
    <t>7.06.i</t>
  </si>
  <si>
    <t>7.06.ii</t>
  </si>
  <si>
    <t>7.06.iii</t>
  </si>
  <si>
    <t>7.06.iv</t>
  </si>
  <si>
    <t>7.06.v</t>
  </si>
  <si>
    <t>7.06.vi</t>
  </si>
  <si>
    <t>7.06.vii</t>
  </si>
  <si>
    <t>7.06.viii</t>
  </si>
  <si>
    <t>7.06.ix</t>
  </si>
  <si>
    <t>7.06.x</t>
  </si>
  <si>
    <t>7.06.xi</t>
  </si>
  <si>
    <t>7.06.xii</t>
  </si>
  <si>
    <t>7.06.xiii</t>
  </si>
  <si>
    <t>7.06.xiv</t>
  </si>
  <si>
    <t>8.01</t>
  </si>
  <si>
    <t>8.07</t>
  </si>
  <si>
    <t>8.07.A</t>
  </si>
  <si>
    <t>8.07.B</t>
  </si>
  <si>
    <t>8.08</t>
  </si>
  <si>
    <t>8.09</t>
  </si>
  <si>
    <t>8.05</t>
  </si>
  <si>
    <t>8.06</t>
  </si>
  <si>
    <t>8.04</t>
  </si>
  <si>
    <t xml:space="preserve"> Extra over item no. 12.17(A) or (B) irrespective of depth for sinking in  Soft Rock </t>
  </si>
  <si>
    <t xml:space="preserve"> Extra over item no. 12.17 (A) or (B) irrespective of depth for sinking in  Soft Rock </t>
  </si>
  <si>
    <t xml:space="preserve">Extra over item no. 12.17 (A) or (B) irrespective of depth for sinking in rock bouldery strata  </t>
  </si>
  <si>
    <t xml:space="preserve"> Extra over item no. 12.16 (A) or (B) irrespective of depth for sinking in  Soft Rock </t>
  </si>
  <si>
    <t xml:space="preserve"> Extra over item no. 12.16 (A) or (B) irrespective of depth for sinking in  Soft Rock</t>
  </si>
  <si>
    <t>Extra over item no. 12.16 (A) or (B) irrespective of depth for sinking in rock bouldery strata</t>
  </si>
  <si>
    <t xml:space="preserve"> Extra over item no. 12.15 (A) or (B) irrespective of depth for sinking in  Soft Rock </t>
  </si>
  <si>
    <t xml:space="preserve"> Extra over item no. 12.15(A) or (B) irrespective of depth for sinking in  Soft Rock</t>
  </si>
  <si>
    <t>Extra over item no. 12.15 (A) or (B) irrespective of depth for sinking in rock bouldery strata</t>
  </si>
  <si>
    <t>10.01</t>
  </si>
  <si>
    <t>10.08 A</t>
  </si>
  <si>
    <t>12.06 A</t>
  </si>
  <si>
    <t>14.06</t>
  </si>
  <si>
    <t>14.05</t>
  </si>
  <si>
    <t>14.01.A</t>
  </si>
  <si>
    <t>14.01.A.i</t>
  </si>
  <si>
    <t>14.01.A.i.p</t>
  </si>
  <si>
    <t>14.01.A.i.q</t>
  </si>
  <si>
    <t>14.01.A.i.r</t>
  </si>
  <si>
    <t>14.01.A.ii</t>
  </si>
  <si>
    <t>14.01.A.ii.p</t>
  </si>
  <si>
    <t>14.01.A.ii.q</t>
  </si>
  <si>
    <t>14.01.A.ii.r</t>
  </si>
  <si>
    <t>14.01.B</t>
  </si>
  <si>
    <t>14.01.B.i</t>
  </si>
  <si>
    <t>14.01.B.i.p</t>
  </si>
  <si>
    <t>14.01.B.i.q</t>
  </si>
  <si>
    <t>14.01.B.i.r</t>
  </si>
  <si>
    <t>14.01.B.ii</t>
  </si>
  <si>
    <t>14.01.B.ii.p</t>
  </si>
  <si>
    <t>14.01.B.ii.q</t>
  </si>
  <si>
    <t>14.01.B.ii.r</t>
  </si>
  <si>
    <t>14.01.C</t>
  </si>
  <si>
    <t>14.01.C.i</t>
  </si>
  <si>
    <t>14.01.C.i.p</t>
  </si>
  <si>
    <t>14.01.C.i.q</t>
  </si>
  <si>
    <t>14.01.C.i.r</t>
  </si>
  <si>
    <t>14.01.C.ii</t>
  </si>
  <si>
    <t>14.01.C.ii.p</t>
  </si>
  <si>
    <t>14.01.C.ii.q</t>
  </si>
  <si>
    <t>14.01.C.ii.r</t>
  </si>
  <si>
    <t>14.01.D</t>
  </si>
  <si>
    <t>14.01.D.i</t>
  </si>
  <si>
    <t>14.01.D.i.p</t>
  </si>
  <si>
    <t>14.01.D.i.q</t>
  </si>
  <si>
    <t>14.01.D.i.r</t>
  </si>
  <si>
    <t>14.01.D.ii</t>
  </si>
  <si>
    <t>14.01.D.ii.p</t>
  </si>
  <si>
    <t>14.01.D.ii.q</t>
  </si>
  <si>
    <t>14.01.D.ii.r</t>
  </si>
  <si>
    <t>14.01.D.iii</t>
  </si>
  <si>
    <t>14.01.D.iii.p</t>
  </si>
  <si>
    <t>14.01.D.iii.q</t>
  </si>
  <si>
    <t>14.01.D.iii.r</t>
  </si>
  <si>
    <t>14.01.E</t>
  </si>
  <si>
    <t>14.01.E.i</t>
  </si>
  <si>
    <t>14.01.E.i.p</t>
  </si>
  <si>
    <t>14.01.E.i.q</t>
  </si>
  <si>
    <t>14.01.E.i.r</t>
  </si>
  <si>
    <t>14.01.E.ii</t>
  </si>
  <si>
    <t>14.01.E.ii.p</t>
  </si>
  <si>
    <t>14.01.E.ii.q</t>
  </si>
  <si>
    <t>14.01.E.ii.r</t>
  </si>
  <si>
    <t>14.01.E.iii</t>
  </si>
  <si>
    <t>14.01.E.iii.p</t>
  </si>
  <si>
    <t>14.01.E.iii.q</t>
  </si>
  <si>
    <t>14.01.E.iii.r</t>
  </si>
  <si>
    <t>14.01.F</t>
  </si>
  <si>
    <t>14.01.F.i</t>
  </si>
  <si>
    <t>14.01.F.i.p</t>
  </si>
  <si>
    <t>14.01.F.i.q</t>
  </si>
  <si>
    <t>14.01.F.i.r</t>
  </si>
  <si>
    <t>14.01.F.ii</t>
  </si>
  <si>
    <t>14.01.F.ii.p</t>
  </si>
  <si>
    <t>14.01.F.ii.q</t>
  </si>
  <si>
    <t>14.01.F.ii.r</t>
  </si>
  <si>
    <t>14.01.F.iii</t>
  </si>
  <si>
    <t>14.01.F.iii.p</t>
  </si>
  <si>
    <t>14.01.F.iii.q</t>
  </si>
  <si>
    <t>14.01.F.iii.r</t>
  </si>
  <si>
    <t>14.01.G</t>
  </si>
  <si>
    <t>14.01.G.i</t>
  </si>
  <si>
    <t>14.01.G.i.p</t>
  </si>
  <si>
    <t>14.01.G.i.q</t>
  </si>
  <si>
    <t>14.01.G.i.r</t>
  </si>
  <si>
    <t>14.01.H</t>
  </si>
  <si>
    <t>14.01.H.i</t>
  </si>
  <si>
    <t>14.01.H.i.p</t>
  </si>
  <si>
    <t>14.01.H.i.q</t>
  </si>
  <si>
    <t>14.01.H.i.r</t>
  </si>
  <si>
    <t>14.01.I</t>
  </si>
  <si>
    <t>14.01.I.i</t>
  </si>
  <si>
    <t>14.01.I.i.p</t>
  </si>
  <si>
    <t>14.01.I.i.q</t>
  </si>
  <si>
    <t>14.01.I.i.r</t>
  </si>
  <si>
    <t>14.01.J</t>
  </si>
  <si>
    <t>14.01.J.i</t>
  </si>
  <si>
    <t>14.01.J.i.p</t>
  </si>
  <si>
    <t>14.01.J.i.q</t>
  </si>
  <si>
    <t>14.01.J.i.r</t>
  </si>
  <si>
    <t>14.02</t>
  </si>
  <si>
    <t>14.03</t>
  </si>
  <si>
    <t>14.04</t>
  </si>
  <si>
    <t>14.07</t>
  </si>
  <si>
    <t>14.08</t>
  </si>
  <si>
    <t>14.09</t>
  </si>
  <si>
    <t>13.01</t>
  </si>
  <si>
    <t>13.02</t>
  </si>
  <si>
    <t>13.03</t>
  </si>
  <si>
    <t>13.04</t>
  </si>
  <si>
    <t>13.04.A</t>
  </si>
  <si>
    <t>13.04.B</t>
  </si>
  <si>
    <t>13.04.C</t>
  </si>
  <si>
    <t>13.05</t>
  </si>
  <si>
    <t>13.05.A</t>
  </si>
  <si>
    <t>13.05.A.p</t>
  </si>
  <si>
    <t>13.05.B</t>
  </si>
  <si>
    <t>13.05.B.p</t>
  </si>
  <si>
    <t>13.05.C</t>
  </si>
  <si>
    <t>13.05.C.p</t>
  </si>
  <si>
    <t>13.05.C.q</t>
  </si>
  <si>
    <t>13.05.C.r</t>
  </si>
  <si>
    <t>13.05.D</t>
  </si>
  <si>
    <t>13.05.D.p</t>
  </si>
  <si>
    <t>13.05.D.q</t>
  </si>
  <si>
    <t>13.05.D.r</t>
  </si>
  <si>
    <t>13.05.E</t>
  </si>
  <si>
    <t>13.05.E.p</t>
  </si>
  <si>
    <t>13.05.E.q</t>
  </si>
  <si>
    <t>13.05.E.r</t>
  </si>
  <si>
    <t>13.05.F</t>
  </si>
  <si>
    <t>13.05.F.p</t>
  </si>
  <si>
    <t>13.05.F.q</t>
  </si>
  <si>
    <t>13.05.F.r</t>
  </si>
  <si>
    <t>13.05.G</t>
  </si>
  <si>
    <t>13.05.G.p</t>
  </si>
  <si>
    <t>13.05.G.q</t>
  </si>
  <si>
    <t>13.05.G.r</t>
  </si>
  <si>
    <t>13.05.H</t>
  </si>
  <si>
    <t>13.05.H.p</t>
  </si>
  <si>
    <t>13.05.H.q</t>
  </si>
  <si>
    <t>13.05.H.r</t>
  </si>
  <si>
    <t>13.05.I</t>
  </si>
  <si>
    <t>13.05.I.p</t>
  </si>
  <si>
    <t>13.05.I.q</t>
  </si>
  <si>
    <t>13.05.I.r</t>
  </si>
  <si>
    <t>13.05.J</t>
  </si>
  <si>
    <t>13.05.J.p</t>
  </si>
  <si>
    <t>13.05.J.q</t>
  </si>
  <si>
    <t>13.05.J.r</t>
  </si>
  <si>
    <t>13.05.K</t>
  </si>
  <si>
    <t>13.05.K.p</t>
  </si>
  <si>
    <t>13.05.K.q</t>
  </si>
  <si>
    <t>13.05.K.r</t>
  </si>
  <si>
    <t>18.12.A.i</t>
  </si>
  <si>
    <t>18.12.B</t>
  </si>
  <si>
    <t>18.12.B.i</t>
  </si>
  <si>
    <t>18.12.C</t>
  </si>
  <si>
    <t>18.12.C.i</t>
  </si>
  <si>
    <t>18.12.D</t>
  </si>
  <si>
    <t>18.12.D.i</t>
  </si>
  <si>
    <t>18.12.E</t>
  </si>
  <si>
    <t>18.12.E.i</t>
  </si>
  <si>
    <t>18.12.F</t>
  </si>
  <si>
    <t>18.12.F.i</t>
  </si>
  <si>
    <t>18.12.G</t>
  </si>
  <si>
    <t>18.12.G.i</t>
  </si>
  <si>
    <t>18.12.H</t>
  </si>
  <si>
    <t>18.12.H.i</t>
  </si>
  <si>
    <t>18.12.I</t>
  </si>
  <si>
    <t>18.12.I.i</t>
  </si>
  <si>
    <t>18.12.J</t>
  </si>
  <si>
    <t>18.12.J.i</t>
  </si>
  <si>
    <t>4.22</t>
  </si>
  <si>
    <t>Granular crack relief layer laying Using Mechanical Paver (Providing, laying, spreading and compacting graded stone aggregate to Granular crack relief layer as per IRC SP-37 including premixing the Material with water at OMC in mechanical mix plant carriage of mixed Material by tipper to site, laying in uniform layers with paver over base course on well prepared surface and compacting with vibratory roller to achieve the desired density</t>
  </si>
  <si>
    <t>Providing and applying primer coat with SS1 grade bitumen emulsion on prepared surface of granular Base including clearing of road surface and spraying primer at the rate of 0.70 kg/sqm using mechanical means.</t>
  </si>
  <si>
    <t>Providing and applying primer coat with cutback MC 30 bitumen emulsion on prepared surface of granular Base including clearing of road surface and spraying primer at the rate of 0.60 kg/sqm using mechanical means.</t>
  </si>
  <si>
    <t>Providing and applying primer coat with SS1 grade bitumen emulsion on prepared surface of granular Base including clearing of road surface and spraying primer at the rate of 0.90 kg/sqm using mechanical means.</t>
  </si>
  <si>
    <t>Providing and applying primer coat with cutback MC 70 bitumen emulsion on prepared surface of granular Base including clearing of road surface and spraying primer at the rate of 0.90 kg/sqm using mechanical means.</t>
  </si>
  <si>
    <t>6.06</t>
  </si>
  <si>
    <t>Provision of an Reinforced cement concrete crash barrier with frication slab at the approaches to bridge structures, constructed with M-40 grade concrete with HYSD reinforcement conforming to IRC:112 and as per dimensions in the approved drawing and at locations directed by the Engineer, all as specified.</t>
  </si>
  <si>
    <t>Supply and installation of In-Situ Soil reinforcement  (Soil Nailing) with fully threaded hot-dip galvanized solid geotechnical bars as soil nails (galvanization minimum 500 grams per sqm) of minimum 25 mm diameter, having yield strength &gt; 670N/mm2 and tensile strength &gt; 800N/mm2 as per technical specifications and drawings etc. complete including drilling, flushing,grouting, and all Supply and installation of all components listed as per technical specifications and drawings etc and considering all lead, lift and machinery .</t>
  </si>
  <si>
    <t>meter</t>
  </si>
  <si>
    <t xml:space="preserve"> Drilling length below bed level upto 50.0 Meter</t>
  </si>
  <si>
    <t>Sandy Soil / Cohesive Soil</t>
  </si>
  <si>
    <t>Gravelly Soil</t>
  </si>
  <si>
    <t>Rubble/Cobble Stone</t>
  </si>
  <si>
    <t>Soft Rock</t>
  </si>
  <si>
    <t>Drilling length from 50.0 Meter - 80 meter</t>
  </si>
  <si>
    <t>Supplying &amp; laying of drainage composite for use behind walls,</t>
  </si>
  <si>
    <t>8.04 A</t>
  </si>
  <si>
    <t>Providing and fixing of retro- reflectorised cautionary, mandatory and informatory sign as per IRC :67 made of Class-B Type IV retro reflective sheeting fixed over 2 mm thick aluminium sheeting vide clause 801.3, 3mm/4mm thick Aluminum composite material sheet depending on the size of the sign fixed over back support frame of min 25 x 25 x 3mm Angle mounted  on a mild steel  circular pipe 65 NB ,3.2 mm thicknness firmly fixed to the ground by means of properly designed foundation with M25 grade cement concrete 45 cm x 45 cm x 60 cm, 60 cm below ground level as per approved drawing. The sign shall be maintained as per section 12 of IRC 67.</t>
  </si>
  <si>
    <t>Retro- reflectorised Traffic signs</t>
  </si>
  <si>
    <t>8.04 B</t>
  </si>
  <si>
    <t>8.01.A</t>
  </si>
  <si>
    <t>8.01.A.i</t>
  </si>
  <si>
    <t>8.01.A.ii</t>
  </si>
  <si>
    <t>8.02</t>
  </si>
  <si>
    <t>8.02.A</t>
  </si>
  <si>
    <t>8.02.A.i</t>
  </si>
  <si>
    <t>8.02.A.ii</t>
  </si>
  <si>
    <t>8.03</t>
  </si>
  <si>
    <t>8.03.i</t>
  </si>
  <si>
    <t>8.03.ii</t>
  </si>
  <si>
    <t>8.04 A .i</t>
  </si>
  <si>
    <t>8.04.A ii</t>
  </si>
  <si>
    <t>8.04.A iii</t>
  </si>
  <si>
    <t>8.04.A iv</t>
  </si>
  <si>
    <t>8.04.A v</t>
  </si>
  <si>
    <t>8.04.A vi</t>
  </si>
  <si>
    <t>8.04.A vii</t>
  </si>
  <si>
    <t>8.04.A viii</t>
  </si>
  <si>
    <t>8.04.A ix</t>
  </si>
  <si>
    <t>8.04.A x</t>
  </si>
  <si>
    <t>8.04.A xi</t>
  </si>
  <si>
    <t>8.04.A xii</t>
  </si>
  <si>
    <t>8.04.A xiii</t>
  </si>
  <si>
    <t>8.04.A xiv</t>
  </si>
  <si>
    <t>8.04.A xv</t>
  </si>
  <si>
    <t>8.04.A xvi</t>
  </si>
  <si>
    <t>8.04 B .i</t>
  </si>
  <si>
    <t>8.04.B ii</t>
  </si>
  <si>
    <t>8.04.B iii</t>
  </si>
  <si>
    <t>8.04.B iv</t>
  </si>
  <si>
    <t>8.04.B v</t>
  </si>
  <si>
    <t>8.04.B vi</t>
  </si>
  <si>
    <t>8.04.B vii</t>
  </si>
  <si>
    <t>8.04.B viii</t>
  </si>
  <si>
    <t>8.04.B ix</t>
  </si>
  <si>
    <t>8.04.B x</t>
  </si>
  <si>
    <t>8.04.B xi</t>
  </si>
  <si>
    <t>8.04.B xii</t>
  </si>
  <si>
    <t>8.04.B xiii</t>
  </si>
  <si>
    <t>8.04.B xiv</t>
  </si>
  <si>
    <t>8.04.B xv</t>
  </si>
  <si>
    <t>8.04.B xvi</t>
  </si>
  <si>
    <t>M 30 grade concrete</t>
  </si>
  <si>
    <t>Reinforced Cement Concrete Crash Barrier</t>
  </si>
  <si>
    <t>Provision of an Reinforced cement concrete crash barrier at the edges of the road, approaches to bridge structures and medians, constructed with Reinforced Cement Concrete with HYSD reinforcement conforming to conforming MoRT&amp;H  Specification and as per details given IRC -5 (Fig.-5, b)   including dowel bars 25 mm dia, 450 mm long at expansion joints filled with pre-moulded asphalt filler board etc., as per approved drawing and at locations directed by the Engineer, all as specified.   
(Area-0.243 Sqm. /Meter, Single Face)</t>
  </si>
  <si>
    <t>M 25 grade concrete</t>
  </si>
  <si>
    <t>8.22.A.i</t>
  </si>
  <si>
    <t>8.22.A.ii</t>
  </si>
  <si>
    <t>8.22  A</t>
  </si>
  <si>
    <t>Provision of an Reinforced cement concrete new jersey crash barrier  at the medians, constructed with Reinforced Cement Concrete with HYSD reinforcement conforming to conforming MoRT&amp;H  Specification and as per details given IRC -119 (Fig.-26)   including dowel bars 25 mm dia, 450 mm long at expansion joints filled with pre-moulded asphalt filler board etc., as per approved drawing and at locations directed by the Engineer, all as specified.   
(Area-0.261 Sqm. /Meter, Double Face)</t>
  </si>
  <si>
    <t>8.22  B</t>
  </si>
  <si>
    <t>8.22.B.i</t>
  </si>
  <si>
    <t>8.22.B.ii</t>
  </si>
  <si>
    <t xml:space="preserve">Provision of an Fiber Reinforced cement concrete new jersey crash barrier </t>
  </si>
  <si>
    <t>Provision of an Reinforced cement concrete crash barrier at the edges of the road, approaches to bridge structures and medians, constructed with Reinforced Cement Concrete with fiber steel  and as per details given IRC -5 (Fig.-5, b)   including dowel bars 25 mm dia, 450 mm long at expansion joints filled with pre-moulded asphalt filler board etc., as per approved drawing and at locations directed by the Engineer, all as specified.   (Area-0.243 Sqm. /Meter, Single Face)</t>
  </si>
  <si>
    <t>Provision of an Reinforced cement concrete crash barrier at the edges of the road, approaches to bridge structures and medians, constructed with Reinforced Cement Concrete with fiber steel and as per details given IRC -119 (Fig.-26)   including dowel bars 25 mm dia, 450 mm long at expansion joints filled with pre-moulded asphalt filler board etc., as per approved drawing and at locations directed by the Engineer, all as specified.   (Area-0.261 Sqm. /Meter, Double Face)</t>
  </si>
  <si>
    <t>8.51</t>
  </si>
  <si>
    <t>8.51.A</t>
  </si>
  <si>
    <t>Replacement  of  Metal Beam Crash Barrier</t>
  </si>
  <si>
    <t>Replacement  of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811.</t>
  </si>
  <si>
    <t>Replacement  of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811.</t>
  </si>
  <si>
    <t>10.16</t>
  </si>
  <si>
    <t>10.16.A</t>
  </si>
  <si>
    <t>10.16.B</t>
  </si>
  <si>
    <t>14.01</t>
  </si>
  <si>
    <t xml:space="preserve"> M40 grade concrete &amp; HYSD steel  reinforcement 
(Crash Barriers for Bridge (Height 950 mm) as per details given IRC -5 (fig.-1) Surface  Area-0.254  Sqm. for 1 meter length)</t>
  </si>
  <si>
    <t xml:space="preserve"> M40 grade concrete &amp; HYSD steel  reinforcement 
Crash Barriers for Bridge (Height 1100 mm) as per details given IRC -5 (fig.-2) Surface  Area-0.298  Sqm. for 1 meter length)</t>
  </si>
  <si>
    <t xml:space="preserve"> M40 grade concrete &amp; HYSD steel  reinforcement 
Crash Barriers for Bridge (Height 1550 mm) as per details given IRC -5 (fig.-3) Surface Area-0.514 Sqm. for 1 meter length)</t>
  </si>
  <si>
    <t>14.15 A</t>
  </si>
  <si>
    <t>14.15 B</t>
  </si>
  <si>
    <t>14.15 C</t>
  </si>
  <si>
    <t>Crash Barriers (Provision of an Reinforced cement concrete crash barrier at the bridge decks &amp; approaches to bridge structures, constructed with Reinforced Cement Concrete with HYSD reinforcement conforming MoRT&amp;H  Specification and as per details given IRC -5   including dowel bars , expansion joints filled with pre-moulded asphalt filler board etc. and approved drawing and at locations directed by the Engineer, all as specified.   )
The rate analysis for Rigid rash barrier  included in chapter-14 and semi-rigid crash barrier with metal beam and flexible crash barrier with wire ropes have been made and included in chapter-8 on Traffic and Transportation.)</t>
  </si>
  <si>
    <t>Network Survey Vehicle (NSV) attached with SUV</t>
  </si>
  <si>
    <t>Falling weight deflectometer (FWD)</t>
  </si>
  <si>
    <t>Lane Km.</t>
  </si>
  <si>
    <t>Road Retroreflectometer attached with SUV</t>
  </si>
  <si>
    <t>Automatic Vehicle Counter Classifier (ATCC)</t>
  </si>
  <si>
    <t>Per Location</t>
  </si>
  <si>
    <t>10.20</t>
  </si>
  <si>
    <t>17.24</t>
  </si>
  <si>
    <t xml:space="preserve">Inspection  of bridge  by using of Mobile Bridge Inspection Unit (MBIU) </t>
  </si>
  <si>
    <t>Crack Prevention courses</t>
  </si>
  <si>
    <t>22.01</t>
  </si>
  <si>
    <t>ADDITIONAL ITEMS</t>
  </si>
  <si>
    <t>22</t>
  </si>
  <si>
    <t>Construction of drainage chute in cement concrete M-20 grade with foundation concrete  M-15 grade complete as per drawings and MORT&amp;H Specifications Sections 300, 1500 and 1700 including construction of bell mouth at entry.</t>
  </si>
  <si>
    <t>Construction of energy dissipation basin at toe of chute in cement concrete M-15 complete as per drawings and MORT&amp;H Specifications Sections 300, 1500 and 1700.</t>
  </si>
  <si>
    <t>Providing and fixing M-20 guard post as per drawing 
(Size - 250mm dia, 1.25m length)</t>
  </si>
  <si>
    <t>For 3.2 m wide toll lane</t>
  </si>
  <si>
    <t>For 4.5 m wide toll lane</t>
  </si>
  <si>
    <t xml:space="preserve">Traffic Aid Post at Toll Plaza </t>
  </si>
  <si>
    <t xml:space="preserve">Medical Aid Post at Toll Plaza </t>
  </si>
  <si>
    <t xml:space="preserve">Vehicle Rescue Post at Toll Plaza </t>
  </si>
  <si>
    <t xml:space="preserve">Ambulances at Toll Plaza </t>
  </si>
  <si>
    <t>Electronic Toll Connection (ETC lanes) at Toll Plaza</t>
  </si>
  <si>
    <t>Intercom facility at Toll Plaza</t>
  </si>
  <si>
    <t xml:space="preserve">Canopy Lights   </t>
  </si>
  <si>
    <t xml:space="preserve">Barrier gates at Tollplaza </t>
  </si>
  <si>
    <t xml:space="preserve">Toll Booth at Tollplaza </t>
  </si>
  <si>
    <t>Canopy</t>
  </si>
  <si>
    <t>Loading Unloading Platform</t>
  </si>
  <si>
    <t>Weigh Bridge</t>
  </si>
  <si>
    <t>Car Parking area</t>
  </si>
  <si>
    <t>Generator room</t>
  </si>
  <si>
    <t>Base Maintainance Camp</t>
  </si>
  <si>
    <t>MR24</t>
  </si>
  <si>
    <t>MR25</t>
  </si>
  <si>
    <t>MR26</t>
  </si>
  <si>
    <t>MR27</t>
  </si>
  <si>
    <t>MR28</t>
  </si>
  <si>
    <t>MR29</t>
  </si>
  <si>
    <t>MR30</t>
  </si>
  <si>
    <t>MR31</t>
  </si>
  <si>
    <t>MR32</t>
  </si>
  <si>
    <t>MR33</t>
  </si>
  <si>
    <t>MR34</t>
  </si>
  <si>
    <t>MR35</t>
  </si>
  <si>
    <t>Toll plaza equipment</t>
  </si>
  <si>
    <t>Lane</t>
  </si>
  <si>
    <t>Electrification And Air conditioning for toll Booth and toll Plaza</t>
  </si>
  <si>
    <t>LS</t>
  </si>
  <si>
    <t>Bull nose crash barrier</t>
  </si>
  <si>
    <t>Standby Generator at Toll Plaza</t>
  </si>
  <si>
    <t>CCTV camera installed at each booth</t>
  </si>
  <si>
    <t>MR36</t>
  </si>
  <si>
    <t>MR37</t>
  </si>
  <si>
    <t>MR38</t>
  </si>
  <si>
    <t>MR39</t>
  </si>
  <si>
    <t>T3 for Toll Gate 500 m and toll rates</t>
  </si>
  <si>
    <t>T5 for pictorial description of toll rates</t>
  </si>
  <si>
    <t>T7 near the Toll booths displaying Toll Rates, exempt vehicles and complaint telephone number &amp; address</t>
  </si>
  <si>
    <t>T8 for Toll Road End</t>
  </si>
  <si>
    <t xml:space="preserve">T2 for Toll Gate 1 Km </t>
  </si>
  <si>
    <t xml:space="preserve">T1 for Toll Road Start </t>
  </si>
  <si>
    <t>T6 for over size vehicle lane direction sign at Toll Plaza</t>
  </si>
  <si>
    <t>T4 for exempt vehicles at Toll Plaza</t>
  </si>
  <si>
    <t>MR40</t>
  </si>
  <si>
    <t>Picnic Area at Rest Area</t>
  </si>
  <si>
    <t>Petrol Pump &amp; Pepairing Shop at Rest Area</t>
  </si>
  <si>
    <t>Buffer Zone at Rest Area</t>
  </si>
  <si>
    <t>Providing and fixing Paving Blocks  as per drawing 
(Size - 300 mm x 300 mm x 60 mm)</t>
  </si>
  <si>
    <t>Providing Telephone booth complete as per specifications and direction of Engineer.</t>
  </si>
  <si>
    <t>Traffic blinker Signal (L.E.D.)</t>
  </si>
  <si>
    <t xml:space="preserve">Supplying, Fitting and Placing un-coated HYSD bar Reinforcement complete as per Drawing and Technical Specifications. </t>
  </si>
  <si>
    <t>9.01.I.A.i</t>
  </si>
  <si>
    <t xml:space="preserve">PVC Roof Sheet at FOB </t>
  </si>
  <si>
    <t>2.04.i</t>
  </si>
  <si>
    <t>2.04.I</t>
  </si>
  <si>
    <t>2.04.i.I.A</t>
  </si>
  <si>
    <t>2.04.i.I.B</t>
  </si>
  <si>
    <t>2.04.i.I.C</t>
  </si>
  <si>
    <t>2.04.i.II</t>
  </si>
  <si>
    <t>2.04.i.II.A</t>
  </si>
  <si>
    <t>2.04.i.II.B</t>
  </si>
  <si>
    <t>2.04.ii</t>
  </si>
  <si>
    <t>2.04.ii.A</t>
  </si>
  <si>
    <t>2.04.ii.B</t>
  </si>
  <si>
    <t>2.04.ii.C</t>
  </si>
  <si>
    <t>2.04.ii.D</t>
  </si>
  <si>
    <t>2.04.iii</t>
  </si>
  <si>
    <t>2.04.iii.A</t>
  </si>
  <si>
    <t>2.00</t>
  </si>
  <si>
    <t>3.01</t>
  </si>
  <si>
    <t>3.02</t>
  </si>
  <si>
    <t>3.03</t>
  </si>
  <si>
    <t>3.04</t>
  </si>
  <si>
    <t>3.05</t>
  </si>
  <si>
    <t>3.06</t>
  </si>
  <si>
    <t>3.07</t>
  </si>
  <si>
    <t>3.08</t>
  </si>
  <si>
    <t>3.08.A</t>
  </si>
  <si>
    <t>3.08.B</t>
  </si>
  <si>
    <t>3.09</t>
  </si>
  <si>
    <t>5.00</t>
  </si>
  <si>
    <t>7.09</t>
  </si>
  <si>
    <t>7.10</t>
  </si>
  <si>
    <t>7.11</t>
  </si>
  <si>
    <t>7.12</t>
  </si>
  <si>
    <t>7.16 A</t>
  </si>
  <si>
    <t>7.16 B</t>
  </si>
  <si>
    <t>7.15</t>
  </si>
  <si>
    <t>7.14 A</t>
  </si>
  <si>
    <t>7.14 B</t>
  </si>
  <si>
    <t>7.14</t>
  </si>
  <si>
    <t>7.13</t>
  </si>
  <si>
    <t>7.13 (i) A</t>
  </si>
  <si>
    <t>7.13 (ii) A</t>
  </si>
  <si>
    <t>7.13 (i) B</t>
  </si>
  <si>
    <t>7.13 (i) C</t>
  </si>
  <si>
    <t>7.13 (i) D</t>
  </si>
  <si>
    <t>7.13 (ii) B</t>
  </si>
  <si>
    <t>7.13 (ii) C</t>
  </si>
  <si>
    <t>7.13 (ii) D</t>
  </si>
  <si>
    <t>7.12 (i) A</t>
  </si>
  <si>
    <t>7.12 (i) B</t>
  </si>
  <si>
    <t>7.12 (i) C</t>
  </si>
  <si>
    <t>7.12 (i) D</t>
  </si>
  <si>
    <t>7.12 (ii) A</t>
  </si>
  <si>
    <t>7.12 (ii) B</t>
  </si>
  <si>
    <t>7.12 (ii) C</t>
  </si>
  <si>
    <t>7.12 (ii) D</t>
  </si>
  <si>
    <t>7.11 (i) A</t>
  </si>
  <si>
    <t>7.11 (i) B</t>
  </si>
  <si>
    <t>7.11 (i) C</t>
  </si>
  <si>
    <t>7.11 (i) D</t>
  </si>
  <si>
    <t>7.11 (ii) A</t>
  </si>
  <si>
    <t>7.11 (ii) B</t>
  </si>
  <si>
    <t>7.11 (ii) C</t>
  </si>
  <si>
    <t>7.11 (ii) D</t>
  </si>
  <si>
    <t>9.01</t>
  </si>
  <si>
    <t>9.01.I</t>
  </si>
  <si>
    <t>9.01.I.A</t>
  </si>
  <si>
    <t>9.01.I.A.ii</t>
  </si>
  <si>
    <t>9.01.I.A.iii</t>
  </si>
  <si>
    <t>9.01.I.B</t>
  </si>
  <si>
    <t>9.01.I.B.i</t>
  </si>
  <si>
    <t>9.01.I.B.ii</t>
  </si>
  <si>
    <t>9.01.I.B.iii</t>
  </si>
  <si>
    <t>9.01.II</t>
  </si>
  <si>
    <t>9.01.II.A</t>
  </si>
  <si>
    <t>9.01.II.A.i</t>
  </si>
  <si>
    <t>9.01.II.B</t>
  </si>
  <si>
    <t>9.01.III</t>
  </si>
  <si>
    <t>9.01.III.A</t>
  </si>
  <si>
    <t>9.01.III.B</t>
  </si>
  <si>
    <t>9.01.IV</t>
  </si>
  <si>
    <t>9.01.IV.A</t>
  </si>
  <si>
    <t>9.01.V</t>
  </si>
  <si>
    <t>9.01.V.i</t>
  </si>
  <si>
    <t>9.01.V.i.A</t>
  </si>
  <si>
    <t>9.01.V.i.B</t>
  </si>
  <si>
    <t>10.02</t>
  </si>
  <si>
    <t>10.03</t>
  </si>
  <si>
    <t>10.04</t>
  </si>
  <si>
    <t>10.05</t>
  </si>
  <si>
    <t>10.05.i</t>
  </si>
  <si>
    <t>10.05.ii</t>
  </si>
  <si>
    <t>10.06</t>
  </si>
  <si>
    <t>10.07</t>
  </si>
  <si>
    <t>10.08.A</t>
  </si>
  <si>
    <t>10.08.B</t>
  </si>
  <si>
    <t>10.08.B.i</t>
  </si>
  <si>
    <t>10.08.B.ii</t>
  </si>
  <si>
    <t>10.08.B.iii</t>
  </si>
  <si>
    <t>10.08.B.iv</t>
  </si>
  <si>
    <t>10.08.C</t>
  </si>
  <si>
    <t>10.08.i</t>
  </si>
  <si>
    <t>10.08.ii</t>
  </si>
  <si>
    <t>10.08.iii</t>
  </si>
  <si>
    <t>10.08.D</t>
  </si>
  <si>
    <t>10.08.D.i</t>
  </si>
  <si>
    <t>10.08.D.ii</t>
  </si>
  <si>
    <t>10.09</t>
  </si>
  <si>
    <t>11.01</t>
  </si>
  <si>
    <t>11.02</t>
  </si>
  <si>
    <t>11.02.i</t>
  </si>
  <si>
    <t>11.02.ii</t>
  </si>
  <si>
    <t>11.03</t>
  </si>
  <si>
    <t>11.04</t>
  </si>
  <si>
    <t>11.05</t>
  </si>
  <si>
    <t>11.06</t>
  </si>
  <si>
    <t>11.07.b</t>
  </si>
  <si>
    <t>11.07 a</t>
  </si>
  <si>
    <t>11.08 a</t>
  </si>
  <si>
    <t>11.09</t>
  </si>
  <si>
    <t>12.01.I</t>
  </si>
  <si>
    <t>12.01.I.A</t>
  </si>
  <si>
    <t>12.01.I.A.i</t>
  </si>
  <si>
    <t>12.01.I.A.ii</t>
  </si>
  <si>
    <t>12.01.I.A.iii</t>
  </si>
  <si>
    <t>12.01.I.B</t>
  </si>
  <si>
    <t>12.01.I.B.i</t>
  </si>
  <si>
    <t>12.01.I.B.ii</t>
  </si>
  <si>
    <t>12.01.I.B.iii</t>
  </si>
  <si>
    <t>12.01.II</t>
  </si>
  <si>
    <t>12.01.II.A</t>
  </si>
  <si>
    <t>12.01.II.A.i</t>
  </si>
  <si>
    <t>12.01.II.B</t>
  </si>
  <si>
    <t>12.01.III</t>
  </si>
  <si>
    <t>12.01.III.A</t>
  </si>
  <si>
    <t>12.01.IV</t>
  </si>
  <si>
    <t>12.01.IV.A</t>
  </si>
  <si>
    <t>12.01.V</t>
  </si>
  <si>
    <t>12.01.V.i</t>
  </si>
  <si>
    <t>12.01.V.i.A</t>
  </si>
  <si>
    <t>12.01.V.i.B</t>
  </si>
  <si>
    <t>12.01.VI</t>
  </si>
  <si>
    <t>12.02</t>
  </si>
  <si>
    <t>12.03</t>
  </si>
  <si>
    <t>12.04</t>
  </si>
  <si>
    <t>12.05</t>
  </si>
  <si>
    <t>12.06.A</t>
  </si>
  <si>
    <t>12.06.B</t>
  </si>
  <si>
    <t>12.06.C</t>
  </si>
  <si>
    <t>12.06.D</t>
  </si>
  <si>
    <t>12.07</t>
  </si>
  <si>
    <t>12.07.a</t>
  </si>
  <si>
    <t>12.07.b</t>
  </si>
  <si>
    <t>12.08</t>
  </si>
  <si>
    <t>12.08.A</t>
  </si>
  <si>
    <t>12.08.A.I</t>
  </si>
  <si>
    <t>12.08.A.II</t>
  </si>
  <si>
    <t>12.08.B</t>
  </si>
  <si>
    <t>12.08.B.I</t>
  </si>
  <si>
    <t>12.08.B.II</t>
  </si>
  <si>
    <t>12.08.C</t>
  </si>
  <si>
    <t>12.08.C.I</t>
  </si>
  <si>
    <t>12.08.C.II</t>
  </si>
  <si>
    <t>12.08.D</t>
  </si>
  <si>
    <t>12.08.D.I</t>
  </si>
  <si>
    <t>12.08.D.II</t>
  </si>
  <si>
    <t>12.08.E</t>
  </si>
  <si>
    <t>12.08.E.I</t>
  </si>
  <si>
    <t>12.08.E.II</t>
  </si>
  <si>
    <t>12.08.F</t>
  </si>
  <si>
    <t>12.08.F.I</t>
  </si>
  <si>
    <t>12.08.F.II</t>
  </si>
  <si>
    <t>12.08.G</t>
  </si>
  <si>
    <t>12.08.G.I</t>
  </si>
  <si>
    <t>12.08.G.II</t>
  </si>
  <si>
    <t>12.08.H</t>
  </si>
  <si>
    <t>12.08.H.I</t>
  </si>
  <si>
    <t>12.08.H.II</t>
  </si>
  <si>
    <t>12.08.I</t>
  </si>
  <si>
    <t>12.08.I.I</t>
  </si>
  <si>
    <t>12.08.I.II</t>
  </si>
  <si>
    <t>12.08.J</t>
  </si>
  <si>
    <t>12.08.J.I</t>
  </si>
  <si>
    <t>12.08.J.II</t>
  </si>
  <si>
    <t>12.09</t>
  </si>
  <si>
    <t>12.09.A</t>
  </si>
  <si>
    <t>12.09.B</t>
  </si>
  <si>
    <t>12.09.C</t>
  </si>
  <si>
    <t>13.06</t>
  </si>
  <si>
    <t>13.07</t>
  </si>
  <si>
    <t>13.08</t>
  </si>
  <si>
    <t>13.09</t>
  </si>
  <si>
    <t>13.09.A</t>
  </si>
  <si>
    <t>13.09.B</t>
  </si>
  <si>
    <t>PREVAILING MARKET RATE</t>
  </si>
  <si>
    <t>6.07</t>
  </si>
  <si>
    <t>Cutting of trees, excluding removal of stumps and roots of trees (Cutting of trees, trunks and branches  excluding removal of stumps and roots of trees and stacking of serviceable material with all lifts and up to a lead of 1000 mtrs )</t>
  </si>
  <si>
    <t>Cutting of Trees, including Cutting of Trunks, Branches and Removal (Removal of stumps, roots, stacking of serviceable material with all lifts and up to a lead of 1000 metres and earth filling in the depression/pit.)</t>
  </si>
  <si>
    <t>Clearing Grass and Removal of Rubbish (Clearing grass and removal of rubbish up to a distance of 50 metres outside the periphery of the area . )</t>
  </si>
  <si>
    <t>Clearing and Grubbing Road Land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t>
  </si>
  <si>
    <t>Dismantling of Structures (Dismantling of existing structures like culverts, bridges, retaining walls and other structure comprising of masonry, cement concrete, wood work, steel work, including T&amp;P and scaffolding wherever necessary, sorting the dismantled material, disposal of unserviceable material and stacking the serviceable material with all lifts and lead of 1000 metres)</t>
  </si>
  <si>
    <t>Dismantling of Flexible Pavements (Dismantling of flexible pavements and disposal of dismantled materials up to a lead of 1000 metres, stacking serviceable and unserviceable materials separately)</t>
  </si>
  <si>
    <t>Dismantling of Cement Concrete Pavement (Dismantling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t>
  </si>
  <si>
    <t>Dismantling Guard Rails (Dismantling guard rails by manual means and disposal of dismantled material with all lifts and up to a lead of 1000 metres, stacking serviceable materials and unserviceable materials separately.)</t>
  </si>
  <si>
    <t>Dismantling Kerb Stone (Dismantling kerb stone by manual means and disposal of dismantled material with all lifts and up to a lead of 1000 metre)</t>
  </si>
  <si>
    <t>Dismantling Kerb Stone channel (Dismantling kerb stone channel by manual means and disposal of dismantled material with all lifts and up to a lead of 1000 metre)</t>
  </si>
  <si>
    <t>Dismantling Kilometre Stone (Dismantling of kilometre stone including cutting of earth, foundation and disposal of dismantled material with all lifts and lead upto 1000 m and back filling of pit.)</t>
  </si>
  <si>
    <t>Dismantling of Fencing (Dismantling of barbed wire fencing/ wire mesh fencing including posts, foundation concrete, back filling of pit by manual means including disposal of dismantled material with all lifts and up to a lead of 1000 metres, stacking serviceable material and unserviceable material separately. )</t>
  </si>
  <si>
    <t>Dismantling of CI Water Pipe Line (Dismantling of CI water pipe line 600 mm dia including disposal with all lifts and lead upto 1000 metres and stacking of serviceable material and unserviceable material separately under supervision of concerned department)</t>
  </si>
  <si>
    <t>Removal of Cement Concrete Pipe of Sewer Gutter (Removal of cement concrete pipe of sewer gutter 1500 mm dia under the supervision of concerned department including disposal with all lifts and up to a lead of 1000 metres and stacking of serviceable and unserviceable material separately but excluding earth excavation and dismantling of masonry works.)</t>
  </si>
  <si>
    <t>Removal of Telephone / Electric Poles and Lines (Removal of telephone / Electric poles including excavation and dismantling of foundation concrete and lines under the supervision of concerned department, disposal with all lifts and up to a lead of 1000 metres and stacking the serviceable and unserviceable material separately)</t>
  </si>
  <si>
    <t>Excavation in Soil by Manual Means. (Excavation for roadway in soil using manual means including loading in truck for carrying of cut earth to embankment site with all lifts and lead upto1000 metres.)</t>
  </si>
  <si>
    <t>Excavation in ordinary rock by manual means (Excavation in ordinary rock using manual means including loading in a truck and carrying of excavated material to embankment site with in all lifts and leads upto 1000 metres  )</t>
  </si>
  <si>
    <t>Excavation in Soil with Dozer with lead upto 1000 metres (EExcavation for road way in soil by mechanical means including cutting and transporting the earth to site of embankment/dumping area with lead upto  1000 metres, including trimming bottom and side slopes in accordance with requirements of lines, grades and cross sections.)</t>
  </si>
  <si>
    <t>Excavation in Ordinary Rock with Dozer with lead upto 1000 metres (Excavation for roadway in ordinary rock by deploying a dozer, including cutting and transporting the earth to site of embankment/dumping area with lead upto  1000 metres, trimming bottom and side slopes in accordance with the requirements of lines, grades and cross sections.)</t>
  </si>
  <si>
    <t>Excavation in Hard Rock (requiring blasting)   with disposal upto 1000 metres (Excavation for roadway in hard rock (requiring blasting)      by drilling, blasting and breaking, trimming of bottom and side slopes in accordance with requirements of lines, grades and cross sections, loading and disposal of cut road with in all lifts and leads upto 1000 metres  )</t>
  </si>
  <si>
    <t>Excavation in Soil using Hydraulic Excavator and Tippers with disposal upto 1000 metres. (Excavation for roadwork in soil with hydraulic excavator including cutting and loading in tippers, trimming bottom and side slopes, in accordance with requirements of lines, grades and cross sections, and transporting to the embankment location within all lifts and lead upto 1000m)</t>
  </si>
  <si>
    <t>Excavation in Ordinary Rock using Hydraulic Excavator and Tippers with disposal upto 1000 metres. (Excavation for roadwork in soil with hydraulic excavator including cutting and loading in tippers, trimming bottom and side slopes, in accordance with requirements of lines, grades and cross sections, and transporting to the embankment location within all lifts and lead upto 1000m.)</t>
  </si>
  <si>
    <t>Excavation in Hard Rock (blasting prohibited) (Excavation for roadwork in  Hard Rock (blasting prohibited) with hydraulic excavator including cutting and loading in tippers, trimming bottom and side slopes, in accordance with requirements of lines, grades and cross sections, and transporting to the embankment location within all lifts and lead upto 1000 m.)</t>
  </si>
  <si>
    <t>Excavation in Hard Rock (controlled blasting)   with disposal upto 1000 metres (EExcavation for roadway in hard rock (requiring blasting)      by drilling, blasting and breaking, trimming of bottom and side slopes in accordance with requirements of lines, grades and cross sections, loading and disposal of cut road with in all lifts and leads upto 1000 metres )</t>
  </si>
  <si>
    <t>Excavation in Marshy Soil (Excavation for roadwork in Marshy Soil with hydraulic excavator including cutting and loading in tippers, trimming bottom and side slopes, in accordance with requirements of lines, grades and cross sections, and transporting to the embankment location within all lifts and lead upto 1000 m.)</t>
  </si>
  <si>
    <t>Removal of Unserviceable Soil with Disposal upto 1000 metres (Removal of unserviceable soil including excavation, loading and disposal upto 1000 metres lead but excluding replacement by suitable soil which shall be paid separately as per clause 305..)</t>
  </si>
  <si>
    <t>Pre-splitting of Rock Excavation Slopes (Carrying out excavation in hard rock to achieve a specified slope of the rock face by controlled use of explosives and blasting accessories in properly aligned and spaced drill holes, collection of the excavated rock by a dozer, loading in tipper by a front end loader and disposing of the material with all lifts and lead upto 1000 m, all as specified in clause No. 303)</t>
  </si>
  <si>
    <t>Excavation for Structures (Earth work in excavation of foundation of structures as per drawing and technical specification, including setting out, construction of shoring and bracing, removal of stumps and other deleterious matter, dressing of sides and bottom, backfilling the excavation earth to the extent required and utilising the remaining earth locally for road work.)</t>
  </si>
  <si>
    <t>Scarifying Existing Granular Surface to a Depth of 50 mm by Manual Means (Scarifying the existing granular road surface to a depth of 50 mm and disposal of scarified material within all lifts and leads upto 1000 metres. )</t>
  </si>
  <si>
    <t>Scarifying existing bituminous surface to a depth of 50 mm by mechanical means ( using Hydraulic excavator) (Scarifying the existing bituminous road surface to a depth of 50 mm and disposal of scarified material with in all lifts and lead upto 1000 metres.)</t>
  </si>
  <si>
    <t>Scarifying existing bituminous surface to a depth of 50 mm by mechanical means (Using Motor Grader) (Scarifying the existing bituminous road surface to a depth of 50 mm and disposal of scarified material with in all lifts and lead upto 1000 metres.)</t>
  </si>
  <si>
    <t>Scarifying existing bituminous surface to a depth of 50 mm by mechanical means  Hydraulic excavator (Scarifying the existing bituminous road surface to a depth of 50 mm and disposal of scarified material with in all lifts and lead upto 1000 metres.)</t>
  </si>
  <si>
    <t>Scarifying existing bituminous surface to a depth of 50 mm by mechanical means using Motor Grader (Scarifying the existing bituminous road surface to a depth of 50 mm and disposal of scarified material with in all lifts and lead upto 1000 metres.)</t>
  </si>
  <si>
    <t>Embankment Construction with Material Obtained from Borrow Pits (Construction of embankment with approved material obtained from borrow pits with all lifts and leads, transporting to site, spreading, grading to required slope and compacting to meet requirement of table 300-2)</t>
  </si>
  <si>
    <t>Construction of Embankment with Material Deposited from Roadway Cutting (Construction of embankment with approved materials deposited at site from roadway cutting and excavation from drain and foundation of other structures graded and compacted to meet requirement of table 300-2)</t>
  </si>
  <si>
    <t>Construction of Subgrade and Earthen Shoulders (Construction of subgrade and earthen shoulders with approved material obtained from borrow pits with all lifts &amp; leads, transporting to site, spreading, grading to required slope and compacted to meet requirement of table No. 300-2)</t>
  </si>
  <si>
    <t>Construction of Subgrade and Earthen Shoulders with Material Deposited from Roadway Cutting(Construction of embankment with approved materials deposited at site from roadway cutting and excavation from drain and foundation of other structures graded and compacted to meet requirement of table 300-2.)</t>
  </si>
  <si>
    <t>Compacting original ground supporting subgrade (Loosening of the ground upto a level of500 mm below the subgrade level, watered, graded and compacted in layers to meet requirement of table 300-2 for subgrade construction.)</t>
  </si>
  <si>
    <t>Stripping and Storing Top Soil (Stripping, storing of top soil by road side at 15 m internal and re-application on embankment slopes, cut slopes and other areas in localities where the available embankment material is not conducive to plant growth)</t>
  </si>
  <si>
    <t>Stripping, storing and re-laying top soil from borrow areas in agriculture fields. (Stripping of top soil from borrow areas located in agriculture fields, storing at a suitable place, spreading and re-laying after taking the borrow earth to maintain fertility of the agricultural field, finishing it to the required levels and satisfaction of the farmer.)</t>
  </si>
  <si>
    <t>Turfing with Sods (Furnishing and laying of the live sods of perennial turf forming grass on embankment slope, verges or other locations shown on the drawing or as directed by the engineer including preparation of ground, fetching of rods and watering)</t>
  </si>
  <si>
    <t>Seeding and Mulching (Preparation of seed bed on previously laid top soil, furnishing and placing of seeds, fertilizer, mulching material, applying bituminous emulsion at the rate of0.23 litres per sqm and laying and fixing jute netting, including watering for 3 months all as per clause 308)</t>
  </si>
  <si>
    <t>Surface Drains in Soil (Construction of unlined surface drains of average cross sectional area 0.40 sqm in soil to specified lines, grades, levels and dimensions to the requirement of clause 301 and 309. Excavated material to be used in embankment within a lead of50 metres (average lead 25 metres))</t>
  </si>
  <si>
    <t>Surface Drains in Ordinary Rock (Construction of unlined surface drain of average cross sectional area 0.4 sqm in ordinary rock to specified lines, grades, levels and dimensions as per approved design and to the requirement of clause 301 to 309. Excavated material to be used in embankment at site.)</t>
  </si>
  <si>
    <t>Surface Drains in Hard Rock (Rate per metre may be worked out based on quantity of hard rock as per design.)</t>
  </si>
  <si>
    <t>Sub Surface Drains with Perforated Pipe (Construction of subsurface drain with perforated pipe of 100 mm internal diameter of metal/ asbestos cement/ cement concrete/PVC, closely jointed, perforations ranging from 3 mm to 6 mm depending upon size of material surrounding the pipe, with 150 mm bedding below the pipe and 300 mm cushion above the pipe, cross section of excavation 450 x 550 mm. Excavated material to be utilised in roadway at site )</t>
  </si>
  <si>
    <t>Aggregate Sub- Surface Drains (Construction of aggregate sub surface drain 300 mm x 450 mm with aggregates conforming to table 300-4, excavated material to be utilised in roadway )</t>
  </si>
  <si>
    <t>Underground Drain at Edge of Pavement (Construction of an underground drain 1 m x 1 m (inside dimensions) lined with RCC-20 cm thick and covered with RCC slab10 cm in thickness on urban roads)</t>
  </si>
  <si>
    <t>Preparation and Surface Treatment of formation. (Preparation and surface treatment of formation by removing mud and slurry, watering to the extent needed to maintain the desired moisture content, trimming to the required line, grade, profile and rolling with 8-10 tonne smooth wheeled roller, complete as per clause 310.)</t>
  </si>
  <si>
    <t>Excavation in Hilly Areas in Hard Rock Requiring Blasting (Excavation in hilly areas in hard rock requiring blasting, by mechanical means including trimming of slopes and disposal of cut material with all lifts and lead upto 1000 metres.)</t>
  </si>
  <si>
    <t>Work in Urban Roads (The cost of earth work in urban roads inhabited area will be comparatively higher due to following reasons:)</t>
  </si>
  <si>
    <t>Embankment Construction with Fly ash/Pond ash available from coal or lignite burning Thermal Plants as waste material. (Construction of embankment with fly ash conforming to table 1 of IRC: SP: 58  obtained from coal or lignite burning thermal power stations as waste material, spread and compacted in layer of 200mm thickness each at OMC, all as specified in IRC: SP: 58 and as per approved plans.)</t>
  </si>
  <si>
    <t>Plant Mix Method (Construction of granular sub-base by providing close graded Material, mixing in a mechanical mix plant at OMC, carriage of mixed Material to work site, spreading in uniform layers with motor grader on prepared surface and compacting with vibratory power roller to achieve the desired density, complete as per clause 401 )</t>
  </si>
  <si>
    <t>By Mix in Place Method (Construction of granular sub-base by providing close graded material, spreading in uniform layers with motor grader on prepared surface, mixing by mix in place method with rotavator at OMC, and compacting with vibratory roller to achieve the desired density, complete as per clause 401)</t>
  </si>
  <si>
    <t>Using Crusher Run Method (Construction of granular sub-base by providing close graded material, spreading in uniform layers with motor grader on prepared surface, mixing by mix in place method with rotavator at OMC, and compacting with vibratory roller to achieve the desired density, complete as per clause 401)</t>
  </si>
  <si>
    <t>Lime Treated Soil for Sub- Base (Providing, laying and spreading soil on a prepared sub grade, pulverising, mixing the spread soil in place with rotavator with 3 % slaked lime with minimum content of 70% of CaO, grading with motor grader and compacting with the road roller at OMC to achieve at least 98%of the max dry density to form a layer of sub base.)</t>
  </si>
  <si>
    <t>Cement Treated Crushed Rock or combination as per clause 403 and table 400.4 in Sub base/ Base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sub-base/base.)</t>
  </si>
  <si>
    <t>Cement Treated Crushed Stone Sub base (Construction of granular sub-base by providing  graded Material, mixing with cement in a mechanical mix plant at OMC, carriage of mixed Material to work site, spreading in uniform layers with Mechanical Paver on prepared surface and compacting with vibratory power roller to achieve the desired density, complete as per clause 401 )</t>
  </si>
  <si>
    <t>Making 50 mm x 50 mm Furrows  (Making 50 mm x 50 mm furrows, 25mm deep, 450 to the center line of the road and at one metre interval in the existing thin bituminous wearing coarse including sweeping and disposal of excavated material within 1000 metres lead)</t>
  </si>
  <si>
    <t>Inverted Choke (Construction of inverted choke by providing, laying, spreading and compacting screening B type/ coarse sand of specified grade in uniform layer on a prepared surface with motor grader and compacting with power roller etc)</t>
  </si>
  <si>
    <t>Water Bound Macadam (Providing, laying, spreading and compacting stone aggregates of specific sizes to water bound macadam specification including spreading in uniform thickness, hand packing, rolling with vibratory roller 8-10 tonnes in stages to proper grade and camber, applying and brooming requisite type of screening/ binding Materials to fill up the interstices of coarse aggregate, watering and compacting to the required density.)</t>
  </si>
  <si>
    <t>Crushed Cement Concrete Sub-base / Base (Breaking and crushing of material obtained by breaking damaged cement concrete slabs to size range not exceeding 75 mm as specified in table 400.9 transporting the aggregates obtained from breaking of cement concrete slabs at a lead of L km., laying and compacting the same as sub base/ base course, constructed as WBM to clause 404 except the use of screening or binding Material.)</t>
  </si>
  <si>
    <t>Penetration Coat Over Top Layer of Crushed Cement Concrete Base (Spraying of bitumen over cleaned dry surface of crushed cement concrete base at the rate of 25 kg per 10 sqm by a bitumen pressure distributor, spreading of key aggregates at the rate of 0.13 cum per 10 sqm by a mechanical gritter and rolling the surface as per clause 506.3.8)</t>
  </si>
  <si>
    <t xml:space="preserve"> Cement Treated Crushed Stone Base (Plant Mix Method)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t>
  </si>
  <si>
    <t>Construction of Median and Island with Soil Taken from Roadway Cutting (Construction of Median and Island above road level with approved material deposited at site from roadway cutting and excavation for drain and foundation of other structures, spread, graded and compacted as per clause 407)</t>
  </si>
  <si>
    <t>Construction of Median and Island with Soil Taken from Borrow Areas (Construction of median and Island above road level with approved material brought from borrow pits, spread, sloped and compacted as per clause 408)</t>
  </si>
  <si>
    <t>Construction of Shoulders (A. Earthen Shoulders)</t>
  </si>
  <si>
    <t>Footpaths and Separators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</si>
  <si>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Crusher Run Macadam Base (Providing crushed stone aggregate, depositing on a prepared surface by hauling vehicles, spreading and mixing with a motor grader, watering and compacting with a vibratory roller to clause 417 to form a layer of sub-base/Base)</t>
  </si>
  <si>
    <t>Lime, Fly ash stabalised soil sub-base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fly ash to conform to gradation as per clause 4.3 of IRC: 88, lime + fly ash content ranging between 10 to 30%, the minimum un-confined compressive strength and CBR value after 28 days curing and 4 days soaking to be 7.5kg/sq, cm and 25% respectively, all as specified in IRC: 88 )</t>
  </si>
  <si>
    <t>Tack Coat on Bituminous surfaces (Providing and applying tack coat with bitumen emulsion using emulsion pressure distributor at the rate of 0.20 kg per sqm on the prepared bituminous surface cleaned with mechanical broom).</t>
  </si>
  <si>
    <t>Tack Coat on Granular surfaces treated with primer (Providing and applying tack coat with bitumen emulsion using emulsion pressure distributor at the rate of 0.25 kg per sqm on the prepared bituminous surface cleaned with mechanical broom).</t>
  </si>
  <si>
    <t>Tack Coat on Cement concrete pavement (Providing and applying tack coat with bitumen emulsion using emulsion pressure distributor at the rate of 0.30  kg per sqm on the prepared bituminous surface cleaned with mechanical broom).</t>
  </si>
  <si>
    <t>Bituminous Macadam -I ( 40 mm nominal size ) (Providing and laying bituminous macadam with higher capacity hot mix plant using crushed aggregates of specified grading premixed with bituminous binder, transported to site, laid over a previously prepared surface with paver finisher to the required grade, level and alignment and rolled as per clauses 501.6 and 501.7 to achieve the desired compaction)</t>
  </si>
  <si>
    <t>Bituminous Macadam  -II ( 19 mm nominal size ) (Providing and laying bituminous macadam with higher capacity hot mix plant using crushed aggregates of specified grading premixed with bituminous binder, transported to site, laid over a previously prepared surface with paver finisher to the required grade, level and alignment and rolled as per clauses 501.6 and 501.7 to achieve the desired compaction)</t>
  </si>
  <si>
    <t>Dense Graded Bituminous Macadam-I (Providing and laying dense graded bituminous macadam with higher capacity batch type HMP using crushed aggregates of specified grading, premixed with bituminous binder @ 4.0 per cent  by weight of total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505 complete in all respects)</t>
  </si>
  <si>
    <t>Dense Graded Bituminous Macadam-II (Providing and laying dense graded bituminous macadam with higher capacity batch type HMP using crushed aggregates of specified grading, premixed with bituminous binder @ 4.5 per cent  by weight of total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505 complete in all respects.)</t>
  </si>
  <si>
    <t>Bituminous Concrete Grading -I (Providing and laying bituminous concrete with  higher capacity batch type hot mix plant using crushed aggregates of specified grading, premixed with bituminous binder @ 5.2  per cent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507 complete in all respects)</t>
  </si>
  <si>
    <t>Bituminous Concrete Grading -II (Providing and laying bituminous concrete with  higher capacity batch type hot mix plant using crushed aggregates of specified grading, premixed with bituminous binder @ 5.4  per cent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507 complete in all respects)</t>
  </si>
  <si>
    <t>Surface Dressing (Providing and laying surface dressing as wearing course in single coat using crushed stone aggregates of specified size on a layer of bituminous binder laid on prepared surface and rolling with 8-10 tonne smooth wheeled steel roller)</t>
  </si>
  <si>
    <t>Open - Graded Premix Surfacing (Providing, laying and rolling of open - graded premix surfacing of 20 mm thickness composed of 13.2 mm to 5.6 mm aggregates either using penetration grade bitumen or cut-back or emulsion to required line, grade and level to serve as wearing course on a previously prepared base, including mixing in a suitable plant HMP, laying and rolling with a smooth wheeled roller 8-10 tonne capacity, finished to required level and grades.)</t>
  </si>
  <si>
    <t>Close Graded Premix Surfacing/Mixed Seal Surfacing (Mechanical means using HMP of appropriate capacity not less than 75 tonnes/hour. Providing, laying and rolling of close-graded premix surfacing material of 20 mm thickness composed of 11.2 mm to 0.09 mm (Type-a)   or 13.2 mm to 0.09 mm (Type-b)   aggregates using penetration grade bitumen to the required line, grade and level to serve as wearing course on a previously prepared base, including mixing in a suitable plant, laying and rolling with a Smooth wheeled roller 8-10 tonne capacity, and finishing to required level and grade. )</t>
  </si>
  <si>
    <t>Seal Coat (Providing and laying seal coat sealing the voids in a bituminous surface laid to the specified levels, grade and cross fall using Type A and B seal coats)</t>
  </si>
  <si>
    <t>Case - II : Type B (Providing and laying of premix sand seal coat with HMP of appropriate capacity not less than 75 tonnes/ hours using crushed stone chipping 6.7 mm size and penetration bitumen of suitable grade.)</t>
  </si>
  <si>
    <t>Supply of Stone Aggregates for Pavement Courses (Supply of stone aggregates from approved sources confirming to the physical requirement, specified in the respective specified clauses, including royalties, fees rents, collection, transportation, stacking and testing and measured in cum as per clause 520 Competitive market rates to be ascertained. Alternatively, rates for stone crushing given in chapter 1may be adopted, if found economical. In case for supply of aggregates at site are not available, nearest crusher site may be ascertained. Loading and un-loading charges and cost of carriage may be added to these rates to arrive at the cost at site.)</t>
  </si>
  <si>
    <t>Mastic Asphalt (Providing and laying 25 mm thick mastic asphalt wearing course with paving grade bitumen meeting the requirements given in table 500-39, prepared by using mastic cooker and laid to required level and slope after cleaning the surface, including providing antiskid surface with bitumen precoated fine-grained hard stone chipping of 13.2 mm nominal size at the rate of 0.005cum per 10 sqm and at an approximate spacing of 10 cm center to center in both directions, pressed into surface when the temperature of surfaces not less than 1000C, protruding 1 mm to 4 mm over mastic surface, all complete as per clause 516.)</t>
  </si>
  <si>
    <t>Slurry Seal Providing and laying slurry seal consisting of a mixture of fine aggregates, portland cement filler, bituminous emulsion and water on a road surface including cleaning of surface, mixing of slurry seal in a suitable mobile plant, laying and compacting to provide even riding surface)</t>
  </si>
  <si>
    <t>Recycling of Bituminous Pavement with Central Recycling Plant (Recycling pavement by cold milling of exiting bituminous layers, planning the surface after cold milling, reclaiming excavated material to the extent of 30 % of the required quantity, hauling and stock piling the reclaimed material near the central recycling plant after carrying out necessary checks and evaluation, adding fresh material including rejuvenators as required, mixing in a hot mix plant, transporting and laying at site and compacting to the required grade, level and thickness, all as specified in clause 519.)</t>
  </si>
  <si>
    <t>Bituminous Cold Mix ( Including Gravel Emulsion) (Providing, laying and rolling of bituminous cold mix on prepared base consisting of a mixture of unheated mineral aggregate and emulsified or cutback bitumen, including mixing in a plant of suitable type and capacity, transporting, laying, compacting and finishing to specified grades and levels.)</t>
  </si>
  <si>
    <t>Sand Asphalt Base Course (Providing, laying and rolling sand-asphalt base course composed of sand, mineral filler and bituminous binder on a prepared sub-grade or sub-base to the lines, levels, grades and cross sections as per the drawings including mixing in a plant of suitable type and capacity, transporting, laying, compacting and finishing.)</t>
  </si>
  <si>
    <t>Stress Absorbing Membrane (SAM) crack width less than 6 mm (Providing and laying of a stress absorbing membrane over a cracked road surface, with crack width below 6 mm after cleaning with a mechanical broom, using modified binder complying with IRC:SP: 53, sprayed at the rate of 9 kg per 10 sqm and spreading 5.6 mm crushed stone aggregates @ 0.11 cum per 10 sqm with hydraulic chip spreader, sweeping the surface for uniform spread of aggregates and surface finished to conform to clause 902..)</t>
  </si>
  <si>
    <t>Stress Absorbing Membrane (SAM) with crack width 6 mm to 9 mm (Providing and laying of a stress absorbing membrane over a cracked road surface, with crack width 6 to 9 mm after cleaning with a mechanical broom, using modified binder complying with IRC:SP: 53,, sprayed at the rate of 11 kg per 10 sqm and spreading 11.2 mm crushed stone aggregates @ 0.12 cum per 10 sqm, sweeping the surface for uniform spread of aggregates and surface finished to conform to clause 902.)</t>
  </si>
  <si>
    <t>Stress Absorbing Membrane (SAM) crack width above 9 mm and cracked area above 50 % (Providing and laying a single coat of a stress absorbing membrane over a cracked road surface, with crack width above 9 mm and cracked area above 50 % after cleaning with a mechanical broom, using modified binder complying with IRC:SP: 53,, sprayed at the rate of 15 kg per 10 sqm and spreading 11.2 mm crushed stone aggregates @ 0.12 cum per 10 sqm, sweeping the surface for uniform spread of aggregates and surface finished to conform to clause 902.)</t>
  </si>
  <si>
    <t>Case - IV : Bitumen Impregnated Geotextile (Providing and laying a bitumen impregnated geotextile layer after cleaning the road surface, geotextile conforming to requirements of clause 708.2, laid over a tack coat with 1.05 kg per sqm of paving grade bitumen 80 - 100 penetration and constructed to the requirement of clause 708.3.4)</t>
  </si>
  <si>
    <t>Recipe Cold Mix (Providing and laying of premix of crushed stone aggregates and emulsion binder, mixed in a batch type cold mixing plant, laid over prepared surface, by paver finisher, rolled with a pneumatic tyred roller initially and finished with a smooth steel wheel roller, all as per clause 518.3)</t>
  </si>
  <si>
    <t>Bituminous Concrete Grading -I with waste plastic(Providing and laying bituminous concrete with  higher capacity batch type hot mix plant using crushed aggregates of specified grading, premixed with bituminous binder @ 5.2  per cent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507 complete in all respects)</t>
  </si>
  <si>
    <t>Bituminous Concrete Grading -II with waste plastic (Providing and laying bituminous concrete with  higher capacity batch type hot mix plant using crushed aggregates of specified grading, premixed with bituminous binder @ 5.4  per cent  of mix and filler, transporting the hot mix to work site, laying with a hydrostatic paver finisher with sensor control to the required grade, level and alignment, rolling with smooth wheeled, vibratory and tandem rollers to achieve the desired compaction as per MORTH specification clause No. 507 complete in all respects)</t>
  </si>
  <si>
    <t>Dry Lean Cement Concrete Sub- base (Construction of dry lean cement concrete Sub- base over a prepared sub-grade with coarse and fine aggregate conforming to IS: 383, the size of coarse aggregate not exceeding 25 mm, aggregate cement ratio not to exceed 15:1, aggregate gradation after blending to be as per table 600-1, cement content not to be less than 150 kg/ cum, optimum moisture content to be determined during trial length construction, concrete strength not to be less than 10 Mpa at 7 days, mixed in a batching plant, transported to site, laid with a paver with electronic sensor, compacting with 8-10 tonnes vibratory roller, finishing and curing.)</t>
  </si>
  <si>
    <t>Cement Concrete Pavement (Construction of un-reinforced, dowel jointed, plain cement concrete pavement over a prepared sub base with 43 grade cement @ 400 kg per cum, coarse and fine aggregate conforming to IS 383, maximum size of coarse aggregate not exceeding 25 mm,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as approved, curing compound, finishing to lines and grades as per drawing )</t>
  </si>
  <si>
    <t>Transition section between rigid and flexible pavement (Due to change in the properties of materials and type of construction, a gradual changeover from rigid pavement to flexible pavement is desirable to avoid any damage at the butting joint. After provision of an expansion joint in the cement concrete slab, the thickness of slab should be tapered to 10 cm over a length of 3 m towards the flexible pavement. The deficiency of thickness caused due to tapering of the slab should be made up by the asphaltic layers.)</t>
  </si>
  <si>
    <t>Construction of Base/Sub-base of pavement with lean concrete - fly ash. (Construction of Base/sub-base using cement, sand, fly ash and coarse aggregates proportioned as per table 4 of IRC: 74/1979 and with water content ratio, slump and compressive strength as defined in the said table, mix prepared in a batching and mixing plant and compacted with a vibratory roller 8-10 tonnes capacity within the time limit laid down vide clause 7.6.3 of IRC: 74-1979, construction joints properly formed at the end of day's work, cured for 14 days, all as specified in IRC: 74-1979 and as per approved plans.)</t>
  </si>
  <si>
    <t>Cement - Fly ash concrete pavement. (Construction reinforced-reinforced, dowel jointed, plain cement concrete pavement over a prepared sub base with 43 grade cement, coarse and fine aggregate conforming to IS 383, maximum size of coarse aggregate not exceeding 25 mm, replacing cement by fly ash to the extent of 15% and sand by 10%, mixed in a batching and mixing plant as per approved mix design, transported to site, laid with a fixed form or slip form paver, spread, compacted and finished in a continuous operation including provision of contraction, expansion, construction and longitudinal joints, joint filler, separation membrane, sealant primer, joint sealant, debonding strip, dowel bar, tie rod, admixtures as approved, curing compound, finishing to lines and grades as per drawing )</t>
  </si>
  <si>
    <t>Thin White topping (Construction of thin white topping with plain cement concrete pavement over existing surface with approve grade cement @ 400 kg per cum and as per IRC SP-76, coarse and fine aggregate conforming to IS 383, maximum size of fine aggregate not exceeding 25 mm, mixed in a batching and mixing plant as per approved mix design, transported to site, laid with a fixed form or slip form paver, spread, compacted and finished in a continuous operation including provision of contraction joint, joint filler, sealant primer, joint sealant, admixtures as approved, curing compound, finishing to lines etc. and grades as per drawing ).</t>
  </si>
  <si>
    <t>Cement- - Fly ash Thin White topping (Construction of thin white topping with plain cement concrete pavement over existing surface with approve grade cement @ 340 kg per cum (after deduction of flyash) and  Flyash  as per IRC SP-76, coarse and fine aggregate conforming to IS 383, maximum size of fine aggregate not exceeding 25 mm, mixed in a batching and mixing plant as per approved mix design, transported to site, laid with a fixed form or slip form paver, spread, compacted and finished in a continuous operation including provision of contraction joint, joint filler, sealant primer, joint sealant, admixtures as approved, curing compound, finishing to lines etc. and grades as per drawing) .</t>
  </si>
  <si>
    <t xml:space="preserve">Selected fill behind Reinforced Earth wall complete as per drawing and Technical Specification </t>
  </si>
  <si>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g/m2 and tensile strength of 8.0 kN/m that will be working as separation or protecting layer, geocomposite having in plane flow capacity of 0.7 L / (m.s) at hydraulic gradient of 1.0 &amp; 20 kPa Pressure and tensile strength of 13.5 kN/ m , with mass per unit area of 830 gsm, at easily accessible location including top and bottom, with all leads and lifts, manpower and machinery, materials, labour etc. complete and as directed by Engineer - In - Charge.</t>
  </si>
  <si>
    <t>Excavation for Structures (Earth work in excavation of foundation of structures as per drawing and technical specification,  including setting out,  construction of shoring and bracing,  removal of stumps and other deleterious matter,  dressing of sides and bottom and backfilling with approved material.)</t>
  </si>
  <si>
    <t>Plain cement concrete 1:3:6 nominal mix in foundation with crushed stone aggregate 40 mm nominal size mechanically mixed, placed in foundation and compacted by vibration including curing for 14 days.</t>
  </si>
  <si>
    <t>Laying Reinforced Cement Concrete Pipe NP4/prestrssed concrete pipe on first class bedding in single row . (Laying Reinforced cement concrete pipe NP4/prestrssed concrete pipe for culverts on first class bedding of granular material in single row including fixing collar with cement mortar 1:2 but excluding excavation,  protection works,  backfilling,  concrete and masonry works in head walls and parapets . )</t>
  </si>
  <si>
    <t>Laying Reinforced Cement Concrete Pipe NP 4 /prestrssed concrete pipe on first class bedding in double row . (Laying Reinforced cement concrete pipe NP4 /prestrssed concrete pipe for culverts on first class bedding of granular material in double row including fixing collar with cement mortar 1:2 but excluding excavation,  protection works,  backfilling,  concrete and masonry works in head walls and parapets . )</t>
  </si>
  <si>
    <t>Restoration of Rain Cuts (Restoration of rain cuts with soil,  moorum,  gravel or a mixture of these,  clearing the loose soil,  benching for 300 mm width,  laying fresh material in layers not exceeding 250 mm and compacting with plate compactor or power rammers to restore the original alignment,  levels and slopes)</t>
  </si>
  <si>
    <t>Maintenance of Earthen Shoulder (filling with fresh soil) (Making up loss of material/ irregularities on shoulder to the design level by adding fresh approved soil and compacting it with appropriate equipment.)</t>
  </si>
  <si>
    <t>Maintenance of Earth Shoulder (stripping excess soil) (Stripping excess soil from the shoulder surface to achieve the approved level and compacting with plate compactor)</t>
  </si>
  <si>
    <t>Filling Pot- holes and Patch Repairs with open - graded Premix surfacing,  20mm. (Removal of all failed material,  trimming of completed excavation to provide firm vertical faces,  cleaning of surface,  painting of tack coat on the sides and base of excavation as per clause 503, back filling the pot holes with hot bituminous material as per clause 510,  compacting,  trimming and finishing the surface to form a smooth continuous surface, all as per clause 3004.2)</t>
  </si>
  <si>
    <t>Filling Pot- holes and Patch Repairs with - Bituminous concrete,  40mm. (Removal of all failed material,  trimming of completed excavation to provide firm vertical faces,  cleaning of surface,  painting of tack coat on the sides and base of excavation as per clause 503, back filling the pot holes with hot bituminous material as per clause 504,  compacting,  trimming and finishing the surface to form a smooth continuous surface, all as per clause 3004.2)</t>
  </si>
  <si>
    <t>Crack Filling (Filling of crack using slow - curing bitumen emulsion and applying crusher dust in case crack are wider than 3mm.)</t>
  </si>
  <si>
    <t>Dusting (Applying crusher dust to areas of road where bleeding of excess bitumen has occurred.)</t>
  </si>
  <si>
    <t>Fog Seal (ref item 5.17)</t>
  </si>
  <si>
    <t>Repair of joint Grooves with Epoxy Mortar Repair of spalled joint grooves of contraction joints,  longitudinal joints and expansion joints in concrete pavements using epoxy mortar or epoxy concrete)</t>
  </si>
  <si>
    <t>Repair of old Joints Sealant (Removal of existing sealant and re sealing of contraction,  longitudinal or expansion joints in concrete pavement with fresh sealant material)</t>
  </si>
  <si>
    <t>Hill Side Drain Clearance (Removal of earth from the choked hill side drain and disposing it on the valley side manually)</t>
  </si>
  <si>
    <t>Land Slide Clearance in soil (Clearance of land slides in soil and ordinary rock by a bull-dozer 175 HP and disposal of the same on the valley side)</t>
  </si>
  <si>
    <t>Land slide Clearance in Hard Rock Requiring Blasting (Clearing of land slide in hard rock requiring blasting for 50% of the boulders and disposal of the same on the valley side.)</t>
  </si>
  <si>
    <t>Snow Clearance on Roads with Dozer (Snow clearance from road surface by a bull- dozer 165 Hp and disposing it on the valley side)</t>
  </si>
  <si>
    <t>Snow Clearance on Roads with Snow Blowers (Snow clearance from road surface by a snow blower and disposing on the valley side.)</t>
  </si>
  <si>
    <t>Spreading of Sludge Farm Yard Manure or/and good Earth (Spreading of sludge farm yard manure or/ and good earth in required thickness (cost of sludge,  farm- yard manure or/and good earth to be paid for separately))</t>
  </si>
  <si>
    <t>Grassing with ' Doobs' Grass (Grassing with 'Doobs' grass including watering and maintenance of the lawn for 30 days or more till the grass forms a thick lawn free from weeds and fit for moving including supplying good earth if needed)</t>
  </si>
  <si>
    <t>Making Lawns including Ploughing and Dragging with 'Swagha' Breaking of Clod (Making lawns including ploughing and breaking of clod,  removal of rubbish,  dressing and supplying doobs grass roots and planting at 15 cm apart,  including supplying and spreading of farm yard manure at rate of 0.18 cum per 100 sqm)</t>
  </si>
  <si>
    <t>Maintenance of Lawns or Turfing of Slopes (Maintenance of lawns or Turfing of slopes (rough grassing)      for a period of one year including watering etc)</t>
  </si>
  <si>
    <t>Turfing Lawns with Fine Grassing including Ploughing,  Dressing (Turfing lawns with fine grassing including ploughing,  dressing including breaking of clods,  removal of rubbish,  dressing and supplying doobs grass roots at 10 cm apart,  including supplying and spreading of farm yard manure at rate of0.6 cum per 100 sqm)</t>
  </si>
  <si>
    <t>a)    Planting Permanent Hedges including Digging of Trenches (Planting permanent hedges including digging of trenches,  60 cm wide and 45 cm deep,  refilling the excavated earth mixed with farmyard manure,  supplied at the rate of 4.65 cum per 100 metres and supplying and planting hedge plants at 30 cm apart)</t>
  </si>
  <si>
    <t>Planting of Trees and their Maintenance for one Year  (Planting of trees by the road side (Avenue trees) in 0.60 m dia holes,  1 m deep dug in the ground,  mixing the soil with decayed farm yard/sludge mannure,  planting the saplings,  backfilling the trench,  watering,  fixing the tree guard and maintaining the plants for one year)</t>
  </si>
  <si>
    <t>Renovation Lawns including,  Weeding,  Forking the Ground,  Top Dressing with Forked Soil (Renovation lawns including,  weeding,  forking the ground,  top dressing with forked soil,  watering and maintenance the lawns,  for 30 days or more,  till the grass forms a thick lawn,  free from weeds,  and fit for moving and disposal of rubbish as directed,  including supplying good earth,  if needed but excluding the cost of well decayed farm yard manure)</t>
  </si>
  <si>
    <t>Supply at Site Well Decayed Farm Yard Manure (Supply at site of work well decayed farm yard manure,  from any available source,  approved by the engineer in charge including screening and stacking)</t>
  </si>
  <si>
    <t>Supply at Site of Work/ Store - Deoiled Neem Cake (Supply at site of work/ store- deoiled neem cake duly packed in used gunny bags)</t>
  </si>
  <si>
    <t>Supplying Sludge (Supplying sludge duly stacked at site/ store)</t>
  </si>
  <si>
    <t>Half Brick Circular Tree Guard,  in 2nd class Brick,  internal diametre 1.25 metres,  and height 1.2 metres,  above ground and 0.20 metre below ground (Half brick circular tree guard,  in 2nd class brick,  internal diametre 1.25 metres,  and height 1.2 metres,  above ground and 0.20 metre below ground,  bottom two courses laid dry,  and top three courses in cement mortar 1:6 ( 1 cement 6 sand)      and the intermediate courses being in dry honey comb masonry,  as per design complete)</t>
  </si>
  <si>
    <t>Making Tree Guard 53 cm dia and 1.3 m high as per design from empty bitumen drum (Making tree guard 53 cm dia and 1.3 m high as per design from empty bitumen drum,  slit suitably to permit sun and air, (supplied by the department at stock issue rate)      including providing and fixing 2 nos MS sheet rings 50 x 0.5 mm with rivets,  complete in all respect)</t>
  </si>
  <si>
    <t>Making Tree Guard 53 cm dia and 2 metres high as per design from empty bitumen drums (Making tree guard 53 cm dia and 2 metres high as per design from empty bitumen drums,  slit suitably to permit sun and air,  ( supplied by the department at stock issue rate)      including providing and fixing four legs 40 cm long of 30 x 3 mm MS riveted to tree guard and providing and fixing 2 nos MS sheet rings 50 x 0.5 mm with rivets complete in all respects)</t>
  </si>
  <si>
    <t>Wrought Iron and Mild Steel Welded Work (Wrought iron and mild steel welded work) (using angles,  square bars,  tees and channel grills,  grating frames,  gates and tree guards of any size and design etc. including cost of screens and welding rods or bolts and nuts complete fixed in position but without the cost of excavation and concrete for fixing which will be paid separately)</t>
  </si>
  <si>
    <t>Tree Guard with MS Iron (Providing and fixing MS iron tree guard 60 cm dia and 2 metre high above ground level formed of 4 Nos (25 x 6 mm) and 8 Nos (25 x 3 mm) vertical MS riveted to 3 Nos (25 x 6 mm) iron rings in two halves,  bolted together with 8 mm dia and 30 mm long bolts including painting two coats with paint of approved brand over a coat of priming,  complete in all respects.)</t>
  </si>
  <si>
    <t>Tree Guard with MS Angle Iron and Steel Wire (Providing and fixing tree guard 0.60 metre square,  2.00 metre high fabricated with MS angle iron 30 x 30 x 3 mm,  MS iron 25 x 3 mm and steel wire3 mm dia welded and fabricated as per design in two halves bolted together)</t>
  </si>
  <si>
    <t>Compensatory Afforestation (Planting trees as compensatory afforestation at the rate of 290 trees per hectare at a spacing of 6 m by grubbing and leveling the ground upto a depth of 150 mm,  digging holes 0.9 m dia,  1 m deep,  mixing farm yard/sludge manure with soil,  planting of sapling 2 m high with 25 cm dia stem,  backfilling the hole and watering)</t>
  </si>
  <si>
    <t>Filling Annular Space Around Footing in Rock (Lean cement concrete 1:3:6 nominal mix. Rate may be taken as per items 12.04)</t>
  </si>
  <si>
    <t>PCC 1:3:6 in Foundation (Plain cement concrete 1:3:6 nominal mix in foundation with crushed stone aggregate 40 mm nominal size mechanically mixed,  placed in foundation and compacted by vibration including curing for 14 days.)</t>
  </si>
  <si>
    <t>Sinking of 6 m external diameter well ( other than pneumatic method of sinking ) through all types of strata namely sandy soil,  clayey soil and rock as shown against each case,  complete as per drawing and technical specifications. Depth of sinking is reckoned from bed level.</t>
  </si>
  <si>
    <t>Sinking of 7 m external diameter well ( other than pneumatic method of sinking ) through all types of strata namely sandy soil,  clayey soil and rock as shown against each case,  complete as per drawing and technical specifications. Depth of sinking is reckoned from bed level.</t>
  </si>
  <si>
    <t>Sinking of 8 m external diameter well ( other than pneumatic method of sinking ) through all types of strata namely sandy soil,  clayey soil and rock as shown against each case,  complete as per drawing and technical specifications. Depth of sinking is reckoned from bed level.</t>
  </si>
  <si>
    <t>Sinking of 10 m external diameter well ( other than pneumatic method of sinking ) through all types of strata namely sandy soil,  clayey soil and rock as shown against each case,  complete as per drawing and technical specifications. Depth of sinking is reckoned from bed level.</t>
  </si>
  <si>
    <t>Sinking of 11 m external diameter well ( other than pneumatic method of sinking ) through all types of strata namely sandy soil,  clayey soil and rock as shown against each case,  complete as per drawing and technical specifications. Depth of sinking is reckoned from bed level.</t>
  </si>
  <si>
    <t>Sinking of 12 m external diameter well ( other than pneumatic method of sinking ) through all types of strata namely sandy soil,  clayey soil and rock as shown against each case,  complete as per drawing and technical specifications. Depth of sinking is reckoned from bed level.</t>
  </si>
  <si>
    <t>Sinking of Twin D Type well ( other than pneumatic method of sinking ) through all types of strata namely sandy soil,  clayey soil and rock as shown against each case,  complete as per drawing and technical specifications. Depth of sinking is reckoned from bed level.</t>
  </si>
  <si>
    <t>Bored cast-in-situ M35 grade R.C.C. pile excluding reinforcement complete as per drawing and technical specifications and removal of excavated earth with all lifts and lead upto 1000 m. (Pile diameter-750 mm)</t>
  </si>
  <si>
    <t>Bored cast-in-situ M35 grade R.C.C. pile excluding reinforcement complete as per drawing and technical specifications and removal of excavated earth with all lifts and lead upto 1000 m. (Pile diameter-1000 mm)</t>
  </si>
  <si>
    <t>Bored cast-in-situ M35 grade R.C.C. pile excluding reinforcement complete as per drawing and technical specifications and removal of excavated earth with all lifts and lead upto 1000 m. (Pile diameter-1200 mm)</t>
  </si>
  <si>
    <t>Bored cast-in-situ M35 grade R.C.C. pile excluding reinforcement complete as per drawing and technical specifications and removal of excavated earth with all lifts and lead upto 1000 m. (Pile diameter-1500 mm)</t>
  </si>
  <si>
    <t>Driven cast-in-place vertical M35 grade R.C.C. pile excluding reinforcement complete as per drawing and &amp; Technical Specification (Pile diameter - 750 mm)</t>
  </si>
  <si>
    <t>Driven cast-in-place vertical M35 grade R.C.C. piles excluding reinforcement complete as per drawing and &amp; Technical Specification (Pile diameter - 1000 mm)</t>
  </si>
  <si>
    <t>Driven cast-in-place vertical M35 grade R.C.C. piles excluding reinforcement complete as per drawing and &amp; Technical Specification (Pile diameter - 1200 mm)</t>
  </si>
  <si>
    <t>Driven precast vertical M35 grade R.C.C. piles excluding reinforcement complete as per drawing and &amp; Technical Specification (Pile Diameter=500 mm)</t>
  </si>
  <si>
    <t>Driven precast vertical M35 grade R.C.C. piles excluding reinforcement complete as per drawing and &amp; Technical Specification (Pile Diameter=750 mm)</t>
  </si>
  <si>
    <t>Driven precast vertical M35 grade R.C.C. piles excluding reinforcement complete as per drawing and &amp; Technical Specification (Pile Diameter=1000 mm)</t>
  </si>
  <si>
    <t>Driven precast vertical M35 grade R.C.C. piles excluding reinforcement complete as per drawing and &amp; Technical Specification (Size of pile - 300 mm x 300 mm)</t>
  </si>
  <si>
    <t>Driven precast vertical M35 grade R.C.C. piles excluding reinforcement complete as per drawing and &amp; Technical Specification (Size of pile - 500 mm x 500 mm)</t>
  </si>
  <si>
    <t>Driven precast vertical M35 grade R.C.C. piles excluding reinforcement complete as per drawing and &amp; Technical Specification (Size of pile - 750 mm x 750 mm)</t>
  </si>
  <si>
    <t>Driven vertical steel piles complete as per drawing and &amp; Technical Specification (Section of the pile - H Section steel column 400 x 250 mm (ISHB Series) )</t>
  </si>
  <si>
    <t>Driven vertical steel piles complete as per drawing and &amp; Technical Specification (Section of the pile - H Section steel column 450 x 250 mm (ISHB Series) )</t>
  </si>
  <si>
    <t>Protection to substructure by using coal tar epoxy (Providing and applying two coats of Two component, high build, 100 % solid content, low VOC,, polycyclin aromatic hydrocarbon based, Pot life – 2 hrs @ 72 deg. F , Tack free – 4-6 hrs , DFT per coat 80 -120 microns (dry) coal tar epoxy coating with  Coal tar)</t>
  </si>
  <si>
    <t xml:space="preserve">Providing structural steel for sub-structure complete as per drawing and technical specifications </t>
  </si>
  <si>
    <t>Mastic Asphalt (Providing and laying 12 mm thick mastic asphalt wearing course on top of deck slab excluding prime coat with paving grade bitumen meeting the requirements given in table 500-39, prepared by using mastic cooker and laid to required level and slope after cleaning the surface, including providing antiskid surface with bitumen precoated fine grained hard stone chipping of 9.5 mm nominal size at the rate of 0.005cum per 10 sqm and at an approximate spacing of 10 cm center to center in both directions, pressed into surface when the temperature of surfaces not less than 100 deg. C, protruding 1 mm to 4 mm over mastic surface, all complete as per clause 516.)</t>
  </si>
  <si>
    <t>Providing anti-corrosive treatment to HYSD reinforcement with Fusion Bonded Epoxy Coating (FBEC)     (To be taken as per the prevailing market rates.)</t>
  </si>
  <si>
    <t>Precast - pretensioned Girders (Providing,  precasting,  transportation and placing in position precast pretensioned concrete girders as per drawing and technical specifications)</t>
  </si>
  <si>
    <t>Painting on concrete surface (Providing and applying 2 coats of water based cement paint to unplastered concrete surface after cleaning the surface of dirt,  dust,  oil,  grease,  efflorescence and applying paint @ of 1 litre for 2 Sq.m. )</t>
  </si>
  <si>
    <t>Asphaltic Plug joint (Providing and laying of asphaltic plug joint to provide for horizontal movement of 25 mm and vertical movement of 2 mm,  depth of joint varying from 75 mm to 100 mm,  width varying from 500 mm to 750 mm (in traffic direction),  covered with a closure plate of 200mm x 6mm of wieldable structural steel conforming to IS: 2062,  asphaltic plug to consist of polymer modified bitumen binder,  carefully selected single size aggregate of 12.5 mm nominal size and a heat resistant foam caulking/backer rod,  all as per approved drawings and specifications.)</t>
  </si>
  <si>
    <t>Elastomeric Slab Steel Expansion Joint (Providing and laying of an elastomeric slab steel expansion joint, catering to right or skew (less than 20 deg., moderately curved with maximum horizontal movement upto 50 mm, complete as per approved drawings and standard specifications to be installed by the manufacturer/supplier or their authorised representative ensuring compliance to the manufacturer's instructions for installation and clause 2605 of MoRTH specifications for road &amp; bridge works..)</t>
  </si>
  <si>
    <t>Compression Seal Joint (Providing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t>
  </si>
  <si>
    <t>Strip Seal Expansion Joint (Providing and laying of a strip seal expansion joint catering to maximum horizontal movement upto 70 mm,  complete as per approved drawings and standard specifications to be installed by the manufacturer/supplier or their authorised representative ensuring compliance to the manufacturer's instructions for installation.)</t>
  </si>
  <si>
    <t>Modular Strip / Box Seal Joint (Providing and laying of a modular strip Box steel expansion joint including anchorage catering to a horizontal movement beyond 70 mm and upto 140mm,  complete as per approved drawings and standard specifications to be installed by the manufacturer/supplier or their authorised representative ensuring compliance to the manufacturer's instructions for installation.)</t>
  </si>
  <si>
    <t>Modular Strip / Box Seal Joint (Providing and laying of a modular strip box seal expansion joint catering to a horizontal movement beyond 140mm and upto 210mm,  complete as per approved drawings and standard specifications to be installed by the manufacturer/supplier or their authorised representative ensuring compliance to the manufacturer's instructions for installation.)</t>
  </si>
  <si>
    <t>Painting two coats after filling the surface with synthetic enamel paint  bridge No. and span arrangements as per as directed by Engineer.</t>
  </si>
  <si>
    <t>Bipolar corrosion inhibiting admixture in concrete for protection of reinforced steel from corrosion (Admix polydentate, bipolar, migratory, integral, non nitrite base concrete penetrating corrosion inhibiting admixture at a dosage of 3 Kg per cu.m. of concrete as per manufacturers specification. Inhibitor should conforms to following –
i. ASTM G-109-2005- Long term corrosion test resulting in a corrosion rate of zero coulombs .
ii. JIS Z 1535- Accelerated corrosion test showing significant reduction in corrosion using the admixture.
iii. ASTM G1- Immersion test for 720 hrs indicating  rebar weight loss less than 5 mpy
iv. ASTM G3-  Polarization test by Tafel test indicating Rebar weight loss of less than 5 mpy)</t>
  </si>
  <si>
    <t xml:space="preserve">Providing structural steel for super-structure complete as per drawing and technical specifications </t>
  </si>
  <si>
    <t xml:space="preserve"> Boulder apron laid in wire crates (Providing and laying of boulder apron laid in wire crates made with 4mm dia GI wire conforming to IS: 280 &amp; IS:4826 in 100mm x 100mm mesh (weaved diagonally) including 10% extra for laps and joints laid with stone boulders weighing not less than 40 kg each.)</t>
  </si>
  <si>
    <t>Cement concrete blocks (size 0.5 x 0.5 x 0.5 m) (Providing and laying of apron with cement concrete blocks of size 0.5x0.5x0.5 m cast in-situ and made with nominal mix of M-15 grade cement concrete with a minimum cement content of 250 kg/cum )</t>
  </si>
  <si>
    <t>Geotextile Filter (Laying of a geotextile filter between pitching and embankment slopes on which pitching is laid to prevent escape of the embankment material through the voids of the stone pitching/cement concrete blocks as well as to allow free movement of water without creating any uplift head on the pitching.)</t>
  </si>
  <si>
    <t>Toe protection (A toe wall for toe protection can either be in dry rubble masonry in case of dry rubble pitching or pitching with stones in wire crates or it can be in PCC M15 nominal mix if cement concrete block have been used for pitching . Rates for toe wall can be adopted from respective clauses depending upon approved design. The rate for excavation for foundation,  dry rubble masonry and PCC M15 have been analysed and given in respective chapters.)</t>
  </si>
  <si>
    <t>Gabian Structure for Retaining Earth (Providing and construction of a gabain structure for retaining earth with segments of wire crates of size 7 m x 3 m x 0.6 m each divided into 1.5 m compartments by cross netting,  made from 4 mm galvanised steel wire @ 32 kg per 10 sqm having minimum tensile strength of 300 Mpa conforming to IS:280 and galvanizing coating conforming to IS:4826,  woven into mesh with double twist,  mesh size not exceeding 100 x 100 mm,  filled with boulders with least dimension of 200 mm,  all loose ends to be tied with 4 mm galvanised steel wire)</t>
  </si>
  <si>
    <t>Gabian Structure for Erosion Control,  River Training Works and Protection works (Providing and constructing gabain structures for erosion control,  river training works and protection works with wire crates of size 2 m x 1 m x 0.3 m each divided into 1m compartments by cross netting,  made from 4 mm galvanised steel wire @ 32 kg per 10 sqm having minimum tensile strength of 300 Mpa conforming to IS:280 and galvanizing coating conforming to IS:4826,  woven into mesh with double twist, mesh size not exceeding 100 mm x 100 mm,  filled with boulders with least dimension of 200 mm,  all loose ends to be securely tied with 4 mm galvanised steel wire.)</t>
  </si>
  <si>
    <t>Laying of a fine aggregate concrete grade M30 filled fabric form for erosion protection of embankments (Embankment Erosion Protection using Fine Aggregate Concrete Filled Fabric Form Mattress system)</t>
  </si>
  <si>
    <t>Removal of existing cement concrete wearing coat including its disposal complete as per Technical specification without causing any detrimental effect to any part of the bridge structure and removal of dismantled material with all lifts and lead upto 1000m(Thickness 75 mm)</t>
  </si>
  <si>
    <t>Repair of crash barrier (Repair of concrete crash barrier with cement concrete of M-30 grade by cutting and trimming the damaged portion to a regular shape,  cleaning the area to be repaired thoroughly,  applying cement concrete after erection of proper form work.)</t>
  </si>
  <si>
    <t>Repair of RCC Railing (Carrying out repair of RCC M30 railing to bring it to the original shape.)</t>
  </si>
  <si>
    <t>Repair of steel Railing (Repair of steel railing to bring it to the original shape)</t>
  </si>
  <si>
    <t>Excavation for Portal in  Ordinary Rock with hydraulic excavator including cutting and loading in tippers, trimming bottom and side slopes, in accordance with requirements of lines, grades and cross sections, and disposal of excavated materials including  all lifts and lead upto 1000 m</t>
  </si>
  <si>
    <t>Excavation for Portal in  Hard Rock (blasting prohibited) with hydraulic excavator including cutting and loading in tippers, trimming bottom and side slopes, in accordance with requirements of lines, grades and cross sections, and and disposal of excavated materials including  all lifts and lead upto 1000m</t>
  </si>
  <si>
    <t>Excavation for portal in soil with hydraulic excavator including cutting and loading in tippers, trimming bottom and side slopes, in accordance with requirements of lines, grades and cross sections, and and disposal of excavated materials including  all lifts and lead upto 1000m</t>
  </si>
  <si>
    <t>Excavation for tunnel by using  drilling &amp; blasting methods  in all types of rock including cost of all materials,machinery, labour, scaling excavated surface, marking, ventilation, lighting, drainage, removing and hauling the excavated muck outside tunnel upto specified dump area and all other ancillary operations etc.</t>
  </si>
  <si>
    <t>Dewatering in  tunnel by pumping out water collected by natural drainage inside tunnel including providing sump wherever necessary, cost of all materials, machinery, labour, drainage and all other ancillary operations etc., complete.</t>
  </si>
  <si>
    <t xml:space="preserve">Providing , Fitting and Placing of Ribs including  Fabrication, Erection,Temporary fixture, Handling of material inside fabrication workshop, final matching, field welding and complete as per Drawing and Technical Specifications. </t>
  </si>
  <si>
    <t>Shotcreting to upper bench / lower bench  with steel fiber reinforced  shotcrete  (SFRS) , shotcrete  compressive strength  shall be 25 N/mm2 and complete as per Drawing and Technical Specifications.</t>
  </si>
  <si>
    <t>Shotcreting to upper bench / lower bench  with welded wiremesh , shotcrete  compressive strength  shall be 25 N/mm2 and complete as per Drawing and Technical Specifications.</t>
  </si>
  <si>
    <t xml:space="preserve">Providing and fixing 25 mm diameter 3 meter long  steel rock bolts including drilling 45 mm dia holes,  plate, nuts, cement grout, cost of all materials, machinery, labour, ventilation, lighting, drainage and all other ancillary operations etc. complete as per Drawing and Technical Specifications. </t>
  </si>
  <si>
    <t xml:space="preserve">Providing and fixing 32 mm diameter 7 meter long  steel rock bolts including drilling 51 mm dia holes,  plate, nuts, cement grout, cost of all materials, machinery, labour, ventilation, lighting, drainage and all other ancillary operations etc. complete as per Drawing and Technical Specifications. </t>
  </si>
  <si>
    <t xml:space="preserve">Grouting cement slurry in grout holes under specified pressure for consolidation / contact grouting including cost of all materials, machinery, labour, redrilling wherever necessary, ventilation,lighting, drainage and other ancillary operations etc. complete as per Drawing and Technical Specifications. </t>
  </si>
  <si>
    <t>Mass Concrete for Tunnel (Furnishing and Placing Reinforced cement concrete in Tunnel Work as per drawing and Technical Specificatio.)</t>
  </si>
  <si>
    <t xml:space="preserve">Supplying, fitting and placing HYSD bar reinforcement in Tunnel Work complete as per drawing and technical specifications </t>
  </si>
  <si>
    <t>Construction of Noise Barrierscomplete as per drawing and Technical specification.</t>
  </si>
  <si>
    <t>Construction of bamboo crib wall complete as per drawing and Technical specification.</t>
  </si>
  <si>
    <t>Construction of Fascines with a bundle of sticks complete as per drawing and Technical specification.</t>
  </si>
  <si>
    <t>Contruction and laying of brush Layers across the slope complete as per drawing and Technical specification.</t>
  </si>
  <si>
    <t>Construction of vegetative Palisades in Rills using hard wood cutting complete as per drawing and  Technical specification.</t>
  </si>
  <si>
    <t>Laying of Palisades in Slopes complete as per drawing and   Technical specification.</t>
  </si>
  <si>
    <t>Dust suppression (Sprinkling of water in the sellement and working area as per instruction of Enginee).</t>
  </si>
  <si>
    <t xml:space="preserve">Water Quality  Monitoring (Grab Sample as per the monitoring locations mention in the EIA/EMP report or one sample/10 km length
</t>
  </si>
  <si>
    <t>Pollution prevention (Silt fencing on eirther side of the streams and rivers including erection and maintenance for entire construction phase.)</t>
  </si>
  <si>
    <r>
      <t xml:space="preserve">Laying and spreading available soil in the subgrade on a prepared surface, pulverising, </t>
    </r>
    <r>
      <rPr>
        <sz val="10"/>
        <color indexed="10"/>
        <rFont val="Arial Narrow"/>
        <family val="2"/>
      </rPr>
      <t>mixing the spread soil in place with rotavator with</t>
    </r>
    <r>
      <rPr>
        <sz val="10"/>
        <color indexed="17"/>
        <rFont val="Arial Narrow"/>
        <family val="2"/>
      </rPr>
      <t xml:space="preserve"> 3 % slaked lime having minimum content of 70% of CaO, grading with motor grader and compacting with the road roller at OMC to the desired density to form a layer of improved sub grade)</t>
    </r>
  </si>
  <si>
    <r>
      <t xml:space="preserve">Laying and spreading available soil in the sub-grade on a prepared surface, pulverising, </t>
    </r>
    <r>
      <rPr>
        <sz val="10"/>
        <color indexed="10"/>
        <rFont val="Arial Narrow"/>
        <family val="2"/>
      </rPr>
      <t xml:space="preserve">mixing the spread soil in place with Soil Stabilizer &amp; Binder Spreader </t>
    </r>
    <r>
      <rPr>
        <sz val="10"/>
        <color indexed="17"/>
        <rFont val="Arial Narrow"/>
        <family val="2"/>
      </rPr>
      <t>with 2  per cent  slaked lime using Binder spreader Machine, having minimum content of 70 per cent  of CaO, grading with motor grader and compacting with the road roller at OMC to the desired density to form a layer of improved sub grade</t>
    </r>
  </si>
  <si>
    <r>
      <t xml:space="preserve">Laying and spreading available soil in the sub-grade on a prepared surface, pulverising, mixing the </t>
    </r>
    <r>
      <rPr>
        <sz val="10"/>
        <color indexed="10"/>
        <rFont val="Arial Narrow"/>
        <family val="2"/>
      </rPr>
      <t xml:space="preserve">spread soil in place with Soil Stabilizer </t>
    </r>
    <r>
      <rPr>
        <sz val="10"/>
        <color indexed="17"/>
        <rFont val="Arial Narrow"/>
        <family val="2"/>
      </rPr>
      <t xml:space="preserve">with 2  per cent  slaked lime </t>
    </r>
    <r>
      <rPr>
        <sz val="10"/>
        <color indexed="10"/>
        <rFont val="Arial Narrow"/>
        <family val="2"/>
      </rPr>
      <t xml:space="preserve">mannualy spreaded </t>
    </r>
    <r>
      <rPr>
        <sz val="10"/>
        <color indexed="17"/>
        <rFont val="Arial Narrow"/>
        <family val="2"/>
      </rPr>
      <t>having minimum content of 70 per cent  of CaO, grading with motor grader and compacting with the road roller at OMC to the desired density to form a layer of improved sub grade</t>
    </r>
  </si>
  <si>
    <r>
      <t xml:space="preserve">Laying and spreading available soil in the sub-grade on a prepared surface, pulverising, </t>
    </r>
    <r>
      <rPr>
        <sz val="10"/>
        <color indexed="10"/>
        <rFont val="Arial Narrow"/>
        <family val="2"/>
      </rPr>
      <t xml:space="preserve">mixing the spread soil in place with Soil Stabilizer &amp; Binder Spreader </t>
    </r>
    <r>
      <rPr>
        <sz val="10"/>
        <color indexed="17"/>
        <rFont val="Arial Narrow"/>
        <family val="2"/>
      </rPr>
      <t>with 2  per cent  cement using Binder spreader Machine, grading with motor grader and compacting with the road roller at OMC to the desired density to form a layer of improved sub grade</t>
    </r>
  </si>
  <si>
    <r>
      <t xml:space="preserve">Laying and spreading available soil in the sub-grade on a prepared surface, pulverising, </t>
    </r>
    <r>
      <rPr>
        <sz val="10"/>
        <color indexed="10"/>
        <rFont val="Arial Narrow"/>
        <family val="2"/>
      </rPr>
      <t xml:space="preserve">mixing the spread soil in place with Soil Stabilizer </t>
    </r>
    <r>
      <rPr>
        <sz val="10"/>
        <color indexed="17"/>
        <rFont val="Arial Narrow"/>
        <family val="2"/>
      </rPr>
      <t xml:space="preserve">with 2  per cent </t>
    </r>
    <r>
      <rPr>
        <sz val="10"/>
        <color indexed="10"/>
        <rFont val="Arial Narrow"/>
        <family val="2"/>
      </rPr>
      <t>cement mannualy spreaded</t>
    </r>
    <r>
      <rPr>
        <sz val="10"/>
        <color indexed="17"/>
        <rFont val="Arial Narrow"/>
        <family val="2"/>
      </rPr>
      <t>, grading with motor grader and compacting with the road roller at OMC to the desired density to form a layer of improved sub grade</t>
    </r>
  </si>
  <si>
    <r>
      <t xml:space="preserve">Laying and spreading available soil in the emabankment on a prepared surface, pulverising, </t>
    </r>
    <r>
      <rPr>
        <sz val="10"/>
        <color indexed="10"/>
        <rFont val="Arial Narrow"/>
        <family val="2"/>
      </rPr>
      <t>mixing the spread soil in place with rotavator with</t>
    </r>
    <r>
      <rPr>
        <sz val="10"/>
        <color indexed="17"/>
        <rFont val="Arial Narrow"/>
        <family val="2"/>
      </rPr>
      <t xml:space="preserve"> 3 % slaked lime having minimum content of 70% of CaO, grading with motor grader and compacting with the road roller at OMC to the desired density to form a layer of improved sub grade)</t>
    </r>
  </si>
  <si>
    <r>
      <t xml:space="preserve">Laying and spreading available soil in the emabankment on a prepared surface, pulverising, </t>
    </r>
    <r>
      <rPr>
        <sz val="10"/>
        <color indexed="10"/>
        <rFont val="Arial Narrow"/>
        <family val="2"/>
      </rPr>
      <t xml:space="preserve">mixing the spread soil in place with Soil Stabilizer &amp; Binder Spreader </t>
    </r>
    <r>
      <rPr>
        <sz val="10"/>
        <color indexed="17"/>
        <rFont val="Arial Narrow"/>
        <family val="2"/>
      </rPr>
      <t>with 2  per cent  slaked lime using Binder spreader Machine, having minimum content of 70 per cent  of CaO, grading with motor grader and compacting with the road roller at OMC to the desired density to form a layer of improved sub grade</t>
    </r>
  </si>
  <si>
    <r>
      <t xml:space="preserve">Laying and spreading available soil in the emabankment n a prepared surface, pulverising, mixing the </t>
    </r>
    <r>
      <rPr>
        <sz val="10"/>
        <color indexed="10"/>
        <rFont val="Arial Narrow"/>
        <family val="2"/>
      </rPr>
      <t xml:space="preserve">spread soil in place with Soil Stabilizer </t>
    </r>
    <r>
      <rPr>
        <sz val="10"/>
        <color indexed="17"/>
        <rFont val="Arial Narrow"/>
        <family val="2"/>
      </rPr>
      <t>with 2  per cent  slaked lime mannualy spreaded having minimum content of 70 per cent  of CaO, grading with motor grader and compacting with the road roller at OMC to the desired density to form a layer of improved sub grade</t>
    </r>
  </si>
  <si>
    <r>
      <t xml:space="preserve">Laying and spreading available soil in the emabankment n a prepared surface, pulverising, </t>
    </r>
    <r>
      <rPr>
        <sz val="10"/>
        <color indexed="10"/>
        <rFont val="Arial Narrow"/>
        <family val="2"/>
      </rPr>
      <t xml:space="preserve">mixing the spread soil in place with Soil Stabilizer &amp; Binder Spreader </t>
    </r>
    <r>
      <rPr>
        <sz val="10"/>
        <color indexed="17"/>
        <rFont val="Arial Narrow"/>
        <family val="2"/>
      </rPr>
      <t>with 2  per cent  cement using Binder spreader Machine, grading with motor grader and compacting with the road roller at OMC to the desired density to form a layer of improved sub grade</t>
    </r>
  </si>
  <si>
    <r>
      <t xml:space="preserve">Laying and spreading available soil in the emabankment  on a prepared surface, pulverising, </t>
    </r>
    <r>
      <rPr>
        <sz val="10"/>
        <color indexed="10"/>
        <rFont val="Arial Narrow"/>
        <family val="2"/>
      </rPr>
      <t xml:space="preserve">mixing the spread soil in place with Soil Stabilizer </t>
    </r>
    <r>
      <rPr>
        <sz val="10"/>
        <color indexed="17"/>
        <rFont val="Arial Narrow"/>
        <family val="2"/>
      </rPr>
      <t>with 2  per cent cement mannualy spreaded, grading with motor grader and compacting with the road roller at OMC to the desired density to form a layer of improved sub grade</t>
    </r>
  </si>
  <si>
    <r>
      <t xml:space="preserve">Cement Treated Soil Sub Base/ Base </t>
    </r>
    <r>
      <rPr>
        <sz val="10"/>
        <color indexed="10"/>
        <rFont val="Arial Narrow"/>
        <family val="2"/>
      </rPr>
      <t>(Providing, laying and spreading soil on a prepared sub grade, pulverising, adding the designed quantity of cement to the spread soil, mixing in place with rotavator, grading with the motor grader and compacting with the road roller at OMC to achieve the desired unconfined compressive strength and to form a layer of sub-base/base.)</t>
    </r>
  </si>
  <si>
    <r>
      <t xml:space="preserve"> Wet Mix Macadam laying </t>
    </r>
    <r>
      <rPr>
        <sz val="10"/>
        <color indexed="10"/>
        <rFont val="Arial Narrow"/>
        <family val="2"/>
      </rPr>
      <t>Using Mechanical Paver (</t>
    </r>
    <r>
      <rPr>
        <sz val="10"/>
        <rFont val="Arial Narrow"/>
        <family val="2"/>
      </rPr>
      <t>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t>
    </r>
  </si>
  <si>
    <r>
      <t xml:space="preserve"> Wet Mix Macadam laying </t>
    </r>
    <r>
      <rPr>
        <sz val="10"/>
        <color indexed="10"/>
        <rFont val="Arial Narrow"/>
        <family val="2"/>
      </rPr>
      <t xml:space="preserve">using by Grader </t>
    </r>
    <r>
      <rPr>
        <sz val="10"/>
        <rFont val="Arial Narrow"/>
        <family val="2"/>
      </rPr>
      <t>(Providing,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t>
    </r>
  </si>
  <si>
    <r>
      <t xml:space="preserve">Horizontal Drainage Boring methods  on the types of Sandy Soil / Cohesive Soil and drilling length including cost of all materials, machinery, labour and all other ancillary operations etc. </t>
    </r>
    <r>
      <rPr>
        <sz val="10"/>
        <color indexed="10"/>
        <rFont val="Arial Narrow"/>
        <family val="2"/>
      </rPr>
      <t>(Nominal Diameter of drilling pipe- 90 mm)</t>
    </r>
  </si>
  <si>
    <r>
      <t xml:space="preserve">Horizontal Drainage Boring methods  on the types of Sandy Soil / Cohesive Soil and drilling length including cost of all materials, machinery, labour and all other ancillary operations etc. </t>
    </r>
    <r>
      <rPr>
        <sz val="10"/>
        <color indexed="10"/>
        <rFont val="Arial Narrow"/>
        <family val="2"/>
      </rPr>
      <t>(Nominal Diameter of drilling pipe- 110 mm)</t>
    </r>
  </si>
  <si>
    <r>
      <t>Horizontal Drainage Boring methods  on the types of Sandy Soil / Cohesive Soil and drilling length including cost of all materials, machinery, labour and all other ancillary operations etc. (</t>
    </r>
    <r>
      <rPr>
        <sz val="10"/>
        <color indexed="10"/>
        <rFont val="Arial Narrow"/>
        <family val="2"/>
      </rPr>
      <t>Nominal Diameter of drilling pipe- 135 mm)</t>
    </r>
  </si>
  <si>
    <r>
      <t>Sinking of 9 m external diameter well (</t>
    </r>
    <r>
      <rPr>
        <sz val="10"/>
        <rFont val="Arial Narrow"/>
        <family val="2"/>
      </rPr>
      <t xml:space="preserve"> other than pneumatic method of sinking ) through all types of strata namely sandy soil,  clayey soil and rock as shown against each case,  complete as per drawing and technical specifications. Depth of sinking is reckoned from bed level.</t>
    </r>
  </si>
  <si>
    <r>
      <rPr>
        <sz val="10"/>
        <rFont val="Calibri"/>
        <family val="2"/>
      </rPr>
      <t>Crash Barriers (Provision of an Reinforced cement concrete crash barrier at the bridge decks &amp; approaches to bridge structures, constructed with Reinforced Cement Concrete with HYSD reinforcement conforming MoRT&amp;H  Specification and as per details given IRC -5   including dowel bars , expansion joints filled with pre-moulded asphalt filler board etc. and approved drawing and at locations directed by the Engineer, all as specified.   )
The rate analysis for  semi-rigid crash barrier with metal beam and flexible crash barrier with wire ropes have been made and included in chapter-8 on Traffic and Transportation.)</t>
    </r>
  </si>
  <si>
    <t>Item Description</t>
  </si>
  <si>
    <t>Barrier gates at Tollplaza  For 3.2 m wide toll lane</t>
  </si>
  <si>
    <t>Barrier gates at Tollplaza  For 4.5 m wide toll lane</t>
  </si>
  <si>
    <t>MR41</t>
  </si>
  <si>
    <t>MR42</t>
  </si>
  <si>
    <t>MR43</t>
  </si>
  <si>
    <t>MR44</t>
  </si>
  <si>
    <t>MR45</t>
  </si>
  <si>
    <t xml:space="preserve">Cranes at Toll Plaza </t>
  </si>
  <si>
    <t>Canopy Lights (Halide lamps 150 watt)</t>
  </si>
  <si>
    <t>Canopy Lights (Halogen lamps 1000 watt)</t>
  </si>
  <si>
    <t>Canopy Lights  (Halide lamps 150 watt)</t>
  </si>
  <si>
    <t>Canopy Lights  (Halogen lamps 1000 watt)</t>
  </si>
  <si>
    <t>Designing and providing roof cover of Toll Plaza with space frame, covering columns, foundations, illumination for toll plaza area etc all complete as shown in drawing and / or as directed by Engineer and Technical specification.</t>
  </si>
  <si>
    <t>A (i)</t>
  </si>
  <si>
    <t>Bituminous Macadam Grading -I</t>
  </si>
  <si>
    <t>A (ii)</t>
  </si>
  <si>
    <t>Bituminous Macadam Grading -II</t>
  </si>
  <si>
    <t>B (i)</t>
  </si>
  <si>
    <t>Dense Graded Bituminous Macadam Grading -I</t>
  </si>
  <si>
    <t>B (ii)</t>
  </si>
  <si>
    <t>Dense Graded Bituminous Macadam Grading -II</t>
  </si>
  <si>
    <t>C (i)</t>
  </si>
  <si>
    <t>Bituminous Concrete Grading -I</t>
  </si>
  <si>
    <t>C (ii)</t>
  </si>
  <si>
    <t>Bituminous Concrete Grading -II</t>
  </si>
  <si>
    <t xml:space="preserve">HORTICULTURE , ENVIRONMENTAL &amp; SAFETY MANAGEMENT AND BIO ENGINEERING </t>
  </si>
  <si>
    <t>Hot Recycling in place (Bituminous Concrete )</t>
  </si>
  <si>
    <t>Providing and laying bituminous concrete with Hot Recycling in place using crushed aggregates of specified grading, with bituminous binder @ 5.2  per cent  of mix and filler, transporting the aggregate  to work site, laying with a hot Recycling in place to the required grade, level and alignment, rolling with smooth wheeled, vibratory and tandem rollers to achieve the desired compaction as per MORTH specification clause No. 519 complete in all respects.</t>
  </si>
  <si>
    <t>Providing and laying bituminous concrete with Hot Recycling in place using crushed aggregates of specified grading, with bituminous binder @ 5.4  per cent  of mix and filler, transporting the aggregate  to work site, laying with a hot Recycling in place to the required grade, level and alignment, rolling with smooth wheeled, vibratory and tandem rollers to achieve the desired compaction as per MORTH specification clause No. 519 complete in all respects.</t>
  </si>
  <si>
    <t>11.22</t>
  </si>
  <si>
    <t>Constructing rain water harvesting recharge trench cum recharge shaft / well including grating passage joining storm water drain and trench having brick walls, RCC cover slab and filled with layers of filter media (size 75 mm to 100 mm), grating having brick walls and CC 1:2:4 base and PVC pipe shaft packed with gravel, provided with wire screen and bottom plug complete as per Drawing, direction of the Engineer and MORT&amp;H Specifications sections 300, 1000, 1300, 1500, 1600 &amp; 1700.
(Dimension of  rain water harvesting pit 6.5 m depth, 2.10 meter inner dia, wall width 375 mm and top slab thickness 150 mm  )</t>
  </si>
  <si>
    <t>Furnishing and installing of the Geocell  for Slope Protection including  fixing and anchoring of cells in the ground ,preparation of ground, filling of cells with specified materials, seeding,watering and all other incidentals including all other items to complete the work as per these specifications drawing or as directed by the engineer.</t>
  </si>
  <si>
    <t>Furnishing and installing of the Geosynthetics mat for control of erosion of slopes including supplying and laying the mat, spreading soil and seeding to promote the design of vegetation, watering and all other incidentals including all other items to complete the work as per these specifications drawing or as directed by the engineer .</t>
  </si>
  <si>
    <t>Furnishing and installing of the natural geotextile for control of erosion of slopes including supplying and laying the natural geotextile, spreading soil and seeding to promote the design of vegetation, watering and all other incidentals including all other items to complete the work as per these specifications drawing or as directed by the engineer .</t>
  </si>
  <si>
    <t>Upto 50.00 Kilometer</t>
  </si>
  <si>
    <t>More than 50.00 to 100.00 Kilometre</t>
  </si>
  <si>
    <t>More than 100 Km.</t>
  </si>
  <si>
    <r>
      <t xml:space="preserve">Road Safety Audit during  Construction Period &amp; Maintenance Period </t>
    </r>
    <r>
      <rPr>
        <i/>
        <sz val="10"/>
        <rFont val="Arial Narrow"/>
        <family val="2"/>
      </rPr>
      <t>(Road Safety Audit during  Construction Period &amp; Maintenance Period including collection of Road accident data and analysis of fatal and grievously injured accident with black spot identification report, submission of GAP report, Road Safety Audit Reports on all activities which were planned, actually executed and planned for the next  quarter report, Submission of audit report of work zone safety, workshop report and Final Safety report complete as per IRC-SP-88 and directed by engineer. )</t>
    </r>
  </si>
  <si>
    <r>
      <t>Road Safety Audit during  Maintenance Period (</t>
    </r>
    <r>
      <rPr>
        <i/>
        <sz val="10"/>
        <rFont val="Arial Narrow"/>
        <family val="2"/>
      </rPr>
      <t>Road Safety Audit during Maintenance Period including collection of Road accident data and analysis of fatal and grievously injured accident with black spot identification report, submission of GAP report, Road Safety Audit Reports on all activities which were planned, actually executed and planned for the next quarter report, submission of audit report of work zone safety (Maintenance work), workshop report and Final Safety report complete as per IRC-SP-88 and directed by engineer.)</t>
    </r>
  </si>
  <si>
    <t>Providing, laying and fixing of Protective Felt (geotextile) with a minimum weight of 500 g/m2 for protection of the waterproofing membrane &amp; drainage on the finished outer lining surface, including the cost of all materials, labour, equipments, etc. required for the completion of job, as per specifications or as directed by the Engineer</t>
  </si>
  <si>
    <t>Providing, placing, welding of 2 mm thick PVC or ECB Water Proofing Membrane including the cost of all materials, labour, equipments, etc. required for the completion of job, as per specifications or as directed by the Engineer</t>
  </si>
  <si>
    <t>Providing and laying of 76.1 mm dia Steel Pipe complete as per drawing and as directed by the engineer.</t>
  </si>
  <si>
    <t>Rm</t>
  </si>
  <si>
    <t>Drilling and installation of drainage holes (upto 75 mm diameter) for installation of drainage pipes, weep holes etc. including all the accessories for completion of job</t>
  </si>
  <si>
    <t>Providing and fixing PVC water  stop  serrated  with  central bulb  (225  mm wide, 8 - 11 mm thick) in concrete works including all form work,  cleaning, chipping, lapping and welding etc</t>
  </si>
  <si>
    <t xml:space="preserve"> GST ON TOTAL COST 18% of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</si>
</sst>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_)"/>
    <numFmt numFmtId="165" formatCode="0_)"/>
    <numFmt numFmtId="166" formatCode="0.000"/>
    <numFmt numFmtId="167" formatCode="dd\-mm\-yy"/>
    <numFmt numFmtId="168" formatCode="dd\-mmm\-yyyy"/>
    <numFmt numFmtId="169" formatCode="_(&quot;$&quot;* &quot;#&quot;\,&quot;#&quot;&quot;#&quot;0_);_(&quot;$&quot;* \(&quot;#&quot;\,&quot;#&quot;&quot;#&quot;0\);_(&quot;$&quot;* &quot;-&quot;_);_(@_)"/>
    <numFmt numFmtId="170" formatCode="yyyy"/>
    <numFmt numFmtId="171" formatCode="_(* #,##0_);_(* \(#,##0\);_(* &quot;-&quot;??_);_(@_)"/>
  </numFmts>
  <fonts count="40">
    <font>
      <sz val="11"/>
      <color theme="1"/>
      <name val="Calibri"/>
      <family val="2"/>
      <scheme val="minor"/>
    </font>
    <font>
      <sz val="10"/>
      <name val="Times New Roman"/>
      <family val="1"/>
    </font>
    <font>
      <sz val="8"/>
      <name val="Arial"/>
      <family val="2"/>
    </font>
    <font>
      <sz val="10"/>
      <name val="Arial"/>
      <family val="2"/>
    </font>
    <font>
      <sz val="10"/>
      <color indexed="8"/>
      <name val="Arial"/>
      <family val="2"/>
    </font>
    <font>
      <sz val="10"/>
      <name val="Trebuchet MS"/>
      <family val="2"/>
    </font>
    <font>
      <b/>
      <sz val="11"/>
      <color indexed="8"/>
      <name val="Arial"/>
      <family val="2"/>
    </font>
    <font>
      <sz val="10"/>
      <name val="Arabic Transparent"/>
      <charset val="178"/>
    </font>
    <font>
      <b/>
      <i/>
      <sz val="16"/>
      <name val="Helv"/>
    </font>
    <font>
      <sz val="12"/>
      <name val="Arial MT"/>
    </font>
    <font>
      <sz val="10"/>
      <name val="Helv"/>
      <charset val="204"/>
    </font>
    <font>
      <b/>
      <sz val="11"/>
      <name val="Times New Roman"/>
      <family val="1"/>
    </font>
    <font>
      <sz val="10.5"/>
      <name val="Arial"/>
      <family val="2"/>
    </font>
    <font>
      <sz val="10"/>
      <name val="Arial Narrow"/>
      <family val="2"/>
    </font>
    <font>
      <sz val="10"/>
      <name val="Hevetica"/>
    </font>
    <font>
      <sz val="10"/>
      <name val="Tahoma"/>
      <family val="2"/>
    </font>
    <font>
      <sz val="10"/>
      <name val="Calibri"/>
      <family val="2"/>
    </font>
    <font>
      <sz val="10"/>
      <color indexed="10"/>
      <name val="Arial Narrow"/>
      <family val="2"/>
    </font>
    <font>
      <b/>
      <sz val="10"/>
      <name val="Hevetica"/>
    </font>
    <font>
      <sz val="10"/>
      <name val="Verdana"/>
      <family val="2"/>
    </font>
    <font>
      <sz val="10"/>
      <color indexed="17"/>
      <name val="Arial Narrow"/>
      <family val="2"/>
    </font>
    <font>
      <sz val="10"/>
      <color indexed="18"/>
      <name val="Arial Narrow"/>
      <family val="2"/>
    </font>
    <font>
      <b/>
      <i/>
      <sz val="10"/>
      <name val="Arial Narrow"/>
      <family val="2"/>
    </font>
    <font>
      <i/>
      <sz val="10"/>
      <name val="Arial Narrow"/>
      <family val="2"/>
    </font>
    <font>
      <sz val="11"/>
      <color theme="1"/>
      <name val="Calibri"/>
      <family val="2"/>
      <scheme val="minor"/>
    </font>
    <font>
      <sz val="10"/>
      <color theme="1"/>
      <name val="Tahoma"/>
      <family val="2"/>
    </font>
    <font>
      <b/>
      <sz val="10"/>
      <color theme="1"/>
      <name val="Tahoma"/>
      <family val="2"/>
    </font>
    <font>
      <sz val="11"/>
      <color theme="1"/>
      <name val="Tahoma"/>
      <family val="2"/>
    </font>
    <font>
      <b/>
      <sz val="10"/>
      <color theme="1"/>
      <name val="Hevetica"/>
    </font>
    <font>
      <sz val="10"/>
      <color theme="1"/>
      <name val="Hevetica"/>
    </font>
    <font>
      <sz val="10"/>
      <name val="Calibri"/>
      <family val="2"/>
      <scheme val="minor"/>
    </font>
    <font>
      <b/>
      <sz val="16"/>
      <name val="Calibri"/>
      <family val="2"/>
      <scheme val="minor"/>
    </font>
    <font>
      <sz val="10"/>
      <color theme="1"/>
      <name val="Calibri"/>
      <family val="2"/>
      <scheme val="minor"/>
    </font>
    <font>
      <b/>
      <sz val="16"/>
      <color rgb="FFFF0000"/>
      <name val="Calibri"/>
      <family val="2"/>
      <scheme val="minor"/>
    </font>
    <font>
      <sz val="10"/>
      <color rgb="FFFF0000"/>
      <name val="Arial Narrow"/>
      <family val="2"/>
    </font>
    <font>
      <sz val="10"/>
      <color rgb="FF008000"/>
      <name val="Arial Narrow"/>
      <family val="2"/>
    </font>
    <font>
      <sz val="10"/>
      <color rgb="FFFF0000"/>
      <name val="Calibri"/>
      <family val="2"/>
      <scheme val="minor"/>
    </font>
    <font>
      <sz val="10"/>
      <color rgb="FF0070C0"/>
      <name val="Calibri"/>
      <family val="2"/>
      <scheme val="minor"/>
    </font>
    <font>
      <sz val="10"/>
      <color rgb="FF0070C0"/>
      <name val="Arial Narrow"/>
      <family val="2"/>
    </font>
    <font>
      <b/>
      <sz val="10"/>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7" tint="0.39997558519241921"/>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31">
    <xf numFmtId="0" fontId="0" fillId="0" borderId="0"/>
    <xf numFmtId="0" fontId="4" fillId="0" borderId="0">
      <alignment vertical="top"/>
    </xf>
    <xf numFmtId="43" fontId="24"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12"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0" fontId="6" fillId="0" borderId="1" applyNumberFormat="0" applyFont="0" applyBorder="0" applyAlignment="0" applyProtection="0">
      <alignment horizontal="center" vertical="center"/>
    </xf>
    <xf numFmtId="38" fontId="2" fillId="2" borderId="0" applyNumberFormat="0" applyBorder="0" applyAlignment="0" applyProtection="0"/>
    <xf numFmtId="10" fontId="2" fillId="3" borderId="2" applyNumberFormat="0" applyBorder="0" applyAlignment="0" applyProtection="0"/>
    <xf numFmtId="0" fontId="7" fillId="0" borderId="3" applyNumberFormat="0">
      <alignment horizontal="right"/>
    </xf>
    <xf numFmtId="164" fontId="8" fillId="0" borderId="0"/>
    <xf numFmtId="0" fontId="3" fillId="0" borderId="0"/>
    <xf numFmtId="169" fontId="9" fillId="0" borderId="0"/>
    <xf numFmtId="169" fontId="9" fillId="0" borderId="0"/>
    <xf numFmtId="0" fontId="5" fillId="0" borderId="0"/>
    <xf numFmtId="0" fontId="3" fillId="0" borderId="0"/>
    <xf numFmtId="0" fontId="9" fillId="0" borderId="0"/>
    <xf numFmtId="165" fontId="9" fillId="0" borderId="0"/>
    <xf numFmtId="0" fontId="3" fillId="0" borderId="0" applyNumberFormat="0" applyFont="0" applyFill="0" applyBorder="0" applyAlignment="0" applyProtection="0">
      <alignment vertical="top"/>
    </xf>
    <xf numFmtId="0" fontId="3" fillId="0" borderId="0"/>
    <xf numFmtId="0" fontId="3" fillId="0" borderId="0"/>
    <xf numFmtId="0" fontId="3" fillId="0" borderId="0"/>
    <xf numFmtId="0" fontId="1" fillId="0" borderId="0"/>
    <xf numFmtId="10" fontId="3" fillId="0" borderId="0" applyFont="0" applyFill="0" applyBorder="0" applyAlignment="0" applyProtection="0"/>
    <xf numFmtId="9" fontId="3" fillId="0" borderId="0" applyFont="0" applyFill="0" applyBorder="0" applyAlignment="0" applyProtection="0"/>
    <xf numFmtId="0" fontId="10" fillId="0" borderId="0"/>
    <xf numFmtId="40" fontId="11" fillId="0" borderId="0"/>
    <xf numFmtId="170" fontId="3" fillId="0" borderId="0" applyFont="0" applyFill="0" applyBorder="0" applyAlignment="0" applyProtection="0"/>
    <xf numFmtId="39" fontId="3" fillId="0" borderId="0" applyFont="0" applyFill="0" applyBorder="0" applyAlignment="0" applyProtection="0"/>
  </cellStyleXfs>
  <cellXfs count="237">
    <xf numFmtId="0" fontId="0" fillId="0" borderId="0" xfId="0"/>
    <xf numFmtId="0" fontId="25" fillId="0" borderId="0" xfId="0" applyFont="1" applyAlignment="1">
      <alignment vertical="center"/>
    </xf>
    <xf numFmtId="0" fontId="25" fillId="0" borderId="2" xfId="0" applyFont="1" applyBorder="1" applyAlignment="1">
      <alignment horizontal="center" vertical="center"/>
    </xf>
    <xf numFmtId="171" fontId="25" fillId="0" borderId="2" xfId="2" applyNumberFormat="1" applyFont="1" applyBorder="1" applyAlignment="1">
      <alignment vertical="center"/>
    </xf>
    <xf numFmtId="0" fontId="25" fillId="0" borderId="0" xfId="0" applyFont="1" applyAlignment="1">
      <alignment horizontal="center" vertical="center"/>
    </xf>
    <xf numFmtId="171" fontId="25" fillId="0" borderId="0" xfId="2" applyNumberFormat="1" applyFont="1" applyAlignment="1">
      <alignment vertical="center"/>
    </xf>
    <xf numFmtId="0" fontId="26" fillId="4" borderId="2" xfId="0" applyFont="1" applyFill="1" applyBorder="1" applyAlignment="1">
      <alignment vertical="center"/>
    </xf>
    <xf numFmtId="0" fontId="26" fillId="4" borderId="2" xfId="0" applyFont="1" applyFill="1" applyBorder="1" applyAlignment="1">
      <alignment horizontal="center" vertical="center"/>
    </xf>
    <xf numFmtId="0" fontId="26" fillId="4" borderId="2" xfId="0" applyFont="1" applyFill="1" applyBorder="1" applyAlignment="1">
      <alignment horizontal="center" vertical="center" wrapText="1"/>
    </xf>
    <xf numFmtId="0" fontId="25" fillId="4" borderId="2" xfId="0" applyFont="1" applyFill="1" applyBorder="1" applyAlignment="1">
      <alignment horizontal="center" vertical="center"/>
    </xf>
    <xf numFmtId="0" fontId="27" fillId="0" borderId="2" xfId="0" applyFont="1" applyBorder="1" applyAlignment="1">
      <alignment vertical="center"/>
    </xf>
    <xf numFmtId="0" fontId="27" fillId="0" borderId="2" xfId="0" applyFont="1" applyBorder="1" applyAlignment="1">
      <alignment vertical="center" wrapText="1"/>
    </xf>
    <xf numFmtId="43" fontId="25" fillId="0" borderId="2" xfId="2" applyFont="1" applyBorder="1" applyAlignment="1">
      <alignment vertical="center"/>
    </xf>
    <xf numFmtId="43" fontId="26" fillId="4" borderId="2" xfId="2" applyFont="1" applyFill="1" applyBorder="1" applyAlignment="1">
      <alignment vertical="center"/>
    </xf>
    <xf numFmtId="0" fontId="18" fillId="0" borderId="2" xfId="5" applyNumberFormat="1" applyFont="1" applyFill="1" applyBorder="1" applyAlignment="1" applyProtection="1">
      <alignment horizontal="center" vertical="center"/>
      <protection locked="0"/>
    </xf>
    <xf numFmtId="43" fontId="28" fillId="0" borderId="2" xfId="5" applyFont="1" applyFill="1" applyBorder="1" applyAlignment="1">
      <alignment horizontal="center" vertical="center"/>
    </xf>
    <xf numFmtId="0" fontId="14" fillId="0" borderId="2" xfId="5" applyNumberFormat="1" applyFont="1" applyFill="1" applyBorder="1" applyAlignment="1" applyProtection="1">
      <alignment horizontal="center" vertical="center"/>
      <protection locked="0"/>
    </xf>
    <xf numFmtId="0" fontId="29" fillId="0" borderId="0" xfId="0" applyFont="1"/>
    <xf numFmtId="0" fontId="28" fillId="0" borderId="2" xfId="0" applyFont="1" applyBorder="1" applyAlignment="1">
      <alignment horizontal="center" vertical="center"/>
    </xf>
    <xf numFmtId="0" fontId="29" fillId="0" borderId="0" xfId="0" applyFont="1" applyAlignment="1">
      <alignment horizontal="center" vertical="center"/>
    </xf>
    <xf numFmtId="0" fontId="18" fillId="0" borderId="2" xfId="21" applyFont="1" applyBorder="1" applyAlignment="1">
      <alignment horizontal="left" vertical="center" wrapText="1"/>
    </xf>
    <xf numFmtId="0" fontId="14" fillId="0" borderId="2" xfId="21" applyFont="1" applyBorder="1" applyAlignment="1">
      <alignment horizontal="left" vertical="center" wrapText="1"/>
    </xf>
    <xf numFmtId="0" fontId="29" fillId="0" borderId="0" xfId="0" applyFont="1" applyAlignment="1">
      <alignment horizontal="left" vertical="center"/>
    </xf>
    <xf numFmtId="1" fontId="14" fillId="0" borderId="2" xfId="5" applyNumberFormat="1" applyFont="1" applyFill="1" applyBorder="1" applyAlignment="1" applyProtection="1">
      <alignment horizontal="center" vertical="center"/>
      <protection locked="0"/>
    </xf>
    <xf numFmtId="2" fontId="29" fillId="0" borderId="0" xfId="0" applyNumberFormat="1" applyFont="1"/>
    <xf numFmtId="49" fontId="14" fillId="0" borderId="2" xfId="24" applyNumberFormat="1" applyFont="1" applyBorder="1" applyAlignment="1">
      <alignment horizontal="center" wrapText="1"/>
    </xf>
    <xf numFmtId="1" fontId="14" fillId="0" borderId="2" xfId="24" applyNumberFormat="1" applyFont="1" applyBorder="1" applyAlignment="1">
      <alignment horizontal="center" wrapText="1"/>
    </xf>
    <xf numFmtId="1" fontId="14" fillId="0" borderId="2" xfId="24" applyNumberFormat="1" applyFont="1" applyBorder="1" applyAlignment="1">
      <alignment horizontal="center"/>
    </xf>
    <xf numFmtId="171" fontId="30" fillId="0" borderId="2" xfId="4" applyNumberFormat="1" applyFont="1" applyFill="1" applyBorder="1" applyAlignment="1"/>
    <xf numFmtId="0" fontId="31" fillId="0" borderId="0" xfId="22" applyFont="1"/>
    <xf numFmtId="0" fontId="30" fillId="0" borderId="0" xfId="22" applyFont="1"/>
    <xf numFmtId="1" fontId="14" fillId="0" borderId="4" xfId="24" applyNumberFormat="1" applyFont="1" applyBorder="1" applyAlignment="1">
      <alignment horizontal="center" wrapText="1"/>
    </xf>
    <xf numFmtId="49" fontId="30" fillId="0" borderId="0" xfId="22" applyNumberFormat="1" applyFont="1"/>
    <xf numFmtId="0" fontId="17" fillId="5" borderId="2" xfId="0" applyFont="1" applyFill="1" applyBorder="1" applyAlignment="1">
      <alignment horizontal="left" wrapText="1"/>
    </xf>
    <xf numFmtId="0" fontId="32" fillId="6" borderId="5" xfId="0" applyFont="1" applyFill="1" applyBorder="1" applyAlignment="1">
      <alignment horizontal="center" wrapText="1"/>
    </xf>
    <xf numFmtId="0" fontId="29" fillId="6" borderId="5" xfId="0" applyFont="1" applyFill="1" applyBorder="1" applyAlignment="1">
      <alignment horizontal="center"/>
    </xf>
    <xf numFmtId="0" fontId="32" fillId="6" borderId="5" xfId="0" applyFont="1" applyFill="1" applyBorder="1" applyAlignment="1">
      <alignment horizontal="center"/>
    </xf>
    <xf numFmtId="0" fontId="32" fillId="5" borderId="5" xfId="0" applyFont="1" applyFill="1" applyBorder="1" applyAlignment="1">
      <alignment horizontal="center" wrapText="1"/>
    </xf>
    <xf numFmtId="1" fontId="14" fillId="0" borderId="4" xfId="24" applyNumberFormat="1" applyFont="1" applyBorder="1" applyAlignment="1">
      <alignment horizontal="center"/>
    </xf>
    <xf numFmtId="0" fontId="30" fillId="0" borderId="4" xfId="22" applyFont="1" applyBorder="1"/>
    <xf numFmtId="49" fontId="30" fillId="0" borderId="2" xfId="22" applyNumberFormat="1" applyFont="1" applyBorder="1" applyAlignment="1">
      <alignment horizontal="center"/>
    </xf>
    <xf numFmtId="0" fontId="32" fillId="6" borderId="2" xfId="0" applyFont="1" applyFill="1" applyBorder="1" applyAlignment="1">
      <alignment horizontal="center" wrapText="1"/>
    </xf>
    <xf numFmtId="0" fontId="13" fillId="5" borderId="6" xfId="0" quotePrefix="1" applyFont="1" applyFill="1" applyBorder="1" applyAlignment="1">
      <alignment horizontal="left" wrapText="1"/>
    </xf>
    <xf numFmtId="0" fontId="13" fillId="5" borderId="7" xfId="0" applyFont="1" applyFill="1" applyBorder="1" applyAlignment="1">
      <alignment horizontal="left" wrapText="1"/>
    </xf>
    <xf numFmtId="0" fontId="13" fillId="5" borderId="7" xfId="0" applyFont="1" applyFill="1" applyBorder="1" applyAlignment="1">
      <alignment horizontal="center" wrapText="1"/>
    </xf>
    <xf numFmtId="166" fontId="14" fillId="6" borderId="4" xfId="0" applyNumberFormat="1" applyFont="1" applyFill="1" applyBorder="1" applyAlignment="1">
      <alignment horizontal="center"/>
    </xf>
    <xf numFmtId="166" fontId="14" fillId="5" borderId="4" xfId="0" applyNumberFormat="1" applyFont="1" applyFill="1" applyBorder="1" applyAlignment="1">
      <alignment horizontal="center"/>
    </xf>
    <xf numFmtId="0" fontId="14" fillId="0" borderId="4" xfId="0" applyFont="1" applyBorder="1" applyAlignment="1">
      <alignment horizontal="center"/>
    </xf>
    <xf numFmtId="0" fontId="30" fillId="0" borderId="2" xfId="22" applyFont="1" applyBorder="1"/>
    <xf numFmtId="0" fontId="30" fillId="0" borderId="4" xfId="22" applyFont="1" applyBorder="1" applyAlignment="1">
      <alignment horizontal="center"/>
    </xf>
    <xf numFmtId="0" fontId="20" fillId="5" borderId="8" xfId="0" quotePrefix="1" applyFont="1" applyFill="1" applyBorder="1" applyAlignment="1">
      <alignment horizontal="right" wrapText="1"/>
    </xf>
    <xf numFmtId="0" fontId="20" fillId="5" borderId="9" xfId="0" applyFont="1" applyFill="1" applyBorder="1" applyAlignment="1">
      <alignment horizontal="left" wrapText="1"/>
    </xf>
    <xf numFmtId="0" fontId="13" fillId="5" borderId="9" xfId="0" applyFont="1" applyFill="1" applyBorder="1" applyAlignment="1">
      <alignment horizontal="center" wrapText="1"/>
    </xf>
    <xf numFmtId="166" fontId="13" fillId="6" borderId="4" xfId="0" applyNumberFormat="1" applyFont="1" applyFill="1" applyBorder="1" applyAlignment="1">
      <alignment horizontal="center" wrapText="1"/>
    </xf>
    <xf numFmtId="166" fontId="14" fillId="6" borderId="4" xfId="0" applyNumberFormat="1" applyFont="1" applyFill="1" applyBorder="1" applyAlignment="1">
      <alignment horizontal="center" wrapText="1"/>
    </xf>
    <xf numFmtId="166" fontId="13" fillId="5" borderId="4" xfId="0" applyNumberFormat="1" applyFont="1" applyFill="1" applyBorder="1" applyAlignment="1">
      <alignment horizontal="center" wrapText="1"/>
    </xf>
    <xf numFmtId="2" fontId="13" fillId="5" borderId="4" xfId="0" applyNumberFormat="1" applyFont="1" applyFill="1" applyBorder="1" applyAlignment="1">
      <alignment horizontal="center" wrapText="1"/>
    </xf>
    <xf numFmtId="166" fontId="30" fillId="0" borderId="4" xfId="22" applyNumberFormat="1" applyFont="1" applyBorder="1" applyAlignment="1">
      <alignment horizontal="center"/>
    </xf>
    <xf numFmtId="166" fontId="30" fillId="0" borderId="2" xfId="22" applyNumberFormat="1" applyFont="1" applyBorder="1" applyAlignment="1">
      <alignment horizontal="center"/>
    </xf>
    <xf numFmtId="0" fontId="13" fillId="5" borderId="8" xfId="0" quotePrefix="1" applyFont="1" applyFill="1" applyBorder="1" applyAlignment="1">
      <alignment horizontal="left" wrapText="1"/>
    </xf>
    <xf numFmtId="0" fontId="13" fillId="5" borderId="9" xfId="0" applyFont="1" applyFill="1" applyBorder="1" applyAlignment="1">
      <alignment horizontal="left" wrapText="1"/>
    </xf>
    <xf numFmtId="0" fontId="30" fillId="0" borderId="2" xfId="22" applyFont="1" applyBorder="1" applyAlignment="1">
      <alignment horizontal="center"/>
    </xf>
    <xf numFmtId="0" fontId="21" fillId="5" borderId="8" xfId="0" quotePrefix="1" applyFont="1" applyFill="1" applyBorder="1" applyAlignment="1">
      <alignment horizontal="left" wrapText="1"/>
    </xf>
    <xf numFmtId="0" fontId="21" fillId="5" borderId="9" xfId="0" applyFont="1" applyFill="1" applyBorder="1" applyAlignment="1">
      <alignment horizontal="left" wrapText="1"/>
    </xf>
    <xf numFmtId="49" fontId="30" fillId="7" borderId="0" xfId="22" applyNumberFormat="1" applyFont="1" applyFill="1"/>
    <xf numFmtId="166" fontId="30" fillId="7" borderId="4" xfId="22" applyNumberFormat="1" applyFont="1" applyFill="1" applyBorder="1" applyAlignment="1">
      <alignment horizontal="center"/>
    </xf>
    <xf numFmtId="166" fontId="30" fillId="7" borderId="2" xfId="22" applyNumberFormat="1" applyFont="1" applyFill="1" applyBorder="1" applyAlignment="1">
      <alignment horizontal="center"/>
    </xf>
    <xf numFmtId="0" fontId="31" fillId="7" borderId="0" xfId="22" applyFont="1" applyFill="1"/>
    <xf numFmtId="0" fontId="30" fillId="7" borderId="0" xfId="22" applyFont="1" applyFill="1"/>
    <xf numFmtId="0" fontId="21" fillId="5" borderId="8" xfId="0" applyFont="1" applyFill="1" applyBorder="1" applyAlignment="1">
      <alignment horizontal="left" wrapText="1"/>
    </xf>
    <xf numFmtId="166" fontId="14" fillId="6" borderId="2" xfId="0" applyNumberFormat="1" applyFont="1" applyFill="1" applyBorder="1" applyAlignment="1">
      <alignment horizontal="center"/>
    </xf>
    <xf numFmtId="166" fontId="14" fillId="5" borderId="2" xfId="0" applyNumberFormat="1" applyFont="1" applyFill="1" applyBorder="1" applyAlignment="1">
      <alignment horizontal="center"/>
    </xf>
    <xf numFmtId="43" fontId="30" fillId="0" borderId="4" xfId="4" applyFont="1" applyFill="1" applyBorder="1" applyAlignment="1"/>
    <xf numFmtId="166" fontId="13" fillId="6" borderId="2" xfId="0" applyNumberFormat="1" applyFont="1" applyFill="1" applyBorder="1" applyAlignment="1">
      <alignment horizontal="center" wrapText="1"/>
    </xf>
    <xf numFmtId="166" fontId="14" fillId="6" borderId="2" xfId="0" applyNumberFormat="1" applyFont="1" applyFill="1" applyBorder="1" applyAlignment="1">
      <alignment horizontal="center" wrapText="1"/>
    </xf>
    <xf numFmtId="166" fontId="13" fillId="5" borderId="2" xfId="0" applyNumberFormat="1" applyFont="1" applyFill="1" applyBorder="1" applyAlignment="1">
      <alignment horizontal="center" wrapText="1"/>
    </xf>
    <xf numFmtId="166" fontId="13" fillId="6" borderId="4" xfId="0" quotePrefix="1" applyNumberFormat="1" applyFont="1" applyFill="1" applyBorder="1" applyAlignment="1">
      <alignment horizontal="center" wrapText="1"/>
    </xf>
    <xf numFmtId="166" fontId="14" fillId="6" borderId="4" xfId="0" quotePrefix="1" applyNumberFormat="1" applyFont="1" applyFill="1" applyBorder="1" applyAlignment="1">
      <alignment horizontal="center" wrapText="1"/>
    </xf>
    <xf numFmtId="166" fontId="13" fillId="5" borderId="4" xfId="0" quotePrefix="1" applyNumberFormat="1" applyFont="1" applyFill="1" applyBorder="1" applyAlignment="1">
      <alignment horizontal="center" wrapText="1"/>
    </xf>
    <xf numFmtId="0" fontId="20" fillId="5" borderId="8" xfId="0" applyFont="1" applyFill="1" applyBorder="1" applyAlignment="1">
      <alignment horizontal="right" wrapText="1"/>
    </xf>
    <xf numFmtId="0" fontId="13" fillId="5" borderId="2" xfId="0" applyFont="1" applyFill="1" applyBorder="1" applyAlignment="1">
      <alignment horizontal="centerContinuous"/>
    </xf>
    <xf numFmtId="166" fontId="13" fillId="6" borderId="2" xfId="0" applyNumberFormat="1" applyFont="1" applyFill="1" applyBorder="1" applyAlignment="1">
      <alignment horizontal="centerContinuous"/>
    </xf>
    <xf numFmtId="166" fontId="14" fillId="6" borderId="2" xfId="0" applyNumberFormat="1" applyFont="1" applyFill="1" applyBorder="1" applyAlignment="1">
      <alignment horizontal="centerContinuous"/>
    </xf>
    <xf numFmtId="166" fontId="13" fillId="5" borderId="2" xfId="0" applyNumberFormat="1" applyFont="1" applyFill="1" applyBorder="1" applyAlignment="1">
      <alignment horizontal="centerContinuous"/>
    </xf>
    <xf numFmtId="171" fontId="30" fillId="0" borderId="4" xfId="4" applyNumberFormat="1" applyFont="1" applyFill="1" applyBorder="1" applyAlignment="1"/>
    <xf numFmtId="166" fontId="33" fillId="0" borderId="0" xfId="22" applyNumberFormat="1" applyFont="1"/>
    <xf numFmtId="0" fontId="13" fillId="5" borderId="2" xfId="0" quotePrefix="1" applyFont="1" applyFill="1" applyBorder="1" applyAlignment="1">
      <alignment horizontal="left" wrapText="1"/>
    </xf>
    <xf numFmtId="0" fontId="13" fillId="5" borderId="2" xfId="0" applyFont="1" applyFill="1" applyBorder="1" applyAlignment="1">
      <alignment horizontal="left" wrapText="1"/>
    </xf>
    <xf numFmtId="0" fontId="13" fillId="5" borderId="2" xfId="0" applyFont="1" applyFill="1" applyBorder="1" applyAlignment="1">
      <alignment horizontal="center" wrapText="1"/>
    </xf>
    <xf numFmtId="2" fontId="30" fillId="0" borderId="2" xfId="22" applyNumberFormat="1" applyFont="1" applyBorder="1" applyAlignment="1">
      <alignment horizontal="center"/>
    </xf>
    <xf numFmtId="166" fontId="13" fillId="6" borderId="2" xfId="0" applyNumberFormat="1" applyFont="1" applyFill="1" applyBorder="1" applyAlignment="1">
      <alignment wrapText="1"/>
    </xf>
    <xf numFmtId="2" fontId="30" fillId="0" borderId="4" xfId="22" applyNumberFormat="1" applyFont="1" applyBorder="1" applyAlignment="1">
      <alignment horizontal="center"/>
    </xf>
    <xf numFmtId="0" fontId="20" fillId="5" borderId="2" xfId="0" quotePrefix="1" applyFont="1" applyFill="1" applyBorder="1" applyAlignment="1">
      <alignment horizontal="right" wrapText="1"/>
    </xf>
    <xf numFmtId="0" fontId="20" fillId="5" borderId="2" xfId="0" applyFont="1" applyFill="1" applyBorder="1" applyAlignment="1">
      <alignment horizontal="left" wrapText="1"/>
    </xf>
    <xf numFmtId="0" fontId="21" fillId="5" borderId="2" xfId="0" quotePrefix="1" applyFont="1" applyFill="1" applyBorder="1" applyAlignment="1">
      <alignment horizontal="left" wrapText="1"/>
    </xf>
    <xf numFmtId="0" fontId="21" fillId="5" borderId="2" xfId="0" applyFont="1" applyFill="1" applyBorder="1" applyAlignment="1">
      <alignment horizontal="left" wrapText="1"/>
    </xf>
    <xf numFmtId="2" fontId="30" fillId="0" borderId="0" xfId="22" applyNumberFormat="1" applyFont="1" applyAlignment="1">
      <alignment horizontal="center"/>
    </xf>
    <xf numFmtId="0" fontId="13" fillId="5" borderId="2" xfId="0" quotePrefix="1" applyFont="1" applyFill="1" applyBorder="1" applyAlignment="1">
      <alignment horizontal="right" wrapText="1"/>
    </xf>
    <xf numFmtId="0" fontId="13" fillId="7" borderId="2" xfId="0" quotePrefix="1" applyFont="1" applyFill="1" applyBorder="1" applyAlignment="1">
      <alignment horizontal="left" wrapText="1"/>
    </xf>
    <xf numFmtId="0" fontId="13" fillId="7" borderId="2" xfId="0" applyFont="1" applyFill="1" applyBorder="1" applyAlignment="1">
      <alignment horizontal="left" wrapText="1"/>
    </xf>
    <xf numFmtId="0" fontId="13" fillId="7" borderId="2" xfId="0" applyFont="1" applyFill="1" applyBorder="1" applyAlignment="1">
      <alignment horizontal="center" wrapText="1"/>
    </xf>
    <xf numFmtId="2" fontId="13" fillId="5" borderId="2" xfId="0" quotePrefix="1" applyNumberFormat="1" applyFont="1" applyFill="1" applyBorder="1" applyAlignment="1">
      <alignment horizontal="left" wrapText="1"/>
    </xf>
    <xf numFmtId="0" fontId="20" fillId="7" borderId="2" xfId="0" quotePrefix="1" applyFont="1" applyFill="1" applyBorder="1" applyAlignment="1">
      <alignment horizontal="right" wrapText="1"/>
    </xf>
    <xf numFmtId="0" fontId="20" fillId="7" borderId="2" xfId="0" applyFont="1" applyFill="1" applyBorder="1" applyAlignment="1">
      <alignment horizontal="left" wrapText="1"/>
    </xf>
    <xf numFmtId="2" fontId="13" fillId="5" borderId="2" xfId="0" applyNumberFormat="1" applyFont="1" applyFill="1" applyBorder="1" applyAlignment="1">
      <alignment horizontal="center" wrapText="1"/>
    </xf>
    <xf numFmtId="0" fontId="13" fillId="5" borderId="2" xfId="0" quotePrefix="1" applyFont="1" applyFill="1" applyBorder="1" applyAlignment="1">
      <alignment horizontal="center" wrapText="1"/>
    </xf>
    <xf numFmtId="0" fontId="34" fillId="5" borderId="2" xfId="0" quotePrefix="1" applyFont="1" applyFill="1" applyBorder="1" applyAlignment="1">
      <alignment horizontal="left" wrapText="1"/>
    </xf>
    <xf numFmtId="0" fontId="34" fillId="5" borderId="2" xfId="0" applyFont="1" applyFill="1" applyBorder="1" applyAlignment="1">
      <alignment horizontal="left" wrapText="1"/>
    </xf>
    <xf numFmtId="0" fontId="34" fillId="5" borderId="2" xfId="0" applyFont="1" applyFill="1" applyBorder="1" applyAlignment="1">
      <alignment horizontal="center" wrapText="1"/>
    </xf>
    <xf numFmtId="166" fontId="34" fillId="6" borderId="2" xfId="0" applyNumberFormat="1" applyFont="1" applyFill="1" applyBorder="1" applyAlignment="1">
      <alignment horizontal="center" wrapText="1"/>
    </xf>
    <xf numFmtId="166" fontId="34" fillId="5" borderId="2" xfId="0" applyNumberFormat="1" applyFont="1" applyFill="1" applyBorder="1" applyAlignment="1">
      <alignment horizontal="center" wrapText="1"/>
    </xf>
    <xf numFmtId="0" fontId="20" fillId="5" borderId="2" xfId="0" applyFont="1" applyFill="1" applyBorder="1" applyAlignment="1">
      <alignment horizontal="right" wrapText="1"/>
    </xf>
    <xf numFmtId="0" fontId="13" fillId="5" borderId="2" xfId="0" applyFont="1" applyFill="1" applyBorder="1" applyAlignment="1">
      <alignment horizontal="right" wrapText="1"/>
    </xf>
    <xf numFmtId="0" fontId="20" fillId="7" borderId="2" xfId="0" applyFont="1" applyFill="1" applyBorder="1" applyAlignment="1">
      <alignment horizontal="right" wrapText="1"/>
    </xf>
    <xf numFmtId="0" fontId="30" fillId="7" borderId="4" xfId="22" applyFont="1" applyFill="1" applyBorder="1" applyAlignment="1">
      <alignment horizontal="center"/>
    </xf>
    <xf numFmtId="0" fontId="20" fillId="5" borderId="9" xfId="0" applyFont="1" applyFill="1" applyBorder="1" applyAlignment="1">
      <alignment wrapText="1"/>
    </xf>
    <xf numFmtId="0" fontId="35" fillId="5" borderId="2" xfId="0" quotePrefix="1" applyFont="1" applyFill="1" applyBorder="1" applyAlignment="1">
      <alignment horizontal="left" wrapText="1"/>
    </xf>
    <xf numFmtId="0" fontId="35" fillId="5" borderId="2" xfId="0" applyFont="1" applyFill="1" applyBorder="1" applyAlignment="1">
      <alignment horizontal="left" wrapText="1"/>
    </xf>
    <xf numFmtId="0" fontId="13" fillId="6" borderId="2" xfId="0" applyFont="1" applyFill="1" applyBorder="1" applyAlignment="1">
      <alignment horizontal="center" wrapText="1"/>
    </xf>
    <xf numFmtId="166" fontId="13" fillId="7" borderId="2" xfId="0" applyNumberFormat="1" applyFont="1" applyFill="1" applyBorder="1" applyAlignment="1">
      <alignment horizontal="center" wrapText="1"/>
    </xf>
    <xf numFmtId="2" fontId="30" fillId="7" borderId="2" xfId="22" applyNumberFormat="1" applyFont="1" applyFill="1" applyBorder="1" applyAlignment="1">
      <alignment horizontal="center"/>
    </xf>
    <xf numFmtId="49" fontId="30" fillId="7" borderId="2" xfId="22" applyNumberFormat="1" applyFont="1" applyFill="1" applyBorder="1" applyAlignment="1">
      <alignment horizontal="center"/>
    </xf>
    <xf numFmtId="0" fontId="32" fillId="7" borderId="2" xfId="0" applyFont="1" applyFill="1" applyBorder="1" applyAlignment="1">
      <alignment horizontal="center" wrapText="1"/>
    </xf>
    <xf numFmtId="0" fontId="13" fillId="7" borderId="2" xfId="0" quotePrefix="1" applyFont="1" applyFill="1" applyBorder="1" applyAlignment="1">
      <alignment horizontal="right" wrapText="1"/>
    </xf>
    <xf numFmtId="2" fontId="35" fillId="5" borderId="2" xfId="0" quotePrefix="1" applyNumberFormat="1" applyFont="1" applyFill="1" applyBorder="1" applyAlignment="1">
      <alignment horizontal="left" wrapText="1"/>
    </xf>
    <xf numFmtId="166" fontId="33" fillId="7" borderId="0" xfId="22" applyNumberFormat="1" applyFont="1" applyFill="1"/>
    <xf numFmtId="2" fontId="13" fillId="5" borderId="8" xfId="0" quotePrefix="1" applyNumberFormat="1" applyFont="1" applyFill="1" applyBorder="1" applyAlignment="1">
      <alignment horizontal="left" wrapText="1"/>
    </xf>
    <xf numFmtId="0" fontId="13" fillId="5" borderId="8" xfId="0" quotePrefix="1" applyFont="1" applyFill="1" applyBorder="1" applyAlignment="1">
      <alignment horizontal="right" wrapText="1"/>
    </xf>
    <xf numFmtId="2" fontId="13" fillId="5" borderId="2" xfId="0" applyNumberFormat="1" applyFont="1" applyFill="1" applyBorder="1" applyAlignment="1">
      <alignment wrapText="1"/>
    </xf>
    <xf numFmtId="166" fontId="13" fillId="5" borderId="2" xfId="0" applyNumberFormat="1" applyFont="1" applyFill="1" applyBorder="1" applyAlignment="1">
      <alignment wrapText="1"/>
    </xf>
    <xf numFmtId="166" fontId="30" fillId="6" borderId="0" xfId="22" applyNumberFormat="1" applyFont="1" applyFill="1" applyAlignment="1">
      <alignment horizontal="center"/>
    </xf>
    <xf numFmtId="0" fontId="21" fillId="5" borderId="2" xfId="0" quotePrefix="1" applyFont="1" applyFill="1" applyBorder="1" applyAlignment="1">
      <alignment horizontal="center" wrapText="1"/>
    </xf>
    <xf numFmtId="166" fontId="31" fillId="0" borderId="0" xfId="22" applyNumberFormat="1" applyFont="1"/>
    <xf numFmtId="49" fontId="36" fillId="0" borderId="0" xfId="22" applyNumberFormat="1" applyFont="1"/>
    <xf numFmtId="0" fontId="3" fillId="5" borderId="2" xfId="0" applyFont="1" applyFill="1" applyBorder="1"/>
    <xf numFmtId="166" fontId="3" fillId="6" borderId="2" xfId="0" applyNumberFormat="1" applyFont="1" applyFill="1" applyBorder="1"/>
    <xf numFmtId="166" fontId="3" fillId="5" borderId="2" xfId="0" applyNumberFormat="1" applyFont="1" applyFill="1" applyBorder="1"/>
    <xf numFmtId="1" fontId="33" fillId="0" borderId="0" xfId="22" applyNumberFormat="1" applyFont="1"/>
    <xf numFmtId="0" fontId="19" fillId="0" borderId="2" xfId="23" applyFont="1" applyBorder="1" applyAlignment="1">
      <alignment horizontal="center"/>
    </xf>
    <xf numFmtId="166" fontId="13" fillId="6" borderId="2" xfId="0" applyNumberFormat="1" applyFont="1" applyFill="1" applyBorder="1" applyAlignment="1">
      <alignment horizontal="right" wrapText="1"/>
    </xf>
    <xf numFmtId="2" fontId="30" fillId="0" borderId="10" xfId="22" applyNumberFormat="1" applyFont="1" applyBorder="1" applyAlignment="1">
      <alignment horizontal="center"/>
    </xf>
    <xf numFmtId="0" fontId="19" fillId="0" borderId="2" xfId="23" applyFont="1" applyBorder="1" applyAlignment="1">
      <alignment horizontal="right"/>
    </xf>
    <xf numFmtId="0" fontId="37" fillId="0" borderId="2" xfId="22" applyFont="1" applyBorder="1" applyAlignment="1">
      <alignment horizontal="left"/>
    </xf>
    <xf numFmtId="166" fontId="30" fillId="6" borderId="2" xfId="22" applyNumberFormat="1" applyFont="1" applyFill="1" applyBorder="1" applyAlignment="1">
      <alignment horizontal="center"/>
    </xf>
    <xf numFmtId="166" fontId="30" fillId="5" borderId="2" xfId="22" applyNumberFormat="1" applyFont="1" applyFill="1" applyBorder="1" applyAlignment="1">
      <alignment horizontal="center"/>
    </xf>
    <xf numFmtId="0" fontId="30" fillId="0" borderId="2" xfId="22" applyFont="1" applyBorder="1" applyAlignment="1">
      <alignment wrapText="1"/>
    </xf>
    <xf numFmtId="0" fontId="30" fillId="0" borderId="0" xfId="22" applyFont="1" applyAlignment="1">
      <alignment horizontal="center"/>
    </xf>
    <xf numFmtId="2" fontId="21" fillId="5" borderId="8" xfId="0" quotePrefix="1" applyNumberFormat="1" applyFont="1" applyFill="1" applyBorder="1" applyAlignment="1">
      <alignment horizontal="left" wrapText="1"/>
    </xf>
    <xf numFmtId="2" fontId="20" fillId="5" borderId="8" xfId="0" quotePrefix="1" applyNumberFormat="1" applyFont="1" applyFill="1" applyBorder="1" applyAlignment="1">
      <alignment horizontal="right" wrapText="1"/>
    </xf>
    <xf numFmtId="0" fontId="13" fillId="5" borderId="9" xfId="0" applyFont="1" applyFill="1" applyBorder="1" applyAlignment="1">
      <alignment wrapText="1"/>
    </xf>
    <xf numFmtId="2" fontId="13" fillId="5" borderId="2" xfId="0" applyNumberFormat="1" applyFont="1" applyFill="1" applyBorder="1" applyAlignment="1">
      <alignment horizontal="left" wrapText="1"/>
    </xf>
    <xf numFmtId="0" fontId="33" fillId="0" borderId="0" xfId="22" applyFont="1"/>
    <xf numFmtId="0" fontId="30" fillId="0" borderId="4" xfId="22" applyFont="1" applyBorder="1" applyAlignment="1">
      <alignment horizontal="left"/>
    </xf>
    <xf numFmtId="0" fontId="13" fillId="5" borderId="8" xfId="0" applyFont="1" applyFill="1" applyBorder="1" applyAlignment="1">
      <alignment horizontal="left" wrapText="1"/>
    </xf>
    <xf numFmtId="0" fontId="13" fillId="5" borderId="11" xfId="0" applyFont="1" applyFill="1" applyBorder="1" applyAlignment="1">
      <alignment horizontal="left" wrapText="1"/>
    </xf>
    <xf numFmtId="0" fontId="13" fillId="5" borderId="12" xfId="0" applyFont="1" applyFill="1" applyBorder="1" applyAlignment="1">
      <alignment horizontal="left" wrapText="1"/>
    </xf>
    <xf numFmtId="0" fontId="13" fillId="5" borderId="12" xfId="0" applyFont="1" applyFill="1" applyBorder="1" applyAlignment="1">
      <alignment horizontal="center" wrapText="1"/>
    </xf>
    <xf numFmtId="2" fontId="13" fillId="7" borderId="8" xfId="0" applyNumberFormat="1" applyFont="1" applyFill="1" applyBorder="1" applyAlignment="1">
      <alignment horizontal="left" wrapText="1"/>
    </xf>
    <xf numFmtId="0" fontId="13" fillId="7" borderId="12" xfId="0" applyFont="1" applyFill="1" applyBorder="1" applyAlignment="1">
      <alignment horizontal="left" wrapText="1"/>
    </xf>
    <xf numFmtId="0" fontId="13" fillId="7" borderId="12" xfId="0" applyFont="1" applyFill="1" applyBorder="1" applyAlignment="1">
      <alignment horizontal="center" wrapText="1"/>
    </xf>
    <xf numFmtId="0" fontId="30" fillId="7" borderId="4" xfId="22" applyFont="1" applyFill="1" applyBorder="1"/>
    <xf numFmtId="0" fontId="13" fillId="5" borderId="13" xfId="0" applyFont="1" applyFill="1" applyBorder="1" applyAlignment="1">
      <alignment horizontal="left" wrapText="1"/>
    </xf>
    <xf numFmtId="0" fontId="13" fillId="5" borderId="11" xfId="0" applyFont="1" applyFill="1" applyBorder="1" applyAlignment="1">
      <alignment horizontal="center" wrapText="1"/>
    </xf>
    <xf numFmtId="0" fontId="22" fillId="5" borderId="11" xfId="0" applyFont="1" applyFill="1" applyBorder="1" applyAlignment="1">
      <alignment horizontal="left" wrapText="1"/>
    </xf>
    <xf numFmtId="0" fontId="22" fillId="5" borderId="12" xfId="0" applyFont="1" applyFill="1" applyBorder="1" applyAlignment="1">
      <alignment horizontal="left" wrapText="1"/>
    </xf>
    <xf numFmtId="166" fontId="30" fillId="0" borderId="14" xfId="22" applyNumberFormat="1" applyFont="1" applyBorder="1" applyAlignment="1">
      <alignment horizontal="center"/>
    </xf>
    <xf numFmtId="0" fontId="22" fillId="5" borderId="11" xfId="0" applyFont="1" applyFill="1" applyBorder="1" applyAlignment="1">
      <alignment horizontal="right" wrapText="1"/>
    </xf>
    <xf numFmtId="0" fontId="38" fillId="5" borderId="14" xfId="0" applyFont="1" applyFill="1" applyBorder="1" applyAlignment="1">
      <alignment horizontal="right" wrapText="1"/>
    </xf>
    <xf numFmtId="0" fontId="30" fillId="0" borderId="2" xfId="5" applyNumberFormat="1" applyFont="1" applyFill="1" applyBorder="1" applyAlignment="1" applyProtection="1">
      <alignment horizontal="center"/>
      <protection locked="0"/>
    </xf>
    <xf numFmtId="0" fontId="37" fillId="0" borderId="2" xfId="22" applyFont="1" applyBorder="1" applyAlignment="1">
      <alignment horizontal="center"/>
    </xf>
    <xf numFmtId="0" fontId="38" fillId="5" borderId="2" xfId="0" applyFont="1" applyFill="1" applyBorder="1" applyAlignment="1">
      <alignment horizontal="right" wrapText="1"/>
    </xf>
    <xf numFmtId="1" fontId="37" fillId="0" borderId="2" xfId="22" applyNumberFormat="1" applyFont="1" applyBorder="1" applyAlignment="1">
      <alignment horizontal="center"/>
    </xf>
    <xf numFmtId="0" fontId="19" fillId="0" borderId="2" xfId="0" applyFont="1" applyBorder="1"/>
    <xf numFmtId="0" fontId="19" fillId="0" borderId="2" xfId="0" applyFont="1" applyBorder="1" applyAlignment="1">
      <alignment horizontal="center"/>
    </xf>
    <xf numFmtId="0" fontId="19" fillId="0" borderId="2" xfId="0" applyFont="1" applyBorder="1" applyAlignment="1">
      <alignment wrapText="1"/>
    </xf>
    <xf numFmtId="0" fontId="15" fillId="0" borderId="2" xfId="0" applyFont="1" applyBorder="1" applyAlignment="1">
      <alignment horizontal="center"/>
    </xf>
    <xf numFmtId="1" fontId="37" fillId="6" borderId="2" xfId="22" applyNumberFormat="1" applyFont="1" applyFill="1" applyBorder="1" applyAlignment="1">
      <alignment horizontal="center"/>
    </xf>
    <xf numFmtId="49" fontId="30" fillId="8" borderId="0" xfId="22" applyNumberFormat="1" applyFont="1" applyFill="1"/>
    <xf numFmtId="0" fontId="30" fillId="8" borderId="2" xfId="22" applyFont="1" applyFill="1" applyBorder="1" applyAlignment="1">
      <alignment horizontal="left"/>
    </xf>
    <xf numFmtId="0" fontId="30" fillId="8" borderId="2" xfId="22" applyFont="1" applyFill="1" applyBorder="1"/>
    <xf numFmtId="0" fontId="30" fillId="8" borderId="2" xfId="22" applyFont="1" applyFill="1" applyBorder="1" applyAlignment="1">
      <alignment horizontal="center"/>
    </xf>
    <xf numFmtId="0" fontId="39" fillId="6" borderId="2" xfId="22" applyFont="1" applyFill="1" applyBorder="1" applyAlignment="1">
      <alignment horizontal="center"/>
    </xf>
    <xf numFmtId="0" fontId="39" fillId="5" borderId="2" xfId="22" applyFont="1" applyFill="1" applyBorder="1" applyAlignment="1">
      <alignment horizontal="center"/>
    </xf>
    <xf numFmtId="0" fontId="38" fillId="8" borderId="14" xfId="0" applyFont="1" applyFill="1" applyBorder="1" applyAlignment="1">
      <alignment horizontal="right" wrapText="1"/>
    </xf>
    <xf numFmtId="1" fontId="30" fillId="8" borderId="2" xfId="22" applyNumberFormat="1" applyFont="1" applyFill="1" applyBorder="1" applyAlignment="1">
      <alignment horizontal="center"/>
    </xf>
    <xf numFmtId="0" fontId="30" fillId="8" borderId="4" xfId="22" applyFont="1" applyFill="1" applyBorder="1"/>
    <xf numFmtId="49" fontId="30" fillId="8" borderId="2" xfId="22" applyNumberFormat="1" applyFont="1" applyFill="1" applyBorder="1" applyAlignment="1">
      <alignment horizontal="center"/>
    </xf>
    <xf numFmtId="1" fontId="31" fillId="8" borderId="2" xfId="22" applyNumberFormat="1" applyFont="1" applyFill="1" applyBorder="1" applyAlignment="1">
      <alignment horizontal="center"/>
    </xf>
    <xf numFmtId="0" fontId="30" fillId="8" borderId="0" xfId="22" applyFont="1" applyFill="1"/>
    <xf numFmtId="0" fontId="30" fillId="0" borderId="0" xfId="22" applyFont="1" applyAlignment="1">
      <alignment horizontal="left"/>
    </xf>
    <xf numFmtId="0" fontId="30" fillId="6" borderId="0" xfId="22" applyFont="1" applyFill="1" applyAlignment="1">
      <alignment horizontal="center"/>
    </xf>
    <xf numFmtId="0" fontId="30" fillId="5" borderId="0" xfId="22" applyFont="1" applyFill="1" applyAlignment="1">
      <alignment horizontal="center"/>
    </xf>
    <xf numFmtId="171" fontId="30" fillId="0" borderId="0" xfId="4" applyNumberFormat="1" applyFont="1" applyFill="1" applyAlignment="1"/>
    <xf numFmtId="1" fontId="30" fillId="0" borderId="0" xfId="22" applyNumberFormat="1" applyFont="1"/>
    <xf numFmtId="0" fontId="30" fillId="6" borderId="2" xfId="22" applyFont="1" applyFill="1" applyBorder="1" applyAlignment="1">
      <alignment horizontal="center"/>
    </xf>
    <xf numFmtId="49" fontId="30" fillId="9" borderId="0" xfId="22" applyNumberFormat="1" applyFont="1" applyFill="1"/>
    <xf numFmtId="0" fontId="13" fillId="9" borderId="2" xfId="0" quotePrefix="1" applyFont="1" applyFill="1" applyBorder="1" applyAlignment="1">
      <alignment horizontal="left" wrapText="1"/>
    </xf>
    <xf numFmtId="0" fontId="13" fillId="9" borderId="2" xfId="0" applyFont="1" applyFill="1" applyBorder="1" applyAlignment="1">
      <alignment horizontal="left" wrapText="1"/>
    </xf>
    <xf numFmtId="0" fontId="13" fillId="9" borderId="2" xfId="0" applyFont="1" applyFill="1" applyBorder="1" applyAlignment="1">
      <alignment horizontal="center" wrapText="1"/>
    </xf>
    <xf numFmtId="166" fontId="13" fillId="9" borderId="2" xfId="0" applyNumberFormat="1" applyFont="1" applyFill="1" applyBorder="1" applyAlignment="1">
      <alignment horizontal="center" wrapText="1"/>
    </xf>
    <xf numFmtId="166" fontId="13" fillId="9" borderId="4" xfId="0" applyNumberFormat="1" applyFont="1" applyFill="1" applyBorder="1" applyAlignment="1">
      <alignment horizontal="center" wrapText="1"/>
    </xf>
    <xf numFmtId="2" fontId="30" fillId="9" borderId="2" xfId="22" applyNumberFormat="1" applyFont="1" applyFill="1" applyBorder="1" applyAlignment="1">
      <alignment horizontal="center"/>
    </xf>
    <xf numFmtId="166" fontId="30" fillId="9" borderId="4" xfId="22" applyNumberFormat="1" applyFont="1" applyFill="1" applyBorder="1" applyAlignment="1">
      <alignment horizontal="center"/>
    </xf>
    <xf numFmtId="166" fontId="30" fillId="9" borderId="2" xfId="22" applyNumberFormat="1" applyFont="1" applyFill="1" applyBorder="1" applyAlignment="1">
      <alignment horizontal="center"/>
    </xf>
    <xf numFmtId="0" fontId="30" fillId="9" borderId="4" xfId="22" applyFont="1" applyFill="1" applyBorder="1"/>
    <xf numFmtId="49" fontId="30" fillId="9" borderId="2" xfId="22" applyNumberFormat="1" applyFont="1" applyFill="1" applyBorder="1" applyAlignment="1">
      <alignment horizontal="center"/>
    </xf>
    <xf numFmtId="0" fontId="32" fillId="9" borderId="2" xfId="0" applyFont="1" applyFill="1" applyBorder="1" applyAlignment="1">
      <alignment horizontal="center" wrapText="1"/>
    </xf>
    <xf numFmtId="0" fontId="31" fillId="9" borderId="0" xfId="22" applyFont="1" applyFill="1"/>
    <xf numFmtId="0" fontId="30" fillId="9" borderId="0" xfId="22" applyFont="1" applyFill="1"/>
    <xf numFmtId="0" fontId="21" fillId="9" borderId="2" xfId="0" quotePrefix="1" applyFont="1" applyFill="1" applyBorder="1" applyAlignment="1">
      <alignment horizontal="left" wrapText="1"/>
    </xf>
    <xf numFmtId="0" fontId="20" fillId="9" borderId="2" xfId="0" applyFont="1" applyFill="1" applyBorder="1" applyAlignment="1">
      <alignment horizontal="left" wrapText="1"/>
    </xf>
    <xf numFmtId="0" fontId="30" fillId="9" borderId="4" xfId="22" applyFont="1" applyFill="1" applyBorder="1" applyAlignment="1">
      <alignment horizontal="center"/>
    </xf>
    <xf numFmtId="171" fontId="25" fillId="0" borderId="2" xfId="2" applyNumberFormat="1" applyFont="1" applyFill="1" applyBorder="1" applyAlignment="1">
      <alignment vertical="center"/>
    </xf>
    <xf numFmtId="0" fontId="26" fillId="5" borderId="4" xfId="0" applyFont="1" applyFill="1" applyBorder="1" applyAlignment="1">
      <alignment horizontal="center" vertical="center"/>
    </xf>
    <xf numFmtId="0" fontId="26" fillId="5" borderId="14" xfId="0" applyFont="1" applyFill="1" applyBorder="1" applyAlignment="1">
      <alignment horizontal="center" vertical="center"/>
    </xf>
    <xf numFmtId="0" fontId="26" fillId="5" borderId="10" xfId="0" applyFont="1" applyFill="1" applyBorder="1" applyAlignment="1">
      <alignment horizontal="center" vertical="center"/>
    </xf>
    <xf numFmtId="171" fontId="30" fillId="0" borderId="15" xfId="4" applyNumberFormat="1" applyFont="1" applyFill="1" applyBorder="1" applyAlignment="1">
      <alignment horizontal="center"/>
    </xf>
    <xf numFmtId="171" fontId="30" fillId="0" borderId="5" xfId="4" applyNumberFormat="1" applyFont="1" applyFill="1" applyBorder="1" applyAlignment="1">
      <alignment horizontal="center"/>
    </xf>
    <xf numFmtId="0" fontId="32" fillId="6" borderId="1" xfId="0" applyFont="1" applyFill="1" applyBorder="1" applyAlignment="1">
      <alignment horizontal="center" wrapText="1"/>
    </xf>
    <xf numFmtId="0" fontId="32" fillId="6" borderId="16" xfId="0" applyFont="1" applyFill="1" applyBorder="1" applyAlignment="1">
      <alignment horizontal="center" wrapText="1"/>
    </xf>
    <xf numFmtId="0" fontId="32" fillId="6" borderId="1" xfId="0" applyFont="1" applyFill="1" applyBorder="1" applyAlignment="1">
      <alignment horizontal="center"/>
    </xf>
    <xf numFmtId="0" fontId="32" fillId="6" borderId="16" xfId="0" applyFont="1" applyFill="1" applyBorder="1" applyAlignment="1">
      <alignment horizontal="center"/>
    </xf>
    <xf numFmtId="0" fontId="32" fillId="5" borderId="1" xfId="0" applyFont="1" applyFill="1" applyBorder="1" applyAlignment="1">
      <alignment horizontal="center" wrapText="1"/>
    </xf>
    <xf numFmtId="0" fontId="32" fillId="5" borderId="16" xfId="0" applyFont="1" applyFill="1" applyBorder="1" applyAlignment="1">
      <alignment horizontal="center" wrapText="1"/>
    </xf>
    <xf numFmtId="49" fontId="14" fillId="0" borderId="2" xfId="24" applyNumberFormat="1" applyFont="1" applyBorder="1" applyAlignment="1">
      <alignment horizontal="center" wrapText="1"/>
    </xf>
    <xf numFmtId="0" fontId="38" fillId="8" borderId="4" xfId="0" applyFont="1" applyFill="1" applyBorder="1" applyAlignment="1">
      <alignment horizontal="right" wrapText="1"/>
    </xf>
    <xf numFmtId="0" fontId="38" fillId="8" borderId="10" xfId="0" applyFont="1" applyFill="1" applyBorder="1" applyAlignment="1">
      <alignment horizontal="right" wrapText="1"/>
    </xf>
    <xf numFmtId="1" fontId="14" fillId="0" borderId="1" xfId="24" applyNumberFormat="1" applyFont="1" applyBorder="1" applyAlignment="1">
      <alignment horizontal="center" wrapText="1"/>
    </xf>
    <xf numFmtId="1" fontId="14" fillId="0" borderId="16" xfId="24" applyNumberFormat="1" applyFont="1" applyBorder="1" applyAlignment="1">
      <alignment horizontal="center" wrapText="1"/>
    </xf>
    <xf numFmtId="171" fontId="30" fillId="0" borderId="2" xfId="4" applyNumberFormat="1" applyFont="1" applyFill="1" applyBorder="1" applyAlignment="1">
      <alignment horizontal="center"/>
    </xf>
    <xf numFmtId="171" fontId="30" fillId="0" borderId="4" xfId="4" applyNumberFormat="1" applyFont="1" applyFill="1" applyBorder="1" applyAlignment="1">
      <alignment horizontal="center"/>
    </xf>
    <xf numFmtId="0" fontId="32" fillId="6" borderId="2" xfId="0" applyFont="1" applyFill="1" applyBorder="1" applyAlignment="1">
      <alignment horizontal="center" wrapText="1"/>
    </xf>
    <xf numFmtId="1" fontId="14" fillId="0" borderId="2" xfId="24" applyNumberFormat="1" applyFont="1" applyBorder="1" applyAlignment="1">
      <alignment horizontal="center" wrapText="1"/>
    </xf>
    <xf numFmtId="1" fontId="14" fillId="0" borderId="2" xfId="24" applyNumberFormat="1" applyFont="1" applyBorder="1" applyAlignment="1">
      <alignment horizontal="center"/>
    </xf>
    <xf numFmtId="49" fontId="30" fillId="0" borderId="2" xfId="22" applyNumberFormat="1" applyFont="1" applyBorder="1" applyAlignment="1">
      <alignment horizontal="center"/>
    </xf>
    <xf numFmtId="1" fontId="14" fillId="0" borderId="15" xfId="24" applyNumberFormat="1" applyFont="1" applyBorder="1" applyAlignment="1">
      <alignment horizontal="center" wrapText="1"/>
    </xf>
    <xf numFmtId="1" fontId="14" fillId="0" borderId="5" xfId="24" applyNumberFormat="1" applyFont="1" applyBorder="1" applyAlignment="1">
      <alignment horizontal="center" wrapText="1"/>
    </xf>
  </cellXfs>
  <cellStyles count="31">
    <cellStyle name="_Estimation" xfId="1" xr:uid="{00000000-0005-0000-0000-000000000000}"/>
    <cellStyle name="Comma" xfId="2" builtinId="3"/>
    <cellStyle name="Comma 2" xfId="3" xr:uid="{00000000-0005-0000-0000-000002000000}"/>
    <cellStyle name="Comma 3" xfId="4" xr:uid="{00000000-0005-0000-0000-000003000000}"/>
    <cellStyle name="Comma 3 2" xfId="5" xr:uid="{00000000-0005-0000-0000-000004000000}"/>
    <cellStyle name="date" xfId="6" xr:uid="{00000000-0005-0000-0000-000005000000}"/>
    <cellStyle name="date1" xfId="7" xr:uid="{00000000-0005-0000-0000-000006000000}"/>
    <cellStyle name="Description" xfId="8" xr:uid="{00000000-0005-0000-0000-000007000000}"/>
    <cellStyle name="Grey" xfId="9" xr:uid="{00000000-0005-0000-0000-000008000000}"/>
    <cellStyle name="Input [yellow]" xfId="10" xr:uid="{00000000-0005-0000-0000-000009000000}"/>
    <cellStyle name="MS_Arabic" xfId="11" xr:uid="{00000000-0005-0000-0000-00000A000000}"/>
    <cellStyle name="Normal" xfId="0" builtinId="0"/>
    <cellStyle name="Normal - Style1" xfId="12" xr:uid="{00000000-0005-0000-0000-00000C000000}"/>
    <cellStyle name="Normal 2" xfId="13" xr:uid="{00000000-0005-0000-0000-00000D000000}"/>
    <cellStyle name="Normal 2 2" xfId="14" xr:uid="{00000000-0005-0000-0000-00000E000000}"/>
    <cellStyle name="Normal 2 2 4" xfId="15" xr:uid="{00000000-0005-0000-0000-00000F000000}"/>
    <cellStyle name="Normal 3" xfId="16" xr:uid="{00000000-0005-0000-0000-000010000000}"/>
    <cellStyle name="Normal 4" xfId="17" xr:uid="{00000000-0005-0000-0000-000011000000}"/>
    <cellStyle name="Normal 5" xfId="18" xr:uid="{00000000-0005-0000-0000-000012000000}"/>
    <cellStyle name="Normal 6" xfId="19" xr:uid="{00000000-0005-0000-0000-000013000000}"/>
    <cellStyle name="Normal 9" xfId="20" xr:uid="{00000000-0005-0000-0000-000014000000}"/>
    <cellStyle name="Normal_Agra-Bharatpur-BOQ 2" xfId="21" xr:uid="{00000000-0005-0000-0000-000015000000}"/>
    <cellStyle name="Normal_Cost Estimate-NH-3-Pac-A" xfId="22" xr:uid="{00000000-0005-0000-0000-000016000000}"/>
    <cellStyle name="Normal_Minor Bridge_Qty_Main_New_Girder" xfId="23" xr:uid="{00000000-0005-0000-0000-000017000000}"/>
    <cellStyle name="Normal_Sheet2" xfId="24" xr:uid="{00000000-0005-0000-0000-000018000000}"/>
    <cellStyle name="Percent [2]" xfId="25" xr:uid="{00000000-0005-0000-0000-000019000000}"/>
    <cellStyle name="Percent 2" xfId="26" xr:uid="{00000000-0005-0000-0000-00001A000000}"/>
    <cellStyle name="Style 1" xfId="27" xr:uid="{00000000-0005-0000-0000-00001B000000}"/>
    <cellStyle name="Times New Roman" xfId="28" xr:uid="{00000000-0005-0000-0000-00001C000000}"/>
    <cellStyle name="year" xfId="29" xr:uid="{00000000-0005-0000-0000-00001D000000}"/>
    <cellStyle name="zero" xfId="30" xr:uid="{00000000-0005-0000-0000-00001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82</xdr:row>
      <xdr:rowOff>0</xdr:rowOff>
    </xdr:from>
    <xdr:to>
      <xdr:col>3</xdr:col>
      <xdr:colOff>104775</xdr:colOff>
      <xdr:row>82</xdr:row>
      <xdr:rowOff>257175</xdr:rowOff>
    </xdr:to>
    <xdr:sp macro="" textlink="">
      <xdr:nvSpPr>
        <xdr:cNvPr id="9829297" name="Text Box 1">
          <a:extLst>
            <a:ext uri="{FF2B5EF4-FFF2-40B4-BE49-F238E27FC236}">
              <a16:creationId xmlns:a16="http://schemas.microsoft.com/office/drawing/2014/main" id="{3F39115E-9028-37C5-A4F4-EC49E873E2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298" name="Text Box 2">
          <a:extLst>
            <a:ext uri="{FF2B5EF4-FFF2-40B4-BE49-F238E27FC236}">
              <a16:creationId xmlns:a16="http://schemas.microsoft.com/office/drawing/2014/main" id="{BF4EC812-9CAB-3C03-F0BF-C2421313D2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299" name="Text Box 3">
          <a:extLst>
            <a:ext uri="{FF2B5EF4-FFF2-40B4-BE49-F238E27FC236}">
              <a16:creationId xmlns:a16="http://schemas.microsoft.com/office/drawing/2014/main" id="{C7C522B7-62DC-9290-224A-23456880B7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0" name="Text Box 4">
          <a:extLst>
            <a:ext uri="{FF2B5EF4-FFF2-40B4-BE49-F238E27FC236}">
              <a16:creationId xmlns:a16="http://schemas.microsoft.com/office/drawing/2014/main" id="{F86EC3BA-4927-6F8A-0F1C-A95631287D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1" name="Text Box 5">
          <a:extLst>
            <a:ext uri="{FF2B5EF4-FFF2-40B4-BE49-F238E27FC236}">
              <a16:creationId xmlns:a16="http://schemas.microsoft.com/office/drawing/2014/main" id="{72ADBEEA-782B-CEEC-4A5F-F7B72E7EB1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2" name="Text Box 6">
          <a:extLst>
            <a:ext uri="{FF2B5EF4-FFF2-40B4-BE49-F238E27FC236}">
              <a16:creationId xmlns:a16="http://schemas.microsoft.com/office/drawing/2014/main" id="{A4634263-4F82-D6C4-9604-F387A4B6A2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3" name="Text Box 7">
          <a:extLst>
            <a:ext uri="{FF2B5EF4-FFF2-40B4-BE49-F238E27FC236}">
              <a16:creationId xmlns:a16="http://schemas.microsoft.com/office/drawing/2014/main" id="{4DED3760-7226-FCD5-1558-D3553FE105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4" name="Text Box 8">
          <a:extLst>
            <a:ext uri="{FF2B5EF4-FFF2-40B4-BE49-F238E27FC236}">
              <a16:creationId xmlns:a16="http://schemas.microsoft.com/office/drawing/2014/main" id="{0421135E-9289-9D35-5086-DC4E3ACD0F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5" name="Text Box 9">
          <a:extLst>
            <a:ext uri="{FF2B5EF4-FFF2-40B4-BE49-F238E27FC236}">
              <a16:creationId xmlns:a16="http://schemas.microsoft.com/office/drawing/2014/main" id="{C3E21301-9A9D-CC29-37DD-44C6AEA780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6" name="Text Box 10">
          <a:extLst>
            <a:ext uri="{FF2B5EF4-FFF2-40B4-BE49-F238E27FC236}">
              <a16:creationId xmlns:a16="http://schemas.microsoft.com/office/drawing/2014/main" id="{9214258C-20C4-79AD-ECFD-B41B2A9C8D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7" name="Text Box 11">
          <a:extLst>
            <a:ext uri="{FF2B5EF4-FFF2-40B4-BE49-F238E27FC236}">
              <a16:creationId xmlns:a16="http://schemas.microsoft.com/office/drawing/2014/main" id="{BCC63BA2-CF08-6198-7805-5376759275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8" name="Text Box 12">
          <a:extLst>
            <a:ext uri="{FF2B5EF4-FFF2-40B4-BE49-F238E27FC236}">
              <a16:creationId xmlns:a16="http://schemas.microsoft.com/office/drawing/2014/main" id="{E6B97048-768D-F356-8C85-7E76EA6BBF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09" name="Text Box 13">
          <a:extLst>
            <a:ext uri="{FF2B5EF4-FFF2-40B4-BE49-F238E27FC236}">
              <a16:creationId xmlns:a16="http://schemas.microsoft.com/office/drawing/2014/main" id="{150E934B-DFA5-8DB6-05C7-3D1C247EA0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0" name="Text Box 14">
          <a:extLst>
            <a:ext uri="{FF2B5EF4-FFF2-40B4-BE49-F238E27FC236}">
              <a16:creationId xmlns:a16="http://schemas.microsoft.com/office/drawing/2014/main" id="{0ED3F03D-D613-09AD-E6ED-8CCE483A0A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1" name="Text Box 15">
          <a:extLst>
            <a:ext uri="{FF2B5EF4-FFF2-40B4-BE49-F238E27FC236}">
              <a16:creationId xmlns:a16="http://schemas.microsoft.com/office/drawing/2014/main" id="{13FA8C55-B5A1-261F-3403-9D6C0BB761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2" name="Text Box 16">
          <a:extLst>
            <a:ext uri="{FF2B5EF4-FFF2-40B4-BE49-F238E27FC236}">
              <a16:creationId xmlns:a16="http://schemas.microsoft.com/office/drawing/2014/main" id="{BCE33B47-6AF6-D689-B246-43DE55653D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3" name="Text Box 17">
          <a:extLst>
            <a:ext uri="{FF2B5EF4-FFF2-40B4-BE49-F238E27FC236}">
              <a16:creationId xmlns:a16="http://schemas.microsoft.com/office/drawing/2014/main" id="{19C1C537-86EF-0FBC-187B-D4001E26D9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4" name="Text Box 18">
          <a:extLst>
            <a:ext uri="{FF2B5EF4-FFF2-40B4-BE49-F238E27FC236}">
              <a16:creationId xmlns:a16="http://schemas.microsoft.com/office/drawing/2014/main" id="{9BD6CF9A-A600-9B33-DFCF-A4043EA8F8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5" name="Text Box 19">
          <a:extLst>
            <a:ext uri="{FF2B5EF4-FFF2-40B4-BE49-F238E27FC236}">
              <a16:creationId xmlns:a16="http://schemas.microsoft.com/office/drawing/2014/main" id="{8D919C06-14EB-4C8C-C00B-36CB27C2EF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6" name="Text Box 20">
          <a:extLst>
            <a:ext uri="{FF2B5EF4-FFF2-40B4-BE49-F238E27FC236}">
              <a16:creationId xmlns:a16="http://schemas.microsoft.com/office/drawing/2014/main" id="{0960AEAD-967D-81BD-1D6A-201044162A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7" name="Text Box 21">
          <a:extLst>
            <a:ext uri="{FF2B5EF4-FFF2-40B4-BE49-F238E27FC236}">
              <a16:creationId xmlns:a16="http://schemas.microsoft.com/office/drawing/2014/main" id="{8B07E1B2-163B-73CA-7489-BE4A4AB8B1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8" name="Text Box 22">
          <a:extLst>
            <a:ext uri="{FF2B5EF4-FFF2-40B4-BE49-F238E27FC236}">
              <a16:creationId xmlns:a16="http://schemas.microsoft.com/office/drawing/2014/main" id="{6F59BAB0-11B8-F15F-B357-5FE1D50D4C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19" name="Text Box 23">
          <a:extLst>
            <a:ext uri="{FF2B5EF4-FFF2-40B4-BE49-F238E27FC236}">
              <a16:creationId xmlns:a16="http://schemas.microsoft.com/office/drawing/2014/main" id="{7F371B5D-B9E1-4879-3C4C-2E5C991EED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0" name="Text Box 24">
          <a:extLst>
            <a:ext uri="{FF2B5EF4-FFF2-40B4-BE49-F238E27FC236}">
              <a16:creationId xmlns:a16="http://schemas.microsoft.com/office/drawing/2014/main" id="{EC63B2E0-739D-EC5F-C809-2C4D8CEB43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1" name="Text Box 25">
          <a:extLst>
            <a:ext uri="{FF2B5EF4-FFF2-40B4-BE49-F238E27FC236}">
              <a16:creationId xmlns:a16="http://schemas.microsoft.com/office/drawing/2014/main" id="{84960C58-2134-C17D-590A-3F89C5E629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2" name="Text Box 26">
          <a:extLst>
            <a:ext uri="{FF2B5EF4-FFF2-40B4-BE49-F238E27FC236}">
              <a16:creationId xmlns:a16="http://schemas.microsoft.com/office/drawing/2014/main" id="{A39D2E44-23B3-62AA-3714-2215122463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3" name="Text Box 27">
          <a:extLst>
            <a:ext uri="{FF2B5EF4-FFF2-40B4-BE49-F238E27FC236}">
              <a16:creationId xmlns:a16="http://schemas.microsoft.com/office/drawing/2014/main" id="{7E50CB24-700A-B6E9-DBBB-458E8E64BF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4" name="Text Box 28">
          <a:extLst>
            <a:ext uri="{FF2B5EF4-FFF2-40B4-BE49-F238E27FC236}">
              <a16:creationId xmlns:a16="http://schemas.microsoft.com/office/drawing/2014/main" id="{A4AA0C59-4900-C8CB-01A8-904026DC90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5" name="Text Box 29">
          <a:extLst>
            <a:ext uri="{FF2B5EF4-FFF2-40B4-BE49-F238E27FC236}">
              <a16:creationId xmlns:a16="http://schemas.microsoft.com/office/drawing/2014/main" id="{500C8B75-672B-5A0C-133B-D5AB620935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6" name="Text Box 30">
          <a:extLst>
            <a:ext uri="{FF2B5EF4-FFF2-40B4-BE49-F238E27FC236}">
              <a16:creationId xmlns:a16="http://schemas.microsoft.com/office/drawing/2014/main" id="{3D24C01A-A56D-B9A6-11AF-1E16141532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7" name="Text Box 31">
          <a:extLst>
            <a:ext uri="{FF2B5EF4-FFF2-40B4-BE49-F238E27FC236}">
              <a16:creationId xmlns:a16="http://schemas.microsoft.com/office/drawing/2014/main" id="{41A2E154-5544-B274-A56E-417323BDB1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8" name="Text Box 32">
          <a:extLst>
            <a:ext uri="{FF2B5EF4-FFF2-40B4-BE49-F238E27FC236}">
              <a16:creationId xmlns:a16="http://schemas.microsoft.com/office/drawing/2014/main" id="{F5A488A5-11D4-267A-A581-56057862F4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29" name="Text Box 33">
          <a:extLst>
            <a:ext uri="{FF2B5EF4-FFF2-40B4-BE49-F238E27FC236}">
              <a16:creationId xmlns:a16="http://schemas.microsoft.com/office/drawing/2014/main" id="{CBC29CD5-C645-D27C-4E7D-396EDF682B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0" name="Text Box 34">
          <a:extLst>
            <a:ext uri="{FF2B5EF4-FFF2-40B4-BE49-F238E27FC236}">
              <a16:creationId xmlns:a16="http://schemas.microsoft.com/office/drawing/2014/main" id="{1CAD0C05-A938-B1EF-CC72-94EE48C492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1" name="Text Box 35">
          <a:extLst>
            <a:ext uri="{FF2B5EF4-FFF2-40B4-BE49-F238E27FC236}">
              <a16:creationId xmlns:a16="http://schemas.microsoft.com/office/drawing/2014/main" id="{831AB5A1-561A-B123-1CA5-D7FB313215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2" name="Text Box 36">
          <a:extLst>
            <a:ext uri="{FF2B5EF4-FFF2-40B4-BE49-F238E27FC236}">
              <a16:creationId xmlns:a16="http://schemas.microsoft.com/office/drawing/2014/main" id="{2BB84C25-7B1E-FE53-314F-7AAE33F377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3" name="Text Box 37">
          <a:extLst>
            <a:ext uri="{FF2B5EF4-FFF2-40B4-BE49-F238E27FC236}">
              <a16:creationId xmlns:a16="http://schemas.microsoft.com/office/drawing/2014/main" id="{1F1E7BAD-9C56-0225-307B-33153B30B0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4" name="Text Box 38">
          <a:extLst>
            <a:ext uri="{FF2B5EF4-FFF2-40B4-BE49-F238E27FC236}">
              <a16:creationId xmlns:a16="http://schemas.microsoft.com/office/drawing/2014/main" id="{5B4466A0-5DFF-FFBB-4719-427C2B36C1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5" name="Text Box 39">
          <a:extLst>
            <a:ext uri="{FF2B5EF4-FFF2-40B4-BE49-F238E27FC236}">
              <a16:creationId xmlns:a16="http://schemas.microsoft.com/office/drawing/2014/main" id="{12D990AE-B9A5-E10F-AF14-B8703875C6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6" name="Text Box 40">
          <a:extLst>
            <a:ext uri="{FF2B5EF4-FFF2-40B4-BE49-F238E27FC236}">
              <a16:creationId xmlns:a16="http://schemas.microsoft.com/office/drawing/2014/main" id="{5C138C9F-97E9-CA6B-C313-030366F7AE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7" name="Text Box 41">
          <a:extLst>
            <a:ext uri="{FF2B5EF4-FFF2-40B4-BE49-F238E27FC236}">
              <a16:creationId xmlns:a16="http://schemas.microsoft.com/office/drawing/2014/main" id="{B4BAD4D0-1BEE-85E0-134E-1CB6D80828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8" name="Text Box 42">
          <a:extLst>
            <a:ext uri="{FF2B5EF4-FFF2-40B4-BE49-F238E27FC236}">
              <a16:creationId xmlns:a16="http://schemas.microsoft.com/office/drawing/2014/main" id="{3ADBFF3D-2DBB-8950-88A5-E4A48ECBD7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39" name="Text Box 43">
          <a:extLst>
            <a:ext uri="{FF2B5EF4-FFF2-40B4-BE49-F238E27FC236}">
              <a16:creationId xmlns:a16="http://schemas.microsoft.com/office/drawing/2014/main" id="{346A7554-3951-BF76-F9D4-5025F556AC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0" name="Text Box 44">
          <a:extLst>
            <a:ext uri="{FF2B5EF4-FFF2-40B4-BE49-F238E27FC236}">
              <a16:creationId xmlns:a16="http://schemas.microsoft.com/office/drawing/2014/main" id="{E8AC30E1-F8C5-86C4-D348-BBE835F3E9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1" name="Text Box 45">
          <a:extLst>
            <a:ext uri="{FF2B5EF4-FFF2-40B4-BE49-F238E27FC236}">
              <a16:creationId xmlns:a16="http://schemas.microsoft.com/office/drawing/2014/main" id="{709263EE-E764-53A9-869D-6799E1F248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2" name="Text Box 46">
          <a:extLst>
            <a:ext uri="{FF2B5EF4-FFF2-40B4-BE49-F238E27FC236}">
              <a16:creationId xmlns:a16="http://schemas.microsoft.com/office/drawing/2014/main" id="{901286FC-C8B9-6B69-C486-594EC7A75C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3" name="Text Box 47">
          <a:extLst>
            <a:ext uri="{FF2B5EF4-FFF2-40B4-BE49-F238E27FC236}">
              <a16:creationId xmlns:a16="http://schemas.microsoft.com/office/drawing/2014/main" id="{EACEB7A2-1F14-7A95-C731-241793A162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4" name="Text Box 48">
          <a:extLst>
            <a:ext uri="{FF2B5EF4-FFF2-40B4-BE49-F238E27FC236}">
              <a16:creationId xmlns:a16="http://schemas.microsoft.com/office/drawing/2014/main" id="{5985314D-DE96-4B7F-6ED1-75C3E0BEEF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5" name="Text Box 49">
          <a:extLst>
            <a:ext uri="{FF2B5EF4-FFF2-40B4-BE49-F238E27FC236}">
              <a16:creationId xmlns:a16="http://schemas.microsoft.com/office/drawing/2014/main" id="{1B7E7DFC-C40E-A774-EECC-8F4778B580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6" name="Text Box 50">
          <a:extLst>
            <a:ext uri="{FF2B5EF4-FFF2-40B4-BE49-F238E27FC236}">
              <a16:creationId xmlns:a16="http://schemas.microsoft.com/office/drawing/2014/main" id="{2C098C6E-926F-D153-27C2-EA9B057EC9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7" name="Text Box 51">
          <a:extLst>
            <a:ext uri="{FF2B5EF4-FFF2-40B4-BE49-F238E27FC236}">
              <a16:creationId xmlns:a16="http://schemas.microsoft.com/office/drawing/2014/main" id="{71123D76-B907-4A79-679B-4D7CA1FA13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8" name="Text Box 52">
          <a:extLst>
            <a:ext uri="{FF2B5EF4-FFF2-40B4-BE49-F238E27FC236}">
              <a16:creationId xmlns:a16="http://schemas.microsoft.com/office/drawing/2014/main" id="{9A069BF9-EDF7-188A-79CB-58F124BD38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49" name="Text Box 53">
          <a:extLst>
            <a:ext uri="{FF2B5EF4-FFF2-40B4-BE49-F238E27FC236}">
              <a16:creationId xmlns:a16="http://schemas.microsoft.com/office/drawing/2014/main" id="{87B26A5C-A155-BCF6-ADA7-3ADD12895E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0" name="Text Box 54">
          <a:extLst>
            <a:ext uri="{FF2B5EF4-FFF2-40B4-BE49-F238E27FC236}">
              <a16:creationId xmlns:a16="http://schemas.microsoft.com/office/drawing/2014/main" id="{1B21C0F0-6832-9FDF-2DBE-A0BFC12C29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1" name="Text Box 55">
          <a:extLst>
            <a:ext uri="{FF2B5EF4-FFF2-40B4-BE49-F238E27FC236}">
              <a16:creationId xmlns:a16="http://schemas.microsoft.com/office/drawing/2014/main" id="{982DA249-5DBC-630B-55F9-0F87C53667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2" name="Text Box 56">
          <a:extLst>
            <a:ext uri="{FF2B5EF4-FFF2-40B4-BE49-F238E27FC236}">
              <a16:creationId xmlns:a16="http://schemas.microsoft.com/office/drawing/2014/main" id="{CC5FB80E-AAD2-59CB-2C5E-D2C95C853B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3" name="Text Box 57">
          <a:extLst>
            <a:ext uri="{FF2B5EF4-FFF2-40B4-BE49-F238E27FC236}">
              <a16:creationId xmlns:a16="http://schemas.microsoft.com/office/drawing/2014/main" id="{BE6C80F9-A637-3B13-2DF6-130AEC121F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4" name="Text Box 58">
          <a:extLst>
            <a:ext uri="{FF2B5EF4-FFF2-40B4-BE49-F238E27FC236}">
              <a16:creationId xmlns:a16="http://schemas.microsoft.com/office/drawing/2014/main" id="{18A2EE05-698E-38E8-7219-8D0C41FDAC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5" name="Text Box 59">
          <a:extLst>
            <a:ext uri="{FF2B5EF4-FFF2-40B4-BE49-F238E27FC236}">
              <a16:creationId xmlns:a16="http://schemas.microsoft.com/office/drawing/2014/main" id="{E98A3F71-A1A5-1745-3DEB-9248DB24AE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6" name="Text Box 60">
          <a:extLst>
            <a:ext uri="{FF2B5EF4-FFF2-40B4-BE49-F238E27FC236}">
              <a16:creationId xmlns:a16="http://schemas.microsoft.com/office/drawing/2014/main" id="{5CC1972B-3CAE-1F3A-F09E-756B8D0564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7" name="Text Box 61">
          <a:extLst>
            <a:ext uri="{FF2B5EF4-FFF2-40B4-BE49-F238E27FC236}">
              <a16:creationId xmlns:a16="http://schemas.microsoft.com/office/drawing/2014/main" id="{F3FE6CF2-7F07-FF0D-CDAC-C91A723D12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8" name="Text Box 62">
          <a:extLst>
            <a:ext uri="{FF2B5EF4-FFF2-40B4-BE49-F238E27FC236}">
              <a16:creationId xmlns:a16="http://schemas.microsoft.com/office/drawing/2014/main" id="{8F522BE6-AF8E-D9F3-C62E-F7F05500C3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59" name="Text Box 63">
          <a:extLst>
            <a:ext uri="{FF2B5EF4-FFF2-40B4-BE49-F238E27FC236}">
              <a16:creationId xmlns:a16="http://schemas.microsoft.com/office/drawing/2014/main" id="{12C9184B-F07D-1921-65A6-EA3D3EC416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0" name="Text Box 64">
          <a:extLst>
            <a:ext uri="{FF2B5EF4-FFF2-40B4-BE49-F238E27FC236}">
              <a16:creationId xmlns:a16="http://schemas.microsoft.com/office/drawing/2014/main" id="{D4302528-84B5-BD61-2313-C899CFE063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1" name="Text Box 65">
          <a:extLst>
            <a:ext uri="{FF2B5EF4-FFF2-40B4-BE49-F238E27FC236}">
              <a16:creationId xmlns:a16="http://schemas.microsoft.com/office/drawing/2014/main" id="{C794C9A6-465E-24C7-18EA-69BF599AE8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2" name="Text Box 66">
          <a:extLst>
            <a:ext uri="{FF2B5EF4-FFF2-40B4-BE49-F238E27FC236}">
              <a16:creationId xmlns:a16="http://schemas.microsoft.com/office/drawing/2014/main" id="{0622DCCD-E5BA-5E25-C5B4-D62CBCE6EC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3" name="Text Box 67">
          <a:extLst>
            <a:ext uri="{FF2B5EF4-FFF2-40B4-BE49-F238E27FC236}">
              <a16:creationId xmlns:a16="http://schemas.microsoft.com/office/drawing/2014/main" id="{35CA7986-858D-7A61-681D-27FEB2C359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4" name="Text Box 68">
          <a:extLst>
            <a:ext uri="{FF2B5EF4-FFF2-40B4-BE49-F238E27FC236}">
              <a16:creationId xmlns:a16="http://schemas.microsoft.com/office/drawing/2014/main" id="{C2AA6261-2BCC-5236-6681-8201D1F283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5" name="Text Box 69">
          <a:extLst>
            <a:ext uri="{FF2B5EF4-FFF2-40B4-BE49-F238E27FC236}">
              <a16:creationId xmlns:a16="http://schemas.microsoft.com/office/drawing/2014/main" id="{D9952573-D6B9-4B57-A9C3-F06F610442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6" name="Text Box 70">
          <a:extLst>
            <a:ext uri="{FF2B5EF4-FFF2-40B4-BE49-F238E27FC236}">
              <a16:creationId xmlns:a16="http://schemas.microsoft.com/office/drawing/2014/main" id="{CC8EEC24-6532-76E7-2C49-E3C0B0AAF2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7" name="Text Box 71">
          <a:extLst>
            <a:ext uri="{FF2B5EF4-FFF2-40B4-BE49-F238E27FC236}">
              <a16:creationId xmlns:a16="http://schemas.microsoft.com/office/drawing/2014/main" id="{C87AE34A-6D5C-C0B7-B015-C53C49EA06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8" name="Text Box 72">
          <a:extLst>
            <a:ext uri="{FF2B5EF4-FFF2-40B4-BE49-F238E27FC236}">
              <a16:creationId xmlns:a16="http://schemas.microsoft.com/office/drawing/2014/main" id="{D1CF5010-01C3-4567-3920-0D880B6719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69" name="Text Box 73">
          <a:extLst>
            <a:ext uri="{FF2B5EF4-FFF2-40B4-BE49-F238E27FC236}">
              <a16:creationId xmlns:a16="http://schemas.microsoft.com/office/drawing/2014/main" id="{066F815B-C958-7459-38D4-F18C54B750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0" name="Text Box 74">
          <a:extLst>
            <a:ext uri="{FF2B5EF4-FFF2-40B4-BE49-F238E27FC236}">
              <a16:creationId xmlns:a16="http://schemas.microsoft.com/office/drawing/2014/main" id="{C6FCD368-0189-EB5C-1FA9-B2F9B18E24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1" name="Text Box 75">
          <a:extLst>
            <a:ext uri="{FF2B5EF4-FFF2-40B4-BE49-F238E27FC236}">
              <a16:creationId xmlns:a16="http://schemas.microsoft.com/office/drawing/2014/main" id="{02C3C2A1-D85E-42BF-64F4-135CD1EFAD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2" name="Text Box 76">
          <a:extLst>
            <a:ext uri="{FF2B5EF4-FFF2-40B4-BE49-F238E27FC236}">
              <a16:creationId xmlns:a16="http://schemas.microsoft.com/office/drawing/2014/main" id="{10F46ACE-5307-DC71-5320-022D67BCFB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3" name="Text Box 77">
          <a:extLst>
            <a:ext uri="{FF2B5EF4-FFF2-40B4-BE49-F238E27FC236}">
              <a16:creationId xmlns:a16="http://schemas.microsoft.com/office/drawing/2014/main" id="{68A11377-C567-CA1F-21DD-D364A1E965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4" name="Text Box 78">
          <a:extLst>
            <a:ext uri="{FF2B5EF4-FFF2-40B4-BE49-F238E27FC236}">
              <a16:creationId xmlns:a16="http://schemas.microsoft.com/office/drawing/2014/main" id="{E7367CF4-47AA-1782-3A95-A91EDCB122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5" name="Text Box 79">
          <a:extLst>
            <a:ext uri="{FF2B5EF4-FFF2-40B4-BE49-F238E27FC236}">
              <a16:creationId xmlns:a16="http://schemas.microsoft.com/office/drawing/2014/main" id="{3091022F-7F6C-22CA-43BD-8566AAB29E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6" name="Text Box 80">
          <a:extLst>
            <a:ext uri="{FF2B5EF4-FFF2-40B4-BE49-F238E27FC236}">
              <a16:creationId xmlns:a16="http://schemas.microsoft.com/office/drawing/2014/main" id="{FE78A170-256C-8A56-0B22-F95B2EB440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7" name="Text Box 81">
          <a:extLst>
            <a:ext uri="{FF2B5EF4-FFF2-40B4-BE49-F238E27FC236}">
              <a16:creationId xmlns:a16="http://schemas.microsoft.com/office/drawing/2014/main" id="{1C0D9982-488A-8613-7AED-7D94D8D805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8" name="Text Box 82">
          <a:extLst>
            <a:ext uri="{FF2B5EF4-FFF2-40B4-BE49-F238E27FC236}">
              <a16:creationId xmlns:a16="http://schemas.microsoft.com/office/drawing/2014/main" id="{C356DBA2-6AD7-CC07-0FEA-97CFE5AD5C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79" name="Text Box 83">
          <a:extLst>
            <a:ext uri="{FF2B5EF4-FFF2-40B4-BE49-F238E27FC236}">
              <a16:creationId xmlns:a16="http://schemas.microsoft.com/office/drawing/2014/main" id="{9E65E554-BF66-35D3-3CA5-466A791054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0" name="Text Box 84">
          <a:extLst>
            <a:ext uri="{FF2B5EF4-FFF2-40B4-BE49-F238E27FC236}">
              <a16:creationId xmlns:a16="http://schemas.microsoft.com/office/drawing/2014/main" id="{C32DC1AE-06D3-DB3B-3983-8DE20A5B81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1" name="Text Box 85">
          <a:extLst>
            <a:ext uri="{FF2B5EF4-FFF2-40B4-BE49-F238E27FC236}">
              <a16:creationId xmlns:a16="http://schemas.microsoft.com/office/drawing/2014/main" id="{9A1C13AD-DEA5-0C8F-0923-E2A4BE0918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2" name="Text Box 86">
          <a:extLst>
            <a:ext uri="{FF2B5EF4-FFF2-40B4-BE49-F238E27FC236}">
              <a16:creationId xmlns:a16="http://schemas.microsoft.com/office/drawing/2014/main" id="{724C4E4E-7763-83B4-B456-172947380B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3" name="Text Box 87">
          <a:extLst>
            <a:ext uri="{FF2B5EF4-FFF2-40B4-BE49-F238E27FC236}">
              <a16:creationId xmlns:a16="http://schemas.microsoft.com/office/drawing/2014/main" id="{0C57F84E-CDB7-30E2-FD3D-C2D78BAC19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4" name="Text Box 88">
          <a:extLst>
            <a:ext uri="{FF2B5EF4-FFF2-40B4-BE49-F238E27FC236}">
              <a16:creationId xmlns:a16="http://schemas.microsoft.com/office/drawing/2014/main" id="{79388CAF-255B-F9F6-B8D7-4CFFB30D15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5" name="Text Box 89">
          <a:extLst>
            <a:ext uri="{FF2B5EF4-FFF2-40B4-BE49-F238E27FC236}">
              <a16:creationId xmlns:a16="http://schemas.microsoft.com/office/drawing/2014/main" id="{11A344A1-479B-E6A1-0CCC-A6986496A6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6" name="Text Box 90">
          <a:extLst>
            <a:ext uri="{FF2B5EF4-FFF2-40B4-BE49-F238E27FC236}">
              <a16:creationId xmlns:a16="http://schemas.microsoft.com/office/drawing/2014/main" id="{5A9C57FB-C981-F8C6-48F1-4FC740E836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7" name="Text Box 91">
          <a:extLst>
            <a:ext uri="{FF2B5EF4-FFF2-40B4-BE49-F238E27FC236}">
              <a16:creationId xmlns:a16="http://schemas.microsoft.com/office/drawing/2014/main" id="{74A3196B-DBA4-403F-C74A-40111B8D78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8" name="Text Box 92">
          <a:extLst>
            <a:ext uri="{FF2B5EF4-FFF2-40B4-BE49-F238E27FC236}">
              <a16:creationId xmlns:a16="http://schemas.microsoft.com/office/drawing/2014/main" id="{5161E1B1-BA6F-E382-17FF-11B30CEE5A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89" name="Text Box 93">
          <a:extLst>
            <a:ext uri="{FF2B5EF4-FFF2-40B4-BE49-F238E27FC236}">
              <a16:creationId xmlns:a16="http://schemas.microsoft.com/office/drawing/2014/main" id="{28205FE3-8164-4380-8841-29A22601D9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0" name="Text Box 94">
          <a:extLst>
            <a:ext uri="{FF2B5EF4-FFF2-40B4-BE49-F238E27FC236}">
              <a16:creationId xmlns:a16="http://schemas.microsoft.com/office/drawing/2014/main" id="{6A76302B-9B9F-2AD9-A91E-AF0C3820DF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1" name="Text Box 95">
          <a:extLst>
            <a:ext uri="{FF2B5EF4-FFF2-40B4-BE49-F238E27FC236}">
              <a16:creationId xmlns:a16="http://schemas.microsoft.com/office/drawing/2014/main" id="{8E0AA16F-5124-C2D5-F78F-30A783244F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2" name="Text Box 96">
          <a:extLst>
            <a:ext uri="{FF2B5EF4-FFF2-40B4-BE49-F238E27FC236}">
              <a16:creationId xmlns:a16="http://schemas.microsoft.com/office/drawing/2014/main" id="{E8195AF6-7CE2-93E1-99EE-25729901BD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3" name="Text Box 97">
          <a:extLst>
            <a:ext uri="{FF2B5EF4-FFF2-40B4-BE49-F238E27FC236}">
              <a16:creationId xmlns:a16="http://schemas.microsoft.com/office/drawing/2014/main" id="{E5885249-38E2-C2AA-4973-E2C5A9D582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4" name="Text Box 98">
          <a:extLst>
            <a:ext uri="{FF2B5EF4-FFF2-40B4-BE49-F238E27FC236}">
              <a16:creationId xmlns:a16="http://schemas.microsoft.com/office/drawing/2014/main" id="{65A72055-C4F6-1C6F-CEEF-241D9C278C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5" name="Text Box 99">
          <a:extLst>
            <a:ext uri="{FF2B5EF4-FFF2-40B4-BE49-F238E27FC236}">
              <a16:creationId xmlns:a16="http://schemas.microsoft.com/office/drawing/2014/main" id="{CAFC205F-CEB5-72C1-8778-F7751019FE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6" name="Text Box 100">
          <a:extLst>
            <a:ext uri="{FF2B5EF4-FFF2-40B4-BE49-F238E27FC236}">
              <a16:creationId xmlns:a16="http://schemas.microsoft.com/office/drawing/2014/main" id="{E6994A17-1E97-A2DD-D6C2-044F4705E6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7" name="Text Box 101">
          <a:extLst>
            <a:ext uri="{FF2B5EF4-FFF2-40B4-BE49-F238E27FC236}">
              <a16:creationId xmlns:a16="http://schemas.microsoft.com/office/drawing/2014/main" id="{14EA4E5B-493F-2462-ED83-55CB87F418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8" name="Text Box 102">
          <a:extLst>
            <a:ext uri="{FF2B5EF4-FFF2-40B4-BE49-F238E27FC236}">
              <a16:creationId xmlns:a16="http://schemas.microsoft.com/office/drawing/2014/main" id="{805E42F5-6039-24C7-1137-A82A14622F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399" name="Text Box 103">
          <a:extLst>
            <a:ext uri="{FF2B5EF4-FFF2-40B4-BE49-F238E27FC236}">
              <a16:creationId xmlns:a16="http://schemas.microsoft.com/office/drawing/2014/main" id="{1D67546C-27CE-2051-1DE7-4EEBB5A030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0" name="Text Box 104">
          <a:extLst>
            <a:ext uri="{FF2B5EF4-FFF2-40B4-BE49-F238E27FC236}">
              <a16:creationId xmlns:a16="http://schemas.microsoft.com/office/drawing/2014/main" id="{51AAC604-4C9D-231A-D7B6-E2ADE41C80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1" name="Text Box 105">
          <a:extLst>
            <a:ext uri="{FF2B5EF4-FFF2-40B4-BE49-F238E27FC236}">
              <a16:creationId xmlns:a16="http://schemas.microsoft.com/office/drawing/2014/main" id="{78F71A93-1B09-35F9-9D68-B9E72C6DF9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2" name="Text Box 106">
          <a:extLst>
            <a:ext uri="{FF2B5EF4-FFF2-40B4-BE49-F238E27FC236}">
              <a16:creationId xmlns:a16="http://schemas.microsoft.com/office/drawing/2014/main" id="{A6DC2B43-545C-505A-7D47-4759138D3C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3" name="Text Box 107">
          <a:extLst>
            <a:ext uri="{FF2B5EF4-FFF2-40B4-BE49-F238E27FC236}">
              <a16:creationId xmlns:a16="http://schemas.microsoft.com/office/drawing/2014/main" id="{BBE83466-3694-B690-2DD5-9F8D0154AB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4" name="Text Box 108">
          <a:extLst>
            <a:ext uri="{FF2B5EF4-FFF2-40B4-BE49-F238E27FC236}">
              <a16:creationId xmlns:a16="http://schemas.microsoft.com/office/drawing/2014/main" id="{CA72A74C-6417-6321-FA02-419FB41BE9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5" name="Text Box 109">
          <a:extLst>
            <a:ext uri="{FF2B5EF4-FFF2-40B4-BE49-F238E27FC236}">
              <a16:creationId xmlns:a16="http://schemas.microsoft.com/office/drawing/2014/main" id="{20BFD1FE-1DD0-695F-58AE-B01A1310BB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6" name="Text Box 110">
          <a:extLst>
            <a:ext uri="{FF2B5EF4-FFF2-40B4-BE49-F238E27FC236}">
              <a16:creationId xmlns:a16="http://schemas.microsoft.com/office/drawing/2014/main" id="{55B84C85-38D2-F15F-2A1D-F99F3A0FB2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7" name="Text Box 111">
          <a:extLst>
            <a:ext uri="{FF2B5EF4-FFF2-40B4-BE49-F238E27FC236}">
              <a16:creationId xmlns:a16="http://schemas.microsoft.com/office/drawing/2014/main" id="{382829C8-DD05-0A25-3CCD-871CCAE65A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8" name="Text Box 112">
          <a:extLst>
            <a:ext uri="{FF2B5EF4-FFF2-40B4-BE49-F238E27FC236}">
              <a16:creationId xmlns:a16="http://schemas.microsoft.com/office/drawing/2014/main" id="{6A62B3C9-2BBA-47B0-9C4E-D6287D7843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09" name="Text Box 113">
          <a:extLst>
            <a:ext uri="{FF2B5EF4-FFF2-40B4-BE49-F238E27FC236}">
              <a16:creationId xmlns:a16="http://schemas.microsoft.com/office/drawing/2014/main" id="{3B5E3D66-3832-A8DB-9783-A9932C248E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0" name="Text Box 114">
          <a:extLst>
            <a:ext uri="{FF2B5EF4-FFF2-40B4-BE49-F238E27FC236}">
              <a16:creationId xmlns:a16="http://schemas.microsoft.com/office/drawing/2014/main" id="{55F8C79D-4D1F-3A7C-7C95-055F1E36BF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1" name="Text Box 115">
          <a:extLst>
            <a:ext uri="{FF2B5EF4-FFF2-40B4-BE49-F238E27FC236}">
              <a16:creationId xmlns:a16="http://schemas.microsoft.com/office/drawing/2014/main" id="{DBCBFA68-D796-6C77-157D-42B2626A54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2" name="Text Box 116">
          <a:extLst>
            <a:ext uri="{FF2B5EF4-FFF2-40B4-BE49-F238E27FC236}">
              <a16:creationId xmlns:a16="http://schemas.microsoft.com/office/drawing/2014/main" id="{EA33D767-6524-67F6-64FC-D407D4309C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3" name="Text Box 117">
          <a:extLst>
            <a:ext uri="{FF2B5EF4-FFF2-40B4-BE49-F238E27FC236}">
              <a16:creationId xmlns:a16="http://schemas.microsoft.com/office/drawing/2014/main" id="{66002672-C8E1-6675-10C5-21EEEF47FD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4" name="Text Box 118">
          <a:extLst>
            <a:ext uri="{FF2B5EF4-FFF2-40B4-BE49-F238E27FC236}">
              <a16:creationId xmlns:a16="http://schemas.microsoft.com/office/drawing/2014/main" id="{FCB2E5C1-2AA7-F669-0622-9AFC1B7B98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5" name="Text Box 119">
          <a:extLst>
            <a:ext uri="{FF2B5EF4-FFF2-40B4-BE49-F238E27FC236}">
              <a16:creationId xmlns:a16="http://schemas.microsoft.com/office/drawing/2014/main" id="{C5036B6F-EE42-8DA2-9FCA-8BD2FBAB88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6" name="Text Box 120">
          <a:extLst>
            <a:ext uri="{FF2B5EF4-FFF2-40B4-BE49-F238E27FC236}">
              <a16:creationId xmlns:a16="http://schemas.microsoft.com/office/drawing/2014/main" id="{21BF4312-8674-F495-9F4B-7E509DFFFA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7" name="Text Box 121">
          <a:extLst>
            <a:ext uri="{FF2B5EF4-FFF2-40B4-BE49-F238E27FC236}">
              <a16:creationId xmlns:a16="http://schemas.microsoft.com/office/drawing/2014/main" id="{242BDA69-9A8F-A956-84AA-5FA5B91A2D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8" name="Text Box 122">
          <a:extLst>
            <a:ext uri="{FF2B5EF4-FFF2-40B4-BE49-F238E27FC236}">
              <a16:creationId xmlns:a16="http://schemas.microsoft.com/office/drawing/2014/main" id="{D433581F-818F-3B46-E0C2-7AB931066F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19" name="Text Box 123">
          <a:extLst>
            <a:ext uri="{FF2B5EF4-FFF2-40B4-BE49-F238E27FC236}">
              <a16:creationId xmlns:a16="http://schemas.microsoft.com/office/drawing/2014/main" id="{F56D342E-CFD9-4546-ABB5-88E602135C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0" name="Text Box 124">
          <a:extLst>
            <a:ext uri="{FF2B5EF4-FFF2-40B4-BE49-F238E27FC236}">
              <a16:creationId xmlns:a16="http://schemas.microsoft.com/office/drawing/2014/main" id="{A9A614BC-6623-ED01-A50F-0ACF2C41D0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1" name="Text Box 125">
          <a:extLst>
            <a:ext uri="{FF2B5EF4-FFF2-40B4-BE49-F238E27FC236}">
              <a16:creationId xmlns:a16="http://schemas.microsoft.com/office/drawing/2014/main" id="{AA5FC6E5-6BC5-5B7A-366D-1A3F606F2E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2" name="Text Box 126">
          <a:extLst>
            <a:ext uri="{FF2B5EF4-FFF2-40B4-BE49-F238E27FC236}">
              <a16:creationId xmlns:a16="http://schemas.microsoft.com/office/drawing/2014/main" id="{D41B5A51-0CB2-4612-7DD5-AADD9337A0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3" name="Text Box 127">
          <a:extLst>
            <a:ext uri="{FF2B5EF4-FFF2-40B4-BE49-F238E27FC236}">
              <a16:creationId xmlns:a16="http://schemas.microsoft.com/office/drawing/2014/main" id="{7D2BE240-8312-3141-8C1E-7C241AA341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4" name="Text Box 128">
          <a:extLst>
            <a:ext uri="{FF2B5EF4-FFF2-40B4-BE49-F238E27FC236}">
              <a16:creationId xmlns:a16="http://schemas.microsoft.com/office/drawing/2014/main" id="{E41A638F-B022-BA34-A204-AC0E75AD62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5" name="Text Box 129">
          <a:extLst>
            <a:ext uri="{FF2B5EF4-FFF2-40B4-BE49-F238E27FC236}">
              <a16:creationId xmlns:a16="http://schemas.microsoft.com/office/drawing/2014/main" id="{85A9D94D-330B-22FF-B392-7BC3B0CD4E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6" name="Text Box 130">
          <a:extLst>
            <a:ext uri="{FF2B5EF4-FFF2-40B4-BE49-F238E27FC236}">
              <a16:creationId xmlns:a16="http://schemas.microsoft.com/office/drawing/2014/main" id="{D9B8B14E-F831-686A-A789-64D061149C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7" name="Text Box 131">
          <a:extLst>
            <a:ext uri="{FF2B5EF4-FFF2-40B4-BE49-F238E27FC236}">
              <a16:creationId xmlns:a16="http://schemas.microsoft.com/office/drawing/2014/main" id="{60BD5DCA-F6B4-1610-4997-B76AA535CC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8" name="Text Box 132">
          <a:extLst>
            <a:ext uri="{FF2B5EF4-FFF2-40B4-BE49-F238E27FC236}">
              <a16:creationId xmlns:a16="http://schemas.microsoft.com/office/drawing/2014/main" id="{2052A96B-B24D-ED46-E8D9-469FCA64D2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29" name="Text Box 133">
          <a:extLst>
            <a:ext uri="{FF2B5EF4-FFF2-40B4-BE49-F238E27FC236}">
              <a16:creationId xmlns:a16="http://schemas.microsoft.com/office/drawing/2014/main" id="{84D28FC6-2F02-09AC-E85D-85185328AE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0" name="Text Box 134">
          <a:extLst>
            <a:ext uri="{FF2B5EF4-FFF2-40B4-BE49-F238E27FC236}">
              <a16:creationId xmlns:a16="http://schemas.microsoft.com/office/drawing/2014/main" id="{A688A0C1-0038-5B56-5439-CC9FDE6A73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1" name="Text Box 135">
          <a:extLst>
            <a:ext uri="{FF2B5EF4-FFF2-40B4-BE49-F238E27FC236}">
              <a16:creationId xmlns:a16="http://schemas.microsoft.com/office/drawing/2014/main" id="{B9D6ECF3-04E4-21F4-0C61-93CAD1B010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2" name="Text Box 136">
          <a:extLst>
            <a:ext uri="{FF2B5EF4-FFF2-40B4-BE49-F238E27FC236}">
              <a16:creationId xmlns:a16="http://schemas.microsoft.com/office/drawing/2014/main" id="{EFB77A37-629E-9AED-0DEC-9B2274E754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3" name="Text Box 137">
          <a:extLst>
            <a:ext uri="{FF2B5EF4-FFF2-40B4-BE49-F238E27FC236}">
              <a16:creationId xmlns:a16="http://schemas.microsoft.com/office/drawing/2014/main" id="{F6CC924E-4A7D-755F-9571-6CA4193C82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4" name="Text Box 138">
          <a:extLst>
            <a:ext uri="{FF2B5EF4-FFF2-40B4-BE49-F238E27FC236}">
              <a16:creationId xmlns:a16="http://schemas.microsoft.com/office/drawing/2014/main" id="{358873D9-3884-B63D-51C8-D74D38F1C3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5" name="Text Box 139">
          <a:extLst>
            <a:ext uri="{FF2B5EF4-FFF2-40B4-BE49-F238E27FC236}">
              <a16:creationId xmlns:a16="http://schemas.microsoft.com/office/drawing/2014/main" id="{50A188B6-1BB8-0614-DFD4-1E120CFE1D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6" name="Text Box 140">
          <a:extLst>
            <a:ext uri="{FF2B5EF4-FFF2-40B4-BE49-F238E27FC236}">
              <a16:creationId xmlns:a16="http://schemas.microsoft.com/office/drawing/2014/main" id="{D364E876-C017-A1C3-DBE5-78F8C4D9CC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7" name="Text Box 141">
          <a:extLst>
            <a:ext uri="{FF2B5EF4-FFF2-40B4-BE49-F238E27FC236}">
              <a16:creationId xmlns:a16="http://schemas.microsoft.com/office/drawing/2014/main" id="{C7D6198E-7D63-69F2-96FC-64C20C6496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8" name="Text Box 142">
          <a:extLst>
            <a:ext uri="{FF2B5EF4-FFF2-40B4-BE49-F238E27FC236}">
              <a16:creationId xmlns:a16="http://schemas.microsoft.com/office/drawing/2014/main" id="{DB303281-5E1E-FF41-DC08-573F1E4438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39" name="Text Box 143">
          <a:extLst>
            <a:ext uri="{FF2B5EF4-FFF2-40B4-BE49-F238E27FC236}">
              <a16:creationId xmlns:a16="http://schemas.microsoft.com/office/drawing/2014/main" id="{4C6C9C0D-D665-D9D2-6C9D-5EC48E797A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0" name="Text Box 144">
          <a:extLst>
            <a:ext uri="{FF2B5EF4-FFF2-40B4-BE49-F238E27FC236}">
              <a16:creationId xmlns:a16="http://schemas.microsoft.com/office/drawing/2014/main" id="{EBEE4A2A-9AD6-9218-19CA-39F0E87B62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1" name="Text Box 145">
          <a:extLst>
            <a:ext uri="{FF2B5EF4-FFF2-40B4-BE49-F238E27FC236}">
              <a16:creationId xmlns:a16="http://schemas.microsoft.com/office/drawing/2014/main" id="{F0B1BB1C-BADF-DBE0-F170-EA4766A23E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2" name="Text Box 146">
          <a:extLst>
            <a:ext uri="{FF2B5EF4-FFF2-40B4-BE49-F238E27FC236}">
              <a16:creationId xmlns:a16="http://schemas.microsoft.com/office/drawing/2014/main" id="{DF0790DB-030A-8E97-B1E4-76411572E6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3" name="Text Box 147">
          <a:extLst>
            <a:ext uri="{FF2B5EF4-FFF2-40B4-BE49-F238E27FC236}">
              <a16:creationId xmlns:a16="http://schemas.microsoft.com/office/drawing/2014/main" id="{0DAAC00A-A376-088B-B216-ACE6F2D44B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4" name="Text Box 148">
          <a:extLst>
            <a:ext uri="{FF2B5EF4-FFF2-40B4-BE49-F238E27FC236}">
              <a16:creationId xmlns:a16="http://schemas.microsoft.com/office/drawing/2014/main" id="{50AC801F-BE64-4CC1-F654-BEFAA7ED78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5" name="Text Box 149">
          <a:extLst>
            <a:ext uri="{FF2B5EF4-FFF2-40B4-BE49-F238E27FC236}">
              <a16:creationId xmlns:a16="http://schemas.microsoft.com/office/drawing/2014/main" id="{9AB4B1E0-5164-AC0F-75D3-57747E4664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6" name="Text Box 150">
          <a:extLst>
            <a:ext uri="{FF2B5EF4-FFF2-40B4-BE49-F238E27FC236}">
              <a16:creationId xmlns:a16="http://schemas.microsoft.com/office/drawing/2014/main" id="{11652EC2-C4F0-689A-FF71-C5E9F7D109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7" name="Text Box 151">
          <a:extLst>
            <a:ext uri="{FF2B5EF4-FFF2-40B4-BE49-F238E27FC236}">
              <a16:creationId xmlns:a16="http://schemas.microsoft.com/office/drawing/2014/main" id="{A7F743F5-3D75-08C5-8A3E-7D9756E571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8" name="Text Box 152">
          <a:extLst>
            <a:ext uri="{FF2B5EF4-FFF2-40B4-BE49-F238E27FC236}">
              <a16:creationId xmlns:a16="http://schemas.microsoft.com/office/drawing/2014/main" id="{21A22A22-65C2-95DB-5661-65A5BC1006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49" name="Text Box 153">
          <a:extLst>
            <a:ext uri="{FF2B5EF4-FFF2-40B4-BE49-F238E27FC236}">
              <a16:creationId xmlns:a16="http://schemas.microsoft.com/office/drawing/2014/main" id="{563B3488-0C80-A582-4E59-279D63D897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0" name="Text Box 154">
          <a:extLst>
            <a:ext uri="{FF2B5EF4-FFF2-40B4-BE49-F238E27FC236}">
              <a16:creationId xmlns:a16="http://schemas.microsoft.com/office/drawing/2014/main" id="{804051B1-FFAA-8A9A-7EAF-D8BE29A31E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1" name="Text Box 155">
          <a:extLst>
            <a:ext uri="{FF2B5EF4-FFF2-40B4-BE49-F238E27FC236}">
              <a16:creationId xmlns:a16="http://schemas.microsoft.com/office/drawing/2014/main" id="{E0807920-6F7A-6BA9-F92D-1B0AC618FC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2" name="Text Box 156">
          <a:extLst>
            <a:ext uri="{FF2B5EF4-FFF2-40B4-BE49-F238E27FC236}">
              <a16:creationId xmlns:a16="http://schemas.microsoft.com/office/drawing/2014/main" id="{4444BDDC-7B79-A50C-AB44-6A7B0C8470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3" name="Text Box 157">
          <a:extLst>
            <a:ext uri="{FF2B5EF4-FFF2-40B4-BE49-F238E27FC236}">
              <a16:creationId xmlns:a16="http://schemas.microsoft.com/office/drawing/2014/main" id="{D6DC84BF-7A18-3EEF-8E04-EEF9EC36E0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4" name="Text Box 158">
          <a:extLst>
            <a:ext uri="{FF2B5EF4-FFF2-40B4-BE49-F238E27FC236}">
              <a16:creationId xmlns:a16="http://schemas.microsoft.com/office/drawing/2014/main" id="{6757CA14-F3F8-7740-7A21-7487494A72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5" name="Text Box 159">
          <a:extLst>
            <a:ext uri="{FF2B5EF4-FFF2-40B4-BE49-F238E27FC236}">
              <a16:creationId xmlns:a16="http://schemas.microsoft.com/office/drawing/2014/main" id="{4E98BB06-A828-5081-DC9C-5A37A3C655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6" name="Text Box 160">
          <a:extLst>
            <a:ext uri="{FF2B5EF4-FFF2-40B4-BE49-F238E27FC236}">
              <a16:creationId xmlns:a16="http://schemas.microsoft.com/office/drawing/2014/main" id="{1A70634E-6843-754F-3932-33637C37FF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7" name="Text Box 161">
          <a:extLst>
            <a:ext uri="{FF2B5EF4-FFF2-40B4-BE49-F238E27FC236}">
              <a16:creationId xmlns:a16="http://schemas.microsoft.com/office/drawing/2014/main" id="{377C98AE-309A-51BB-1B54-769D1B23FB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8" name="Text Box 162">
          <a:extLst>
            <a:ext uri="{FF2B5EF4-FFF2-40B4-BE49-F238E27FC236}">
              <a16:creationId xmlns:a16="http://schemas.microsoft.com/office/drawing/2014/main" id="{82766686-146F-43A5-FE49-80307FBA66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59" name="Text Box 163">
          <a:extLst>
            <a:ext uri="{FF2B5EF4-FFF2-40B4-BE49-F238E27FC236}">
              <a16:creationId xmlns:a16="http://schemas.microsoft.com/office/drawing/2014/main" id="{32F8F780-E255-BD37-76F4-1231200CF5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0" name="Text Box 164">
          <a:extLst>
            <a:ext uri="{FF2B5EF4-FFF2-40B4-BE49-F238E27FC236}">
              <a16:creationId xmlns:a16="http://schemas.microsoft.com/office/drawing/2014/main" id="{3085AFCE-BE08-B758-9DC0-D92412AAB6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1" name="Text Box 165">
          <a:extLst>
            <a:ext uri="{FF2B5EF4-FFF2-40B4-BE49-F238E27FC236}">
              <a16:creationId xmlns:a16="http://schemas.microsoft.com/office/drawing/2014/main" id="{A22322AB-30E3-9C8B-B677-3D8AA13C4F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2" name="Text Box 166">
          <a:extLst>
            <a:ext uri="{FF2B5EF4-FFF2-40B4-BE49-F238E27FC236}">
              <a16:creationId xmlns:a16="http://schemas.microsoft.com/office/drawing/2014/main" id="{364959C3-FA15-E0D4-A829-1BA8BB6575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3" name="Text Box 167">
          <a:extLst>
            <a:ext uri="{FF2B5EF4-FFF2-40B4-BE49-F238E27FC236}">
              <a16:creationId xmlns:a16="http://schemas.microsoft.com/office/drawing/2014/main" id="{EF6CCCDA-F3A3-6BA0-D876-6D602D27A5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4" name="Text Box 168">
          <a:extLst>
            <a:ext uri="{FF2B5EF4-FFF2-40B4-BE49-F238E27FC236}">
              <a16:creationId xmlns:a16="http://schemas.microsoft.com/office/drawing/2014/main" id="{CCEB105F-6C15-401F-70B8-673E470C2B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5" name="Text Box 169">
          <a:extLst>
            <a:ext uri="{FF2B5EF4-FFF2-40B4-BE49-F238E27FC236}">
              <a16:creationId xmlns:a16="http://schemas.microsoft.com/office/drawing/2014/main" id="{2C18D6CB-915F-90D1-9AD0-6291821737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6" name="Text Box 170">
          <a:extLst>
            <a:ext uri="{FF2B5EF4-FFF2-40B4-BE49-F238E27FC236}">
              <a16:creationId xmlns:a16="http://schemas.microsoft.com/office/drawing/2014/main" id="{A39BCD3C-68E9-D166-A8A8-5E44604074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7" name="Text Box 171">
          <a:extLst>
            <a:ext uri="{FF2B5EF4-FFF2-40B4-BE49-F238E27FC236}">
              <a16:creationId xmlns:a16="http://schemas.microsoft.com/office/drawing/2014/main" id="{E9E34F09-A25B-7856-DB11-C47CAF34E0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8" name="Text Box 172">
          <a:extLst>
            <a:ext uri="{FF2B5EF4-FFF2-40B4-BE49-F238E27FC236}">
              <a16:creationId xmlns:a16="http://schemas.microsoft.com/office/drawing/2014/main" id="{BDC07378-BC72-9F9B-87F1-E4190CF070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69" name="Text Box 173">
          <a:extLst>
            <a:ext uri="{FF2B5EF4-FFF2-40B4-BE49-F238E27FC236}">
              <a16:creationId xmlns:a16="http://schemas.microsoft.com/office/drawing/2014/main" id="{FD9DAD02-EF1A-ECF7-9AA1-565D66426F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0" name="Text Box 174">
          <a:extLst>
            <a:ext uri="{FF2B5EF4-FFF2-40B4-BE49-F238E27FC236}">
              <a16:creationId xmlns:a16="http://schemas.microsoft.com/office/drawing/2014/main" id="{E8B9243D-2C52-36F3-97AC-9D33783ABF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1" name="Text Box 175">
          <a:extLst>
            <a:ext uri="{FF2B5EF4-FFF2-40B4-BE49-F238E27FC236}">
              <a16:creationId xmlns:a16="http://schemas.microsoft.com/office/drawing/2014/main" id="{57CF4C08-DFEF-5988-3D37-8401372D3D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2" name="Text Box 176">
          <a:extLst>
            <a:ext uri="{FF2B5EF4-FFF2-40B4-BE49-F238E27FC236}">
              <a16:creationId xmlns:a16="http://schemas.microsoft.com/office/drawing/2014/main" id="{AC43F5D0-87C7-B3C3-23AF-CD86C33CAF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3" name="Text Box 177">
          <a:extLst>
            <a:ext uri="{FF2B5EF4-FFF2-40B4-BE49-F238E27FC236}">
              <a16:creationId xmlns:a16="http://schemas.microsoft.com/office/drawing/2014/main" id="{45A43AF1-07B7-4BC2-DA61-3B17F2C197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4" name="Text Box 178">
          <a:extLst>
            <a:ext uri="{FF2B5EF4-FFF2-40B4-BE49-F238E27FC236}">
              <a16:creationId xmlns:a16="http://schemas.microsoft.com/office/drawing/2014/main" id="{52DA1A3A-A163-0BB3-FE3A-01A3E7C2E1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5" name="Text Box 179">
          <a:extLst>
            <a:ext uri="{FF2B5EF4-FFF2-40B4-BE49-F238E27FC236}">
              <a16:creationId xmlns:a16="http://schemas.microsoft.com/office/drawing/2014/main" id="{3BC22840-11BA-6957-B34E-9EC76A4A06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6" name="Text Box 180">
          <a:extLst>
            <a:ext uri="{FF2B5EF4-FFF2-40B4-BE49-F238E27FC236}">
              <a16:creationId xmlns:a16="http://schemas.microsoft.com/office/drawing/2014/main" id="{DD1AF50F-E64E-69B3-1C01-ED60B2F9EC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7" name="Text Box 181">
          <a:extLst>
            <a:ext uri="{FF2B5EF4-FFF2-40B4-BE49-F238E27FC236}">
              <a16:creationId xmlns:a16="http://schemas.microsoft.com/office/drawing/2014/main" id="{BFCE3251-59B5-1941-726F-8C90A099FC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8" name="Text Box 182">
          <a:extLst>
            <a:ext uri="{FF2B5EF4-FFF2-40B4-BE49-F238E27FC236}">
              <a16:creationId xmlns:a16="http://schemas.microsoft.com/office/drawing/2014/main" id="{127A4CC3-FBE1-D9E4-A4E4-E99FB6C4F5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79" name="Text Box 183">
          <a:extLst>
            <a:ext uri="{FF2B5EF4-FFF2-40B4-BE49-F238E27FC236}">
              <a16:creationId xmlns:a16="http://schemas.microsoft.com/office/drawing/2014/main" id="{1D47EECE-FD1C-A076-98EF-F279AA7878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0" name="Text Box 184">
          <a:extLst>
            <a:ext uri="{FF2B5EF4-FFF2-40B4-BE49-F238E27FC236}">
              <a16:creationId xmlns:a16="http://schemas.microsoft.com/office/drawing/2014/main" id="{E01A5ED8-06BF-A03B-75E8-8DF607849A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1" name="Text Box 185">
          <a:extLst>
            <a:ext uri="{FF2B5EF4-FFF2-40B4-BE49-F238E27FC236}">
              <a16:creationId xmlns:a16="http://schemas.microsoft.com/office/drawing/2014/main" id="{55F08566-4B90-0718-B005-AC91F016F1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2" name="Text Box 186">
          <a:extLst>
            <a:ext uri="{FF2B5EF4-FFF2-40B4-BE49-F238E27FC236}">
              <a16:creationId xmlns:a16="http://schemas.microsoft.com/office/drawing/2014/main" id="{0DED820C-836E-C27B-917C-F2E1C68478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3" name="Text Box 187">
          <a:extLst>
            <a:ext uri="{FF2B5EF4-FFF2-40B4-BE49-F238E27FC236}">
              <a16:creationId xmlns:a16="http://schemas.microsoft.com/office/drawing/2014/main" id="{3BE1D641-D2EE-B182-2CB0-00CA798E6A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4" name="Text Box 188">
          <a:extLst>
            <a:ext uri="{FF2B5EF4-FFF2-40B4-BE49-F238E27FC236}">
              <a16:creationId xmlns:a16="http://schemas.microsoft.com/office/drawing/2014/main" id="{90C970F8-F10F-8253-EFBB-14D1222113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5" name="Text Box 189">
          <a:extLst>
            <a:ext uri="{FF2B5EF4-FFF2-40B4-BE49-F238E27FC236}">
              <a16:creationId xmlns:a16="http://schemas.microsoft.com/office/drawing/2014/main" id="{D531E461-0321-E270-052F-6D570BBE33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6" name="Text Box 190">
          <a:extLst>
            <a:ext uri="{FF2B5EF4-FFF2-40B4-BE49-F238E27FC236}">
              <a16:creationId xmlns:a16="http://schemas.microsoft.com/office/drawing/2014/main" id="{B5019B09-1089-79F9-D1A4-544BF72B9D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7" name="Text Box 191">
          <a:extLst>
            <a:ext uri="{FF2B5EF4-FFF2-40B4-BE49-F238E27FC236}">
              <a16:creationId xmlns:a16="http://schemas.microsoft.com/office/drawing/2014/main" id="{1A6D75E6-888B-236B-F4F2-40754491E6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8" name="Text Box 192">
          <a:extLst>
            <a:ext uri="{FF2B5EF4-FFF2-40B4-BE49-F238E27FC236}">
              <a16:creationId xmlns:a16="http://schemas.microsoft.com/office/drawing/2014/main" id="{E0CC7595-1712-5992-BC56-A091F1C97D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89" name="Text Box 193">
          <a:extLst>
            <a:ext uri="{FF2B5EF4-FFF2-40B4-BE49-F238E27FC236}">
              <a16:creationId xmlns:a16="http://schemas.microsoft.com/office/drawing/2014/main" id="{EAD10189-275E-BB5D-BBDA-6696D0C286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0" name="Text Box 194">
          <a:extLst>
            <a:ext uri="{FF2B5EF4-FFF2-40B4-BE49-F238E27FC236}">
              <a16:creationId xmlns:a16="http://schemas.microsoft.com/office/drawing/2014/main" id="{882BC085-668D-4B0D-85D3-E2BFA2645B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1" name="Text Box 195">
          <a:extLst>
            <a:ext uri="{FF2B5EF4-FFF2-40B4-BE49-F238E27FC236}">
              <a16:creationId xmlns:a16="http://schemas.microsoft.com/office/drawing/2014/main" id="{95C22066-F415-AB8E-FF50-826F3C628D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2" name="Text Box 196">
          <a:extLst>
            <a:ext uri="{FF2B5EF4-FFF2-40B4-BE49-F238E27FC236}">
              <a16:creationId xmlns:a16="http://schemas.microsoft.com/office/drawing/2014/main" id="{14C9F71E-AAA1-55DC-7F52-099D9F92AB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3" name="Text Box 197">
          <a:extLst>
            <a:ext uri="{FF2B5EF4-FFF2-40B4-BE49-F238E27FC236}">
              <a16:creationId xmlns:a16="http://schemas.microsoft.com/office/drawing/2014/main" id="{4748D77C-D947-3FA7-CDBE-543A9F9E55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4" name="Text Box 198">
          <a:extLst>
            <a:ext uri="{FF2B5EF4-FFF2-40B4-BE49-F238E27FC236}">
              <a16:creationId xmlns:a16="http://schemas.microsoft.com/office/drawing/2014/main" id="{4C25310F-84D6-335B-2B1A-20346F5870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5" name="Text Box 199">
          <a:extLst>
            <a:ext uri="{FF2B5EF4-FFF2-40B4-BE49-F238E27FC236}">
              <a16:creationId xmlns:a16="http://schemas.microsoft.com/office/drawing/2014/main" id="{086724EB-E723-A45A-D16C-E3FB7218FF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6" name="Text Box 200">
          <a:extLst>
            <a:ext uri="{FF2B5EF4-FFF2-40B4-BE49-F238E27FC236}">
              <a16:creationId xmlns:a16="http://schemas.microsoft.com/office/drawing/2014/main" id="{33E6E123-E296-66C4-C028-4F322B27B0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7" name="Text Box 201">
          <a:extLst>
            <a:ext uri="{FF2B5EF4-FFF2-40B4-BE49-F238E27FC236}">
              <a16:creationId xmlns:a16="http://schemas.microsoft.com/office/drawing/2014/main" id="{DAAB5127-A3ED-E2D0-2234-A7080B5266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8" name="Text Box 202">
          <a:extLst>
            <a:ext uri="{FF2B5EF4-FFF2-40B4-BE49-F238E27FC236}">
              <a16:creationId xmlns:a16="http://schemas.microsoft.com/office/drawing/2014/main" id="{3E706BCE-0A75-25E3-A11D-ADF6D9F5D2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499" name="Text Box 203">
          <a:extLst>
            <a:ext uri="{FF2B5EF4-FFF2-40B4-BE49-F238E27FC236}">
              <a16:creationId xmlns:a16="http://schemas.microsoft.com/office/drawing/2014/main" id="{4BD341CA-AE02-516D-BFD8-9CB8182B66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0" name="Text Box 204">
          <a:extLst>
            <a:ext uri="{FF2B5EF4-FFF2-40B4-BE49-F238E27FC236}">
              <a16:creationId xmlns:a16="http://schemas.microsoft.com/office/drawing/2014/main" id="{84CB32F8-EECC-8949-D2ED-AB4AA942FD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1" name="Text Box 205">
          <a:extLst>
            <a:ext uri="{FF2B5EF4-FFF2-40B4-BE49-F238E27FC236}">
              <a16:creationId xmlns:a16="http://schemas.microsoft.com/office/drawing/2014/main" id="{B2A62AB4-C3E8-1B7B-9700-43A4C31AA9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2" name="Text Box 206">
          <a:extLst>
            <a:ext uri="{FF2B5EF4-FFF2-40B4-BE49-F238E27FC236}">
              <a16:creationId xmlns:a16="http://schemas.microsoft.com/office/drawing/2014/main" id="{2D274C47-2F59-08D9-C57A-3E55A3023F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3" name="Text Box 207">
          <a:extLst>
            <a:ext uri="{FF2B5EF4-FFF2-40B4-BE49-F238E27FC236}">
              <a16:creationId xmlns:a16="http://schemas.microsoft.com/office/drawing/2014/main" id="{A84CD429-B7F6-DA73-5FDF-937586BC4F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4" name="Text Box 208">
          <a:extLst>
            <a:ext uri="{FF2B5EF4-FFF2-40B4-BE49-F238E27FC236}">
              <a16:creationId xmlns:a16="http://schemas.microsoft.com/office/drawing/2014/main" id="{A7BD2BC7-0DDF-9337-74A7-B86DFFCBB9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5" name="Text Box 209">
          <a:extLst>
            <a:ext uri="{FF2B5EF4-FFF2-40B4-BE49-F238E27FC236}">
              <a16:creationId xmlns:a16="http://schemas.microsoft.com/office/drawing/2014/main" id="{FEB16639-9BD4-7B7D-2082-FA8B06BB2D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6" name="Text Box 210">
          <a:extLst>
            <a:ext uri="{FF2B5EF4-FFF2-40B4-BE49-F238E27FC236}">
              <a16:creationId xmlns:a16="http://schemas.microsoft.com/office/drawing/2014/main" id="{4FBEE1C5-CFE4-17EB-994B-BA9E7B20B1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7" name="Text Box 211">
          <a:extLst>
            <a:ext uri="{FF2B5EF4-FFF2-40B4-BE49-F238E27FC236}">
              <a16:creationId xmlns:a16="http://schemas.microsoft.com/office/drawing/2014/main" id="{B1E5BBC5-743C-660B-8728-1D4AB73DFC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8" name="Text Box 212">
          <a:extLst>
            <a:ext uri="{FF2B5EF4-FFF2-40B4-BE49-F238E27FC236}">
              <a16:creationId xmlns:a16="http://schemas.microsoft.com/office/drawing/2014/main" id="{1C66DC02-E202-6A9A-0C11-0FFAD68260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09" name="Text Box 213">
          <a:extLst>
            <a:ext uri="{FF2B5EF4-FFF2-40B4-BE49-F238E27FC236}">
              <a16:creationId xmlns:a16="http://schemas.microsoft.com/office/drawing/2014/main" id="{DC39251A-BA0D-0DAA-667B-318BC3B1C7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0" name="Text Box 214">
          <a:extLst>
            <a:ext uri="{FF2B5EF4-FFF2-40B4-BE49-F238E27FC236}">
              <a16:creationId xmlns:a16="http://schemas.microsoft.com/office/drawing/2014/main" id="{5B799F71-676D-37D6-940D-3DDD6E08D4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1" name="Text Box 215">
          <a:extLst>
            <a:ext uri="{FF2B5EF4-FFF2-40B4-BE49-F238E27FC236}">
              <a16:creationId xmlns:a16="http://schemas.microsoft.com/office/drawing/2014/main" id="{DE22AE2F-8882-E6A8-C683-AA46F26FBF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2" name="Text Box 216">
          <a:extLst>
            <a:ext uri="{FF2B5EF4-FFF2-40B4-BE49-F238E27FC236}">
              <a16:creationId xmlns:a16="http://schemas.microsoft.com/office/drawing/2014/main" id="{59FE6037-DD3E-6C8C-0296-7387358BD2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3" name="Text Box 217">
          <a:extLst>
            <a:ext uri="{FF2B5EF4-FFF2-40B4-BE49-F238E27FC236}">
              <a16:creationId xmlns:a16="http://schemas.microsoft.com/office/drawing/2014/main" id="{5AE9C6CE-6CFD-9946-1A15-FB938B366E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4" name="Text Box 218">
          <a:extLst>
            <a:ext uri="{FF2B5EF4-FFF2-40B4-BE49-F238E27FC236}">
              <a16:creationId xmlns:a16="http://schemas.microsoft.com/office/drawing/2014/main" id="{A22E8DC2-7931-8C43-3FDB-917480A482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5" name="Text Box 219">
          <a:extLst>
            <a:ext uri="{FF2B5EF4-FFF2-40B4-BE49-F238E27FC236}">
              <a16:creationId xmlns:a16="http://schemas.microsoft.com/office/drawing/2014/main" id="{325C4BBC-3BBB-5282-BFCE-CF9A98639A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6" name="Text Box 220">
          <a:extLst>
            <a:ext uri="{FF2B5EF4-FFF2-40B4-BE49-F238E27FC236}">
              <a16:creationId xmlns:a16="http://schemas.microsoft.com/office/drawing/2014/main" id="{7B9943B7-3DD2-5F7C-E4C4-C3B63E4A56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7" name="Text Box 221">
          <a:extLst>
            <a:ext uri="{FF2B5EF4-FFF2-40B4-BE49-F238E27FC236}">
              <a16:creationId xmlns:a16="http://schemas.microsoft.com/office/drawing/2014/main" id="{B0DD3A06-0959-AF3C-F441-5885C47CC8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8" name="Text Box 222">
          <a:extLst>
            <a:ext uri="{FF2B5EF4-FFF2-40B4-BE49-F238E27FC236}">
              <a16:creationId xmlns:a16="http://schemas.microsoft.com/office/drawing/2014/main" id="{BB5D5891-E0DD-17CB-2E21-E1AED752C2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19" name="Text Box 223">
          <a:extLst>
            <a:ext uri="{FF2B5EF4-FFF2-40B4-BE49-F238E27FC236}">
              <a16:creationId xmlns:a16="http://schemas.microsoft.com/office/drawing/2014/main" id="{8160CDDF-4B4A-57EA-D665-726A9470E6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0" name="Text Box 224">
          <a:extLst>
            <a:ext uri="{FF2B5EF4-FFF2-40B4-BE49-F238E27FC236}">
              <a16:creationId xmlns:a16="http://schemas.microsoft.com/office/drawing/2014/main" id="{DB2467C9-97D8-184C-6D72-33580B1F81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1" name="Text Box 225">
          <a:extLst>
            <a:ext uri="{FF2B5EF4-FFF2-40B4-BE49-F238E27FC236}">
              <a16:creationId xmlns:a16="http://schemas.microsoft.com/office/drawing/2014/main" id="{F7FE33C3-83D7-9D7E-200A-64E925AA01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2" name="Text Box 226">
          <a:extLst>
            <a:ext uri="{FF2B5EF4-FFF2-40B4-BE49-F238E27FC236}">
              <a16:creationId xmlns:a16="http://schemas.microsoft.com/office/drawing/2014/main" id="{007AB5E6-58D5-D333-9070-EAE47DEF2F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3" name="Text Box 227">
          <a:extLst>
            <a:ext uri="{FF2B5EF4-FFF2-40B4-BE49-F238E27FC236}">
              <a16:creationId xmlns:a16="http://schemas.microsoft.com/office/drawing/2014/main" id="{A82EDAB0-36B1-13A7-EB52-DFE7601116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4" name="Text Box 228">
          <a:extLst>
            <a:ext uri="{FF2B5EF4-FFF2-40B4-BE49-F238E27FC236}">
              <a16:creationId xmlns:a16="http://schemas.microsoft.com/office/drawing/2014/main" id="{0E5EF7E2-BB98-A448-C9B7-0CB07539C3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5" name="Text Box 229">
          <a:extLst>
            <a:ext uri="{FF2B5EF4-FFF2-40B4-BE49-F238E27FC236}">
              <a16:creationId xmlns:a16="http://schemas.microsoft.com/office/drawing/2014/main" id="{EBB16627-1D5D-83AC-F555-63A4D698C1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6" name="Text Box 230">
          <a:extLst>
            <a:ext uri="{FF2B5EF4-FFF2-40B4-BE49-F238E27FC236}">
              <a16:creationId xmlns:a16="http://schemas.microsoft.com/office/drawing/2014/main" id="{1C784C7F-048F-EB3D-16CD-DBCB25B771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7" name="Text Box 231">
          <a:extLst>
            <a:ext uri="{FF2B5EF4-FFF2-40B4-BE49-F238E27FC236}">
              <a16:creationId xmlns:a16="http://schemas.microsoft.com/office/drawing/2014/main" id="{836C9ED2-F8CE-ED5D-C489-D0AF6A7466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8" name="Text Box 232">
          <a:extLst>
            <a:ext uri="{FF2B5EF4-FFF2-40B4-BE49-F238E27FC236}">
              <a16:creationId xmlns:a16="http://schemas.microsoft.com/office/drawing/2014/main" id="{73164498-8406-52E0-46EC-F192FD23D7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29" name="Text Box 233">
          <a:extLst>
            <a:ext uri="{FF2B5EF4-FFF2-40B4-BE49-F238E27FC236}">
              <a16:creationId xmlns:a16="http://schemas.microsoft.com/office/drawing/2014/main" id="{F72310E9-D2EE-7CD8-2AAB-28862FF0BE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0" name="Text Box 234">
          <a:extLst>
            <a:ext uri="{FF2B5EF4-FFF2-40B4-BE49-F238E27FC236}">
              <a16:creationId xmlns:a16="http://schemas.microsoft.com/office/drawing/2014/main" id="{8FA41BC0-A394-DADF-3F6F-5E811AF8E5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1" name="Text Box 235">
          <a:extLst>
            <a:ext uri="{FF2B5EF4-FFF2-40B4-BE49-F238E27FC236}">
              <a16:creationId xmlns:a16="http://schemas.microsoft.com/office/drawing/2014/main" id="{745EF3DA-5312-CAC6-7629-01C3550807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2" name="Text Box 236">
          <a:extLst>
            <a:ext uri="{FF2B5EF4-FFF2-40B4-BE49-F238E27FC236}">
              <a16:creationId xmlns:a16="http://schemas.microsoft.com/office/drawing/2014/main" id="{A5DE35A4-DEC8-7746-C258-1FD75F49D7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3" name="Text Box 237">
          <a:extLst>
            <a:ext uri="{FF2B5EF4-FFF2-40B4-BE49-F238E27FC236}">
              <a16:creationId xmlns:a16="http://schemas.microsoft.com/office/drawing/2014/main" id="{C136015D-B211-5516-BAE9-EDADF11321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4" name="Text Box 238">
          <a:extLst>
            <a:ext uri="{FF2B5EF4-FFF2-40B4-BE49-F238E27FC236}">
              <a16:creationId xmlns:a16="http://schemas.microsoft.com/office/drawing/2014/main" id="{08D74C99-407B-E5DE-660B-F146994722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5" name="Text Box 239">
          <a:extLst>
            <a:ext uri="{FF2B5EF4-FFF2-40B4-BE49-F238E27FC236}">
              <a16:creationId xmlns:a16="http://schemas.microsoft.com/office/drawing/2014/main" id="{55E65644-16F8-98A3-41F7-73BFC70212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6" name="Text Box 240">
          <a:extLst>
            <a:ext uri="{FF2B5EF4-FFF2-40B4-BE49-F238E27FC236}">
              <a16:creationId xmlns:a16="http://schemas.microsoft.com/office/drawing/2014/main" id="{B1B003C9-2EB6-B9E8-DB46-C0B6620DE7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7" name="Text Box 241">
          <a:extLst>
            <a:ext uri="{FF2B5EF4-FFF2-40B4-BE49-F238E27FC236}">
              <a16:creationId xmlns:a16="http://schemas.microsoft.com/office/drawing/2014/main" id="{CEC7FABA-04ED-5B45-554E-DC23FF53D1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8" name="Text Box 242">
          <a:extLst>
            <a:ext uri="{FF2B5EF4-FFF2-40B4-BE49-F238E27FC236}">
              <a16:creationId xmlns:a16="http://schemas.microsoft.com/office/drawing/2014/main" id="{B12F9364-68BB-9B4F-7BE9-93FE36FD89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39" name="Text Box 243">
          <a:extLst>
            <a:ext uri="{FF2B5EF4-FFF2-40B4-BE49-F238E27FC236}">
              <a16:creationId xmlns:a16="http://schemas.microsoft.com/office/drawing/2014/main" id="{F1F799F0-7822-6069-E1D9-ED5D5866A0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0" name="Text Box 244">
          <a:extLst>
            <a:ext uri="{FF2B5EF4-FFF2-40B4-BE49-F238E27FC236}">
              <a16:creationId xmlns:a16="http://schemas.microsoft.com/office/drawing/2014/main" id="{D480644E-43E3-327C-77C5-5DA7C978DF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1" name="Text Box 245">
          <a:extLst>
            <a:ext uri="{FF2B5EF4-FFF2-40B4-BE49-F238E27FC236}">
              <a16:creationId xmlns:a16="http://schemas.microsoft.com/office/drawing/2014/main" id="{0A2654E8-A87B-5A60-12B1-BFF8D3F6DF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2" name="Text Box 246">
          <a:extLst>
            <a:ext uri="{FF2B5EF4-FFF2-40B4-BE49-F238E27FC236}">
              <a16:creationId xmlns:a16="http://schemas.microsoft.com/office/drawing/2014/main" id="{A7270AA2-163D-5D03-21F1-73D1D20A63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3" name="Text Box 247">
          <a:extLst>
            <a:ext uri="{FF2B5EF4-FFF2-40B4-BE49-F238E27FC236}">
              <a16:creationId xmlns:a16="http://schemas.microsoft.com/office/drawing/2014/main" id="{26BD73A3-8970-A24B-3D11-9D5508467A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4" name="Text Box 248">
          <a:extLst>
            <a:ext uri="{FF2B5EF4-FFF2-40B4-BE49-F238E27FC236}">
              <a16:creationId xmlns:a16="http://schemas.microsoft.com/office/drawing/2014/main" id="{D0A9D411-D745-0D3F-E064-91B2CD4A8F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5" name="Text Box 249">
          <a:extLst>
            <a:ext uri="{FF2B5EF4-FFF2-40B4-BE49-F238E27FC236}">
              <a16:creationId xmlns:a16="http://schemas.microsoft.com/office/drawing/2014/main" id="{27D35A2A-E82E-5D42-F80B-5D32486A5D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6" name="Text Box 250">
          <a:extLst>
            <a:ext uri="{FF2B5EF4-FFF2-40B4-BE49-F238E27FC236}">
              <a16:creationId xmlns:a16="http://schemas.microsoft.com/office/drawing/2014/main" id="{7DCECB29-9317-05D1-78E0-041834B3A2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7" name="Text Box 251">
          <a:extLst>
            <a:ext uri="{FF2B5EF4-FFF2-40B4-BE49-F238E27FC236}">
              <a16:creationId xmlns:a16="http://schemas.microsoft.com/office/drawing/2014/main" id="{D4279A4E-1FA7-8719-3B30-25E4A64D99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8" name="Text Box 252">
          <a:extLst>
            <a:ext uri="{FF2B5EF4-FFF2-40B4-BE49-F238E27FC236}">
              <a16:creationId xmlns:a16="http://schemas.microsoft.com/office/drawing/2014/main" id="{9B5B9A89-4468-0A34-8DF3-2F38E9DFB3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49" name="Text Box 253">
          <a:extLst>
            <a:ext uri="{FF2B5EF4-FFF2-40B4-BE49-F238E27FC236}">
              <a16:creationId xmlns:a16="http://schemas.microsoft.com/office/drawing/2014/main" id="{6BD5F0A8-5210-DF51-FFA2-EEC63E8B8C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0" name="Text Box 254">
          <a:extLst>
            <a:ext uri="{FF2B5EF4-FFF2-40B4-BE49-F238E27FC236}">
              <a16:creationId xmlns:a16="http://schemas.microsoft.com/office/drawing/2014/main" id="{848584FB-5692-5651-0886-E9DE6C398D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1" name="Text Box 255">
          <a:extLst>
            <a:ext uri="{FF2B5EF4-FFF2-40B4-BE49-F238E27FC236}">
              <a16:creationId xmlns:a16="http://schemas.microsoft.com/office/drawing/2014/main" id="{E1AB55C9-F48E-E1BC-52E3-6E31143302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2" name="Text Box 256">
          <a:extLst>
            <a:ext uri="{FF2B5EF4-FFF2-40B4-BE49-F238E27FC236}">
              <a16:creationId xmlns:a16="http://schemas.microsoft.com/office/drawing/2014/main" id="{4E1EF808-422A-13BE-4B77-B5AFEBEBB0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3" name="Text Box 257">
          <a:extLst>
            <a:ext uri="{FF2B5EF4-FFF2-40B4-BE49-F238E27FC236}">
              <a16:creationId xmlns:a16="http://schemas.microsoft.com/office/drawing/2014/main" id="{4C512F8D-A56C-8528-D271-59C97978BE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4" name="Text Box 258">
          <a:extLst>
            <a:ext uri="{FF2B5EF4-FFF2-40B4-BE49-F238E27FC236}">
              <a16:creationId xmlns:a16="http://schemas.microsoft.com/office/drawing/2014/main" id="{0728408B-45E3-824E-7CDD-67DBB306AB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5" name="Text Box 259">
          <a:extLst>
            <a:ext uri="{FF2B5EF4-FFF2-40B4-BE49-F238E27FC236}">
              <a16:creationId xmlns:a16="http://schemas.microsoft.com/office/drawing/2014/main" id="{94E88B18-7E61-F288-D58A-9D297B9325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6" name="Text Box 260">
          <a:extLst>
            <a:ext uri="{FF2B5EF4-FFF2-40B4-BE49-F238E27FC236}">
              <a16:creationId xmlns:a16="http://schemas.microsoft.com/office/drawing/2014/main" id="{F5B829B9-9A7B-413C-1FFC-CAE6C127F3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7" name="Text Box 261">
          <a:extLst>
            <a:ext uri="{FF2B5EF4-FFF2-40B4-BE49-F238E27FC236}">
              <a16:creationId xmlns:a16="http://schemas.microsoft.com/office/drawing/2014/main" id="{A6F0BC4C-D6AE-FB2B-E610-75E2184B74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8" name="Text Box 262">
          <a:extLst>
            <a:ext uri="{FF2B5EF4-FFF2-40B4-BE49-F238E27FC236}">
              <a16:creationId xmlns:a16="http://schemas.microsoft.com/office/drawing/2014/main" id="{3F94D0C1-4424-E728-768C-916D85F0F1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59" name="Text Box 263">
          <a:extLst>
            <a:ext uri="{FF2B5EF4-FFF2-40B4-BE49-F238E27FC236}">
              <a16:creationId xmlns:a16="http://schemas.microsoft.com/office/drawing/2014/main" id="{0FDE2231-820F-5669-721B-5F8A2D01EF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0" name="Text Box 264">
          <a:extLst>
            <a:ext uri="{FF2B5EF4-FFF2-40B4-BE49-F238E27FC236}">
              <a16:creationId xmlns:a16="http://schemas.microsoft.com/office/drawing/2014/main" id="{68DA1059-3F14-B7A0-2F3F-1753C881C6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1" name="Text Box 265">
          <a:extLst>
            <a:ext uri="{FF2B5EF4-FFF2-40B4-BE49-F238E27FC236}">
              <a16:creationId xmlns:a16="http://schemas.microsoft.com/office/drawing/2014/main" id="{BDA4198E-D2D2-21C2-0B44-7C6702DF44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2" name="Text Box 266">
          <a:extLst>
            <a:ext uri="{FF2B5EF4-FFF2-40B4-BE49-F238E27FC236}">
              <a16:creationId xmlns:a16="http://schemas.microsoft.com/office/drawing/2014/main" id="{C5895494-9FCA-605D-40F3-C832026D7A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3" name="Text Box 267">
          <a:extLst>
            <a:ext uri="{FF2B5EF4-FFF2-40B4-BE49-F238E27FC236}">
              <a16:creationId xmlns:a16="http://schemas.microsoft.com/office/drawing/2014/main" id="{A535531C-3F79-2C1B-AB89-74786856C8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4" name="Text Box 268">
          <a:extLst>
            <a:ext uri="{FF2B5EF4-FFF2-40B4-BE49-F238E27FC236}">
              <a16:creationId xmlns:a16="http://schemas.microsoft.com/office/drawing/2014/main" id="{C9E9C179-CADE-A3F6-1CBC-E3067C9934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5" name="Text Box 269">
          <a:extLst>
            <a:ext uri="{FF2B5EF4-FFF2-40B4-BE49-F238E27FC236}">
              <a16:creationId xmlns:a16="http://schemas.microsoft.com/office/drawing/2014/main" id="{F6FC2F84-E702-55F6-D80A-AE25481BB7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6" name="Text Box 270">
          <a:extLst>
            <a:ext uri="{FF2B5EF4-FFF2-40B4-BE49-F238E27FC236}">
              <a16:creationId xmlns:a16="http://schemas.microsoft.com/office/drawing/2014/main" id="{0FA32F01-6E2A-46DC-36AF-3F7B9B0B36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7" name="Text Box 271">
          <a:extLst>
            <a:ext uri="{FF2B5EF4-FFF2-40B4-BE49-F238E27FC236}">
              <a16:creationId xmlns:a16="http://schemas.microsoft.com/office/drawing/2014/main" id="{E90C1D51-43DA-FB64-0FC8-721D389375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8" name="Text Box 272">
          <a:extLst>
            <a:ext uri="{FF2B5EF4-FFF2-40B4-BE49-F238E27FC236}">
              <a16:creationId xmlns:a16="http://schemas.microsoft.com/office/drawing/2014/main" id="{4BE80BE8-E548-F481-F1DD-A0AB1C9300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69" name="Text Box 273">
          <a:extLst>
            <a:ext uri="{FF2B5EF4-FFF2-40B4-BE49-F238E27FC236}">
              <a16:creationId xmlns:a16="http://schemas.microsoft.com/office/drawing/2014/main" id="{B16F9D4F-7247-284C-DDE9-2BD65D22C2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0" name="Text Box 274">
          <a:extLst>
            <a:ext uri="{FF2B5EF4-FFF2-40B4-BE49-F238E27FC236}">
              <a16:creationId xmlns:a16="http://schemas.microsoft.com/office/drawing/2014/main" id="{2C08848F-359A-29E5-3364-AD07B120CE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1" name="Text Box 275">
          <a:extLst>
            <a:ext uri="{FF2B5EF4-FFF2-40B4-BE49-F238E27FC236}">
              <a16:creationId xmlns:a16="http://schemas.microsoft.com/office/drawing/2014/main" id="{1D39828F-EAA1-D8C9-ABA5-7B08A699F4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2" name="Text Box 276">
          <a:extLst>
            <a:ext uri="{FF2B5EF4-FFF2-40B4-BE49-F238E27FC236}">
              <a16:creationId xmlns:a16="http://schemas.microsoft.com/office/drawing/2014/main" id="{7A1DC21B-A655-A919-1A64-DFB72DC041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3" name="Text Box 277">
          <a:extLst>
            <a:ext uri="{FF2B5EF4-FFF2-40B4-BE49-F238E27FC236}">
              <a16:creationId xmlns:a16="http://schemas.microsoft.com/office/drawing/2014/main" id="{B1F2B9FB-AC44-DACA-F6C1-F802679CCB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4" name="Text Box 278">
          <a:extLst>
            <a:ext uri="{FF2B5EF4-FFF2-40B4-BE49-F238E27FC236}">
              <a16:creationId xmlns:a16="http://schemas.microsoft.com/office/drawing/2014/main" id="{DF0B04B7-763E-B8E6-B53F-830696C19F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5" name="Text Box 279">
          <a:extLst>
            <a:ext uri="{FF2B5EF4-FFF2-40B4-BE49-F238E27FC236}">
              <a16:creationId xmlns:a16="http://schemas.microsoft.com/office/drawing/2014/main" id="{60F38EB2-1682-AC11-F5A1-400EEA38FE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6" name="Text Box 280">
          <a:extLst>
            <a:ext uri="{FF2B5EF4-FFF2-40B4-BE49-F238E27FC236}">
              <a16:creationId xmlns:a16="http://schemas.microsoft.com/office/drawing/2014/main" id="{B0324DCA-E821-C320-BB3D-0D57C1593D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7" name="Text Box 281">
          <a:extLst>
            <a:ext uri="{FF2B5EF4-FFF2-40B4-BE49-F238E27FC236}">
              <a16:creationId xmlns:a16="http://schemas.microsoft.com/office/drawing/2014/main" id="{B640E249-39B6-0219-186C-0B4DCED966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8" name="Text Box 282">
          <a:extLst>
            <a:ext uri="{FF2B5EF4-FFF2-40B4-BE49-F238E27FC236}">
              <a16:creationId xmlns:a16="http://schemas.microsoft.com/office/drawing/2014/main" id="{5A870E3E-B64E-176D-0805-BAED885115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79" name="Text Box 283">
          <a:extLst>
            <a:ext uri="{FF2B5EF4-FFF2-40B4-BE49-F238E27FC236}">
              <a16:creationId xmlns:a16="http://schemas.microsoft.com/office/drawing/2014/main" id="{439C421F-4E3F-D3E8-98CA-096085CA13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0" name="Text Box 284">
          <a:extLst>
            <a:ext uri="{FF2B5EF4-FFF2-40B4-BE49-F238E27FC236}">
              <a16:creationId xmlns:a16="http://schemas.microsoft.com/office/drawing/2014/main" id="{2C84FA2F-DFD9-1DB7-CFAC-36CEDF2EF3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1" name="Text Box 285">
          <a:extLst>
            <a:ext uri="{FF2B5EF4-FFF2-40B4-BE49-F238E27FC236}">
              <a16:creationId xmlns:a16="http://schemas.microsoft.com/office/drawing/2014/main" id="{5E360477-F49D-CFA6-809C-7DBE24C360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2" name="Text Box 286">
          <a:extLst>
            <a:ext uri="{FF2B5EF4-FFF2-40B4-BE49-F238E27FC236}">
              <a16:creationId xmlns:a16="http://schemas.microsoft.com/office/drawing/2014/main" id="{BE3989E3-275C-0C80-2BD3-C75881316E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3" name="Text Box 287">
          <a:extLst>
            <a:ext uri="{FF2B5EF4-FFF2-40B4-BE49-F238E27FC236}">
              <a16:creationId xmlns:a16="http://schemas.microsoft.com/office/drawing/2014/main" id="{CDF75984-DBC3-1EEF-2057-78831E8529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4" name="Text Box 288">
          <a:extLst>
            <a:ext uri="{FF2B5EF4-FFF2-40B4-BE49-F238E27FC236}">
              <a16:creationId xmlns:a16="http://schemas.microsoft.com/office/drawing/2014/main" id="{3D08C9EF-5444-5347-0EEC-9FECAD74F3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5" name="Text Box 289">
          <a:extLst>
            <a:ext uri="{FF2B5EF4-FFF2-40B4-BE49-F238E27FC236}">
              <a16:creationId xmlns:a16="http://schemas.microsoft.com/office/drawing/2014/main" id="{37FDE063-89F5-9C45-1BA4-CDE7509D60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6" name="Text Box 290">
          <a:extLst>
            <a:ext uri="{FF2B5EF4-FFF2-40B4-BE49-F238E27FC236}">
              <a16:creationId xmlns:a16="http://schemas.microsoft.com/office/drawing/2014/main" id="{0DEE4B00-2E14-392D-F265-2B1573F816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7" name="Text Box 291">
          <a:extLst>
            <a:ext uri="{FF2B5EF4-FFF2-40B4-BE49-F238E27FC236}">
              <a16:creationId xmlns:a16="http://schemas.microsoft.com/office/drawing/2014/main" id="{4CBB0D5D-CB75-9CDD-5A97-917C51BE34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8" name="Text Box 292">
          <a:extLst>
            <a:ext uri="{FF2B5EF4-FFF2-40B4-BE49-F238E27FC236}">
              <a16:creationId xmlns:a16="http://schemas.microsoft.com/office/drawing/2014/main" id="{11EBFB2E-26E1-6905-01C0-F12A01E47B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89" name="Text Box 293">
          <a:extLst>
            <a:ext uri="{FF2B5EF4-FFF2-40B4-BE49-F238E27FC236}">
              <a16:creationId xmlns:a16="http://schemas.microsoft.com/office/drawing/2014/main" id="{5FBEDC99-F68A-FA61-49EB-BEF5281103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0" name="Text Box 294">
          <a:extLst>
            <a:ext uri="{FF2B5EF4-FFF2-40B4-BE49-F238E27FC236}">
              <a16:creationId xmlns:a16="http://schemas.microsoft.com/office/drawing/2014/main" id="{A66625C7-2F16-F300-BDE9-4EC43E7917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1" name="Text Box 295">
          <a:extLst>
            <a:ext uri="{FF2B5EF4-FFF2-40B4-BE49-F238E27FC236}">
              <a16:creationId xmlns:a16="http://schemas.microsoft.com/office/drawing/2014/main" id="{5D807BB1-DDED-6BFC-D21F-C44A58577F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2" name="Text Box 296">
          <a:extLst>
            <a:ext uri="{FF2B5EF4-FFF2-40B4-BE49-F238E27FC236}">
              <a16:creationId xmlns:a16="http://schemas.microsoft.com/office/drawing/2014/main" id="{3638626F-453B-3639-426D-C50CCB9675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3" name="Text Box 297">
          <a:extLst>
            <a:ext uri="{FF2B5EF4-FFF2-40B4-BE49-F238E27FC236}">
              <a16:creationId xmlns:a16="http://schemas.microsoft.com/office/drawing/2014/main" id="{431472CF-3945-BF35-87C1-D01123F8D6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4" name="Text Box 298">
          <a:extLst>
            <a:ext uri="{FF2B5EF4-FFF2-40B4-BE49-F238E27FC236}">
              <a16:creationId xmlns:a16="http://schemas.microsoft.com/office/drawing/2014/main" id="{4840BA34-90BF-D56B-BEC5-8AB6ACFA22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5" name="Text Box 299">
          <a:extLst>
            <a:ext uri="{FF2B5EF4-FFF2-40B4-BE49-F238E27FC236}">
              <a16:creationId xmlns:a16="http://schemas.microsoft.com/office/drawing/2014/main" id="{EFE34458-583D-047C-14F8-0F96499E33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6" name="Text Box 300">
          <a:extLst>
            <a:ext uri="{FF2B5EF4-FFF2-40B4-BE49-F238E27FC236}">
              <a16:creationId xmlns:a16="http://schemas.microsoft.com/office/drawing/2014/main" id="{6475F690-8F6C-6F2B-4D17-A7B036255E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7" name="Text Box 301">
          <a:extLst>
            <a:ext uri="{FF2B5EF4-FFF2-40B4-BE49-F238E27FC236}">
              <a16:creationId xmlns:a16="http://schemas.microsoft.com/office/drawing/2014/main" id="{F5212C87-A7A1-11A6-F9CF-80540D78DA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8" name="Text Box 302">
          <a:extLst>
            <a:ext uri="{FF2B5EF4-FFF2-40B4-BE49-F238E27FC236}">
              <a16:creationId xmlns:a16="http://schemas.microsoft.com/office/drawing/2014/main" id="{F4E050E6-0F38-CF7F-3DD0-988CBC4D3A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599" name="Text Box 303">
          <a:extLst>
            <a:ext uri="{FF2B5EF4-FFF2-40B4-BE49-F238E27FC236}">
              <a16:creationId xmlns:a16="http://schemas.microsoft.com/office/drawing/2014/main" id="{D2AFD748-095C-9313-486C-67346A55E0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0" name="Text Box 304">
          <a:extLst>
            <a:ext uri="{FF2B5EF4-FFF2-40B4-BE49-F238E27FC236}">
              <a16:creationId xmlns:a16="http://schemas.microsoft.com/office/drawing/2014/main" id="{F235BE36-A4B2-06F8-93A2-D219FC2BAD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1" name="Text Box 305">
          <a:extLst>
            <a:ext uri="{FF2B5EF4-FFF2-40B4-BE49-F238E27FC236}">
              <a16:creationId xmlns:a16="http://schemas.microsoft.com/office/drawing/2014/main" id="{D85A8057-353B-6600-9EAB-37C91B5AAF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2" name="Text Box 306">
          <a:extLst>
            <a:ext uri="{FF2B5EF4-FFF2-40B4-BE49-F238E27FC236}">
              <a16:creationId xmlns:a16="http://schemas.microsoft.com/office/drawing/2014/main" id="{40F7F951-2F86-4479-AED2-9CFA90475B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3" name="Text Box 307">
          <a:extLst>
            <a:ext uri="{FF2B5EF4-FFF2-40B4-BE49-F238E27FC236}">
              <a16:creationId xmlns:a16="http://schemas.microsoft.com/office/drawing/2014/main" id="{8C24B2B2-2FAC-5691-6254-A4415B59D9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4" name="Text Box 308">
          <a:extLst>
            <a:ext uri="{FF2B5EF4-FFF2-40B4-BE49-F238E27FC236}">
              <a16:creationId xmlns:a16="http://schemas.microsoft.com/office/drawing/2014/main" id="{8FAC59AB-B94D-37B1-9BD2-79EECE2B12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5" name="Text Box 309">
          <a:extLst>
            <a:ext uri="{FF2B5EF4-FFF2-40B4-BE49-F238E27FC236}">
              <a16:creationId xmlns:a16="http://schemas.microsoft.com/office/drawing/2014/main" id="{5AE0CB07-BA3E-4505-745B-27C00974A1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6" name="Text Box 310">
          <a:extLst>
            <a:ext uri="{FF2B5EF4-FFF2-40B4-BE49-F238E27FC236}">
              <a16:creationId xmlns:a16="http://schemas.microsoft.com/office/drawing/2014/main" id="{3B520458-E424-207E-C070-93C4EC10D3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7" name="Text Box 311">
          <a:extLst>
            <a:ext uri="{FF2B5EF4-FFF2-40B4-BE49-F238E27FC236}">
              <a16:creationId xmlns:a16="http://schemas.microsoft.com/office/drawing/2014/main" id="{B66394EB-4475-67F2-46F0-2C72943E4E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8" name="Text Box 312">
          <a:extLst>
            <a:ext uri="{FF2B5EF4-FFF2-40B4-BE49-F238E27FC236}">
              <a16:creationId xmlns:a16="http://schemas.microsoft.com/office/drawing/2014/main" id="{E3356ADB-DC90-B39A-739A-2E991037CE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09" name="Text Box 313">
          <a:extLst>
            <a:ext uri="{FF2B5EF4-FFF2-40B4-BE49-F238E27FC236}">
              <a16:creationId xmlns:a16="http://schemas.microsoft.com/office/drawing/2014/main" id="{FFA101A4-BED9-EEAE-BF8E-2B800A9024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0" name="Text Box 314">
          <a:extLst>
            <a:ext uri="{FF2B5EF4-FFF2-40B4-BE49-F238E27FC236}">
              <a16:creationId xmlns:a16="http://schemas.microsoft.com/office/drawing/2014/main" id="{DCDA53B9-A31A-99D8-D4D1-A7ACE61F2D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1" name="Text Box 315">
          <a:extLst>
            <a:ext uri="{FF2B5EF4-FFF2-40B4-BE49-F238E27FC236}">
              <a16:creationId xmlns:a16="http://schemas.microsoft.com/office/drawing/2014/main" id="{CCFF98B0-7B40-2133-92EA-3EC2DB5B5D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2" name="Text Box 316">
          <a:extLst>
            <a:ext uri="{FF2B5EF4-FFF2-40B4-BE49-F238E27FC236}">
              <a16:creationId xmlns:a16="http://schemas.microsoft.com/office/drawing/2014/main" id="{0613089E-835D-7D94-56EC-0B0F4F8D6E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3" name="Text Box 317">
          <a:extLst>
            <a:ext uri="{FF2B5EF4-FFF2-40B4-BE49-F238E27FC236}">
              <a16:creationId xmlns:a16="http://schemas.microsoft.com/office/drawing/2014/main" id="{DE6FB08A-2F7F-4D74-7DC2-CD6651B239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4" name="Text Box 318">
          <a:extLst>
            <a:ext uri="{FF2B5EF4-FFF2-40B4-BE49-F238E27FC236}">
              <a16:creationId xmlns:a16="http://schemas.microsoft.com/office/drawing/2014/main" id="{EB4253D2-993A-5FE5-EE2A-8E309D0041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5" name="Text Box 319">
          <a:extLst>
            <a:ext uri="{FF2B5EF4-FFF2-40B4-BE49-F238E27FC236}">
              <a16:creationId xmlns:a16="http://schemas.microsoft.com/office/drawing/2014/main" id="{BA0F1C77-A7DA-A676-4BCF-E007FE318E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6" name="Text Box 320">
          <a:extLst>
            <a:ext uri="{FF2B5EF4-FFF2-40B4-BE49-F238E27FC236}">
              <a16:creationId xmlns:a16="http://schemas.microsoft.com/office/drawing/2014/main" id="{11A5BD47-2F9A-06FD-6706-DBA2EDCE41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7" name="Text Box 321">
          <a:extLst>
            <a:ext uri="{FF2B5EF4-FFF2-40B4-BE49-F238E27FC236}">
              <a16:creationId xmlns:a16="http://schemas.microsoft.com/office/drawing/2014/main" id="{0DD60F4A-85DE-5C4A-54A0-BC3CC00E77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8" name="Text Box 322">
          <a:extLst>
            <a:ext uri="{FF2B5EF4-FFF2-40B4-BE49-F238E27FC236}">
              <a16:creationId xmlns:a16="http://schemas.microsoft.com/office/drawing/2014/main" id="{C6A4E6DF-6273-FF24-3FD4-7680FBC1EE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19" name="Text Box 323">
          <a:extLst>
            <a:ext uri="{FF2B5EF4-FFF2-40B4-BE49-F238E27FC236}">
              <a16:creationId xmlns:a16="http://schemas.microsoft.com/office/drawing/2014/main" id="{C489C991-A9BF-8720-02D4-7015398C54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0" name="Text Box 324">
          <a:extLst>
            <a:ext uri="{FF2B5EF4-FFF2-40B4-BE49-F238E27FC236}">
              <a16:creationId xmlns:a16="http://schemas.microsoft.com/office/drawing/2014/main" id="{1372BB6E-3D7C-B832-ED80-C4652904BF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1" name="Text Box 325">
          <a:extLst>
            <a:ext uri="{FF2B5EF4-FFF2-40B4-BE49-F238E27FC236}">
              <a16:creationId xmlns:a16="http://schemas.microsoft.com/office/drawing/2014/main" id="{4E100B42-A86D-FD29-42CD-A5B28A47CD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2" name="Text Box 326">
          <a:extLst>
            <a:ext uri="{FF2B5EF4-FFF2-40B4-BE49-F238E27FC236}">
              <a16:creationId xmlns:a16="http://schemas.microsoft.com/office/drawing/2014/main" id="{2515ECF4-4357-3C6A-7908-EC8C12D5DE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3" name="Text Box 327">
          <a:extLst>
            <a:ext uri="{FF2B5EF4-FFF2-40B4-BE49-F238E27FC236}">
              <a16:creationId xmlns:a16="http://schemas.microsoft.com/office/drawing/2014/main" id="{FD410528-F6F2-A13C-F015-603DB21373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4" name="Text Box 328">
          <a:extLst>
            <a:ext uri="{FF2B5EF4-FFF2-40B4-BE49-F238E27FC236}">
              <a16:creationId xmlns:a16="http://schemas.microsoft.com/office/drawing/2014/main" id="{04F628E4-FB03-5E3A-C78C-283DEA21D8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5" name="Text Box 329">
          <a:extLst>
            <a:ext uri="{FF2B5EF4-FFF2-40B4-BE49-F238E27FC236}">
              <a16:creationId xmlns:a16="http://schemas.microsoft.com/office/drawing/2014/main" id="{E22047BD-C551-C0D3-074B-56A51423C5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6" name="Text Box 330">
          <a:extLst>
            <a:ext uri="{FF2B5EF4-FFF2-40B4-BE49-F238E27FC236}">
              <a16:creationId xmlns:a16="http://schemas.microsoft.com/office/drawing/2014/main" id="{7DF49CDA-5A83-DD58-5548-8DBE7C0058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7" name="Text Box 331">
          <a:extLst>
            <a:ext uri="{FF2B5EF4-FFF2-40B4-BE49-F238E27FC236}">
              <a16:creationId xmlns:a16="http://schemas.microsoft.com/office/drawing/2014/main" id="{C42E49D9-F6F5-39E8-2434-2B740F80A1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8" name="Text Box 332">
          <a:extLst>
            <a:ext uri="{FF2B5EF4-FFF2-40B4-BE49-F238E27FC236}">
              <a16:creationId xmlns:a16="http://schemas.microsoft.com/office/drawing/2014/main" id="{DFF95C9F-CBAB-655F-C970-3B1E0F7327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29" name="Text Box 333">
          <a:extLst>
            <a:ext uri="{FF2B5EF4-FFF2-40B4-BE49-F238E27FC236}">
              <a16:creationId xmlns:a16="http://schemas.microsoft.com/office/drawing/2014/main" id="{E5AE0F7E-863C-09BF-8835-F74BB09A33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0" name="Text Box 334">
          <a:extLst>
            <a:ext uri="{FF2B5EF4-FFF2-40B4-BE49-F238E27FC236}">
              <a16:creationId xmlns:a16="http://schemas.microsoft.com/office/drawing/2014/main" id="{687E269E-A138-C37B-CAFB-EFED9EF4AE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1" name="Text Box 335">
          <a:extLst>
            <a:ext uri="{FF2B5EF4-FFF2-40B4-BE49-F238E27FC236}">
              <a16:creationId xmlns:a16="http://schemas.microsoft.com/office/drawing/2014/main" id="{CF0836AD-59AB-4DAF-E07C-B666C32AA7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2" name="Text Box 336">
          <a:extLst>
            <a:ext uri="{FF2B5EF4-FFF2-40B4-BE49-F238E27FC236}">
              <a16:creationId xmlns:a16="http://schemas.microsoft.com/office/drawing/2014/main" id="{988F748E-8748-67D0-2C3E-AE48859D4C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3" name="Text Box 337">
          <a:extLst>
            <a:ext uri="{FF2B5EF4-FFF2-40B4-BE49-F238E27FC236}">
              <a16:creationId xmlns:a16="http://schemas.microsoft.com/office/drawing/2014/main" id="{D001E1D8-74B5-2E19-D122-6C7AF6D80F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4" name="Text Box 338">
          <a:extLst>
            <a:ext uri="{FF2B5EF4-FFF2-40B4-BE49-F238E27FC236}">
              <a16:creationId xmlns:a16="http://schemas.microsoft.com/office/drawing/2014/main" id="{671290C4-D1E9-8F38-BE44-21C5C34066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5" name="Text Box 339">
          <a:extLst>
            <a:ext uri="{FF2B5EF4-FFF2-40B4-BE49-F238E27FC236}">
              <a16:creationId xmlns:a16="http://schemas.microsoft.com/office/drawing/2014/main" id="{4858782F-B1A2-CC8D-1D5E-E67078E2A7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6" name="Text Box 340">
          <a:extLst>
            <a:ext uri="{FF2B5EF4-FFF2-40B4-BE49-F238E27FC236}">
              <a16:creationId xmlns:a16="http://schemas.microsoft.com/office/drawing/2014/main" id="{5B828341-BA50-2693-E76A-1E2E89E500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7" name="Text Box 341">
          <a:extLst>
            <a:ext uri="{FF2B5EF4-FFF2-40B4-BE49-F238E27FC236}">
              <a16:creationId xmlns:a16="http://schemas.microsoft.com/office/drawing/2014/main" id="{7F932A9E-8F8F-7294-7980-91830DC8D1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8" name="Text Box 342">
          <a:extLst>
            <a:ext uri="{FF2B5EF4-FFF2-40B4-BE49-F238E27FC236}">
              <a16:creationId xmlns:a16="http://schemas.microsoft.com/office/drawing/2014/main" id="{54F8A57E-3D84-F15C-F9C3-ADF0D7F2EA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39" name="Text Box 343">
          <a:extLst>
            <a:ext uri="{FF2B5EF4-FFF2-40B4-BE49-F238E27FC236}">
              <a16:creationId xmlns:a16="http://schemas.microsoft.com/office/drawing/2014/main" id="{D01F1CC3-D9DA-0C98-01DF-C3EA7ECF7D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0" name="Text Box 344">
          <a:extLst>
            <a:ext uri="{FF2B5EF4-FFF2-40B4-BE49-F238E27FC236}">
              <a16:creationId xmlns:a16="http://schemas.microsoft.com/office/drawing/2014/main" id="{47E098A3-A263-9FAD-2E81-F187D3FB05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1" name="Text Box 345">
          <a:extLst>
            <a:ext uri="{FF2B5EF4-FFF2-40B4-BE49-F238E27FC236}">
              <a16:creationId xmlns:a16="http://schemas.microsoft.com/office/drawing/2014/main" id="{1871735A-5E2F-4964-DC5B-69377962D1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2" name="Text Box 346">
          <a:extLst>
            <a:ext uri="{FF2B5EF4-FFF2-40B4-BE49-F238E27FC236}">
              <a16:creationId xmlns:a16="http://schemas.microsoft.com/office/drawing/2014/main" id="{776D08DE-405B-54F1-4ADE-1CFF40E0EE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3" name="Text Box 347">
          <a:extLst>
            <a:ext uri="{FF2B5EF4-FFF2-40B4-BE49-F238E27FC236}">
              <a16:creationId xmlns:a16="http://schemas.microsoft.com/office/drawing/2014/main" id="{6011FE2E-9188-C569-54E4-5A7C8382DC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4" name="Text Box 348">
          <a:extLst>
            <a:ext uri="{FF2B5EF4-FFF2-40B4-BE49-F238E27FC236}">
              <a16:creationId xmlns:a16="http://schemas.microsoft.com/office/drawing/2014/main" id="{058E0C6E-B54B-AB6D-1F0C-23A3CA71F0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5" name="Text Box 349">
          <a:extLst>
            <a:ext uri="{FF2B5EF4-FFF2-40B4-BE49-F238E27FC236}">
              <a16:creationId xmlns:a16="http://schemas.microsoft.com/office/drawing/2014/main" id="{206C94B7-B64A-9B83-C616-7BB1EBACEA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6" name="Text Box 350">
          <a:extLst>
            <a:ext uri="{FF2B5EF4-FFF2-40B4-BE49-F238E27FC236}">
              <a16:creationId xmlns:a16="http://schemas.microsoft.com/office/drawing/2014/main" id="{BFB88EDE-16E0-304D-FFA8-3D6CF97EC3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7" name="Text Box 351">
          <a:extLst>
            <a:ext uri="{FF2B5EF4-FFF2-40B4-BE49-F238E27FC236}">
              <a16:creationId xmlns:a16="http://schemas.microsoft.com/office/drawing/2014/main" id="{62550834-02B8-CE20-FC53-25D40AEFFF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8" name="Text Box 352">
          <a:extLst>
            <a:ext uri="{FF2B5EF4-FFF2-40B4-BE49-F238E27FC236}">
              <a16:creationId xmlns:a16="http://schemas.microsoft.com/office/drawing/2014/main" id="{6D5E5E1F-7971-5FD6-9701-8211703891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49" name="Text Box 353">
          <a:extLst>
            <a:ext uri="{FF2B5EF4-FFF2-40B4-BE49-F238E27FC236}">
              <a16:creationId xmlns:a16="http://schemas.microsoft.com/office/drawing/2014/main" id="{F250701F-B465-D635-AE32-E1C603B8BA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0" name="Text Box 354">
          <a:extLst>
            <a:ext uri="{FF2B5EF4-FFF2-40B4-BE49-F238E27FC236}">
              <a16:creationId xmlns:a16="http://schemas.microsoft.com/office/drawing/2014/main" id="{A13871E2-9175-F981-6372-27FF223090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1" name="Text Box 355">
          <a:extLst>
            <a:ext uri="{FF2B5EF4-FFF2-40B4-BE49-F238E27FC236}">
              <a16:creationId xmlns:a16="http://schemas.microsoft.com/office/drawing/2014/main" id="{5CD0A5B4-691A-7A46-304E-19FA6B4ED2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2" name="Text Box 356">
          <a:extLst>
            <a:ext uri="{FF2B5EF4-FFF2-40B4-BE49-F238E27FC236}">
              <a16:creationId xmlns:a16="http://schemas.microsoft.com/office/drawing/2014/main" id="{BE2EC725-2B69-67AF-22EC-E85B0E525D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3" name="Text Box 357">
          <a:extLst>
            <a:ext uri="{FF2B5EF4-FFF2-40B4-BE49-F238E27FC236}">
              <a16:creationId xmlns:a16="http://schemas.microsoft.com/office/drawing/2014/main" id="{EBC41978-EC88-EA58-67A0-0D09309B2D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4" name="Text Box 358">
          <a:extLst>
            <a:ext uri="{FF2B5EF4-FFF2-40B4-BE49-F238E27FC236}">
              <a16:creationId xmlns:a16="http://schemas.microsoft.com/office/drawing/2014/main" id="{41B026E7-AAFB-4483-1C0A-76113249A1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5" name="Text Box 359">
          <a:extLst>
            <a:ext uri="{FF2B5EF4-FFF2-40B4-BE49-F238E27FC236}">
              <a16:creationId xmlns:a16="http://schemas.microsoft.com/office/drawing/2014/main" id="{F60A8ACC-40BC-0168-850C-329E90A726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6" name="Text Box 360">
          <a:extLst>
            <a:ext uri="{FF2B5EF4-FFF2-40B4-BE49-F238E27FC236}">
              <a16:creationId xmlns:a16="http://schemas.microsoft.com/office/drawing/2014/main" id="{97818FA1-2FA0-2E6B-F7F8-28D493E1AB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7" name="Text Box 361">
          <a:extLst>
            <a:ext uri="{FF2B5EF4-FFF2-40B4-BE49-F238E27FC236}">
              <a16:creationId xmlns:a16="http://schemas.microsoft.com/office/drawing/2014/main" id="{4B65094D-4CD8-F489-E408-D5B28171B4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8" name="Text Box 362">
          <a:extLst>
            <a:ext uri="{FF2B5EF4-FFF2-40B4-BE49-F238E27FC236}">
              <a16:creationId xmlns:a16="http://schemas.microsoft.com/office/drawing/2014/main" id="{10722977-B6C8-F879-6893-0580631617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59" name="Text Box 363">
          <a:extLst>
            <a:ext uri="{FF2B5EF4-FFF2-40B4-BE49-F238E27FC236}">
              <a16:creationId xmlns:a16="http://schemas.microsoft.com/office/drawing/2014/main" id="{1563B9F6-3ACD-9FCE-E592-B2DE514DCE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0" name="Text Box 364">
          <a:extLst>
            <a:ext uri="{FF2B5EF4-FFF2-40B4-BE49-F238E27FC236}">
              <a16:creationId xmlns:a16="http://schemas.microsoft.com/office/drawing/2014/main" id="{4A8F9BB6-F52C-C8F6-CB33-204B8800FF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1" name="Text Box 365">
          <a:extLst>
            <a:ext uri="{FF2B5EF4-FFF2-40B4-BE49-F238E27FC236}">
              <a16:creationId xmlns:a16="http://schemas.microsoft.com/office/drawing/2014/main" id="{9D95953A-FF2F-E61B-A423-5769090EAD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2" name="Text Box 366">
          <a:extLst>
            <a:ext uri="{FF2B5EF4-FFF2-40B4-BE49-F238E27FC236}">
              <a16:creationId xmlns:a16="http://schemas.microsoft.com/office/drawing/2014/main" id="{ACC02CCA-7BA8-057F-A379-ACF6EBA63C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3" name="Text Box 367">
          <a:extLst>
            <a:ext uri="{FF2B5EF4-FFF2-40B4-BE49-F238E27FC236}">
              <a16:creationId xmlns:a16="http://schemas.microsoft.com/office/drawing/2014/main" id="{4785679B-282C-2419-CDAA-E176272331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4" name="Text Box 368">
          <a:extLst>
            <a:ext uri="{FF2B5EF4-FFF2-40B4-BE49-F238E27FC236}">
              <a16:creationId xmlns:a16="http://schemas.microsoft.com/office/drawing/2014/main" id="{917B550E-7BFD-A29E-1A9B-3A33F3CE3F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5" name="Text Box 369">
          <a:extLst>
            <a:ext uri="{FF2B5EF4-FFF2-40B4-BE49-F238E27FC236}">
              <a16:creationId xmlns:a16="http://schemas.microsoft.com/office/drawing/2014/main" id="{C7840255-FEB1-9117-DC54-B423013FB6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6" name="Text Box 370">
          <a:extLst>
            <a:ext uri="{FF2B5EF4-FFF2-40B4-BE49-F238E27FC236}">
              <a16:creationId xmlns:a16="http://schemas.microsoft.com/office/drawing/2014/main" id="{6FE1FE73-64A9-E02E-B890-4A6B12B92A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7" name="Text Box 371">
          <a:extLst>
            <a:ext uri="{FF2B5EF4-FFF2-40B4-BE49-F238E27FC236}">
              <a16:creationId xmlns:a16="http://schemas.microsoft.com/office/drawing/2014/main" id="{93A36D30-F1F7-050F-10E7-1D47C50013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8" name="Text Box 372">
          <a:extLst>
            <a:ext uri="{FF2B5EF4-FFF2-40B4-BE49-F238E27FC236}">
              <a16:creationId xmlns:a16="http://schemas.microsoft.com/office/drawing/2014/main" id="{0B064C1E-B049-F4A0-35C5-9DEC6FDB74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69" name="Text Box 373">
          <a:extLst>
            <a:ext uri="{FF2B5EF4-FFF2-40B4-BE49-F238E27FC236}">
              <a16:creationId xmlns:a16="http://schemas.microsoft.com/office/drawing/2014/main" id="{95E3AE01-415C-9945-1DF3-C1359A7848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0" name="Text Box 374">
          <a:extLst>
            <a:ext uri="{FF2B5EF4-FFF2-40B4-BE49-F238E27FC236}">
              <a16:creationId xmlns:a16="http://schemas.microsoft.com/office/drawing/2014/main" id="{B914CDD8-487E-0834-5A4B-F3E765D38E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1" name="Text Box 375">
          <a:extLst>
            <a:ext uri="{FF2B5EF4-FFF2-40B4-BE49-F238E27FC236}">
              <a16:creationId xmlns:a16="http://schemas.microsoft.com/office/drawing/2014/main" id="{B8FC0AA0-449B-07CE-8171-967FD1D9E2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2" name="Text Box 376">
          <a:extLst>
            <a:ext uri="{FF2B5EF4-FFF2-40B4-BE49-F238E27FC236}">
              <a16:creationId xmlns:a16="http://schemas.microsoft.com/office/drawing/2014/main" id="{C0CAFFA9-86A4-5375-F9CA-1322532CDC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3" name="Text Box 377">
          <a:extLst>
            <a:ext uri="{FF2B5EF4-FFF2-40B4-BE49-F238E27FC236}">
              <a16:creationId xmlns:a16="http://schemas.microsoft.com/office/drawing/2014/main" id="{7BC249DA-0C74-1D6C-E053-BBF0782922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4" name="Text Box 378">
          <a:extLst>
            <a:ext uri="{FF2B5EF4-FFF2-40B4-BE49-F238E27FC236}">
              <a16:creationId xmlns:a16="http://schemas.microsoft.com/office/drawing/2014/main" id="{BCAA244A-64BF-6C27-5CD1-30CC1462C8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5" name="Text Box 379">
          <a:extLst>
            <a:ext uri="{FF2B5EF4-FFF2-40B4-BE49-F238E27FC236}">
              <a16:creationId xmlns:a16="http://schemas.microsoft.com/office/drawing/2014/main" id="{C2B8924A-C873-C405-34CA-DA99861B8E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6" name="Text Box 380">
          <a:extLst>
            <a:ext uri="{FF2B5EF4-FFF2-40B4-BE49-F238E27FC236}">
              <a16:creationId xmlns:a16="http://schemas.microsoft.com/office/drawing/2014/main" id="{C87DD40B-E67A-B5EC-4480-36BFCCC002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7" name="Text Box 381">
          <a:extLst>
            <a:ext uri="{FF2B5EF4-FFF2-40B4-BE49-F238E27FC236}">
              <a16:creationId xmlns:a16="http://schemas.microsoft.com/office/drawing/2014/main" id="{6017501F-CAB8-14F2-BB53-68B36CD36D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8" name="Text Box 382">
          <a:extLst>
            <a:ext uri="{FF2B5EF4-FFF2-40B4-BE49-F238E27FC236}">
              <a16:creationId xmlns:a16="http://schemas.microsoft.com/office/drawing/2014/main" id="{2B04E318-2AE6-7F78-7D4A-43BD5BA462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79" name="Text Box 383">
          <a:extLst>
            <a:ext uri="{FF2B5EF4-FFF2-40B4-BE49-F238E27FC236}">
              <a16:creationId xmlns:a16="http://schemas.microsoft.com/office/drawing/2014/main" id="{F9785899-CEE0-4047-E1C1-07227C2A90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0" name="Text Box 384">
          <a:extLst>
            <a:ext uri="{FF2B5EF4-FFF2-40B4-BE49-F238E27FC236}">
              <a16:creationId xmlns:a16="http://schemas.microsoft.com/office/drawing/2014/main" id="{15A845B2-79B0-6E07-C2DA-840F2B4B6D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1" name="Text Box 385">
          <a:extLst>
            <a:ext uri="{FF2B5EF4-FFF2-40B4-BE49-F238E27FC236}">
              <a16:creationId xmlns:a16="http://schemas.microsoft.com/office/drawing/2014/main" id="{71F11FEE-0647-1D61-6922-B100A3C5B3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2" name="Text Box 386">
          <a:extLst>
            <a:ext uri="{FF2B5EF4-FFF2-40B4-BE49-F238E27FC236}">
              <a16:creationId xmlns:a16="http://schemas.microsoft.com/office/drawing/2014/main" id="{AB50856D-E15D-A2FD-21B9-3D14BE371E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3" name="Text Box 387">
          <a:extLst>
            <a:ext uri="{FF2B5EF4-FFF2-40B4-BE49-F238E27FC236}">
              <a16:creationId xmlns:a16="http://schemas.microsoft.com/office/drawing/2014/main" id="{DFB5E952-9626-FDA4-D9C6-FA41B7E3EB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4" name="Text Box 388">
          <a:extLst>
            <a:ext uri="{FF2B5EF4-FFF2-40B4-BE49-F238E27FC236}">
              <a16:creationId xmlns:a16="http://schemas.microsoft.com/office/drawing/2014/main" id="{1215F40C-D1C3-40BA-6545-C1C99FC4BF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5" name="Text Box 389">
          <a:extLst>
            <a:ext uri="{FF2B5EF4-FFF2-40B4-BE49-F238E27FC236}">
              <a16:creationId xmlns:a16="http://schemas.microsoft.com/office/drawing/2014/main" id="{15C6A60F-D7ED-30E6-A82D-653705FF65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6" name="Text Box 390">
          <a:extLst>
            <a:ext uri="{FF2B5EF4-FFF2-40B4-BE49-F238E27FC236}">
              <a16:creationId xmlns:a16="http://schemas.microsoft.com/office/drawing/2014/main" id="{ED4A7A0E-976B-4F24-7067-04DB6944FC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7" name="Text Box 391">
          <a:extLst>
            <a:ext uri="{FF2B5EF4-FFF2-40B4-BE49-F238E27FC236}">
              <a16:creationId xmlns:a16="http://schemas.microsoft.com/office/drawing/2014/main" id="{74A379C7-1181-95CE-AEDA-E9226EECCE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8" name="Text Box 392">
          <a:extLst>
            <a:ext uri="{FF2B5EF4-FFF2-40B4-BE49-F238E27FC236}">
              <a16:creationId xmlns:a16="http://schemas.microsoft.com/office/drawing/2014/main" id="{B46C8207-D054-DBDC-0704-252DC0131C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89" name="Text Box 393">
          <a:extLst>
            <a:ext uri="{FF2B5EF4-FFF2-40B4-BE49-F238E27FC236}">
              <a16:creationId xmlns:a16="http://schemas.microsoft.com/office/drawing/2014/main" id="{1DFA9602-8336-7EEF-A8B5-5A92196897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0" name="Text Box 394">
          <a:extLst>
            <a:ext uri="{FF2B5EF4-FFF2-40B4-BE49-F238E27FC236}">
              <a16:creationId xmlns:a16="http://schemas.microsoft.com/office/drawing/2014/main" id="{E948B4C4-BF69-C0EA-6A70-AD17331985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1" name="Text Box 395">
          <a:extLst>
            <a:ext uri="{FF2B5EF4-FFF2-40B4-BE49-F238E27FC236}">
              <a16:creationId xmlns:a16="http://schemas.microsoft.com/office/drawing/2014/main" id="{78DFC0BD-5959-D774-33CE-8911A4D25D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2" name="Text Box 396">
          <a:extLst>
            <a:ext uri="{FF2B5EF4-FFF2-40B4-BE49-F238E27FC236}">
              <a16:creationId xmlns:a16="http://schemas.microsoft.com/office/drawing/2014/main" id="{DECE0B26-0DCB-2A39-E665-235A5994F4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3" name="Text Box 397">
          <a:extLst>
            <a:ext uri="{FF2B5EF4-FFF2-40B4-BE49-F238E27FC236}">
              <a16:creationId xmlns:a16="http://schemas.microsoft.com/office/drawing/2014/main" id="{E117AC23-CD41-B5E3-438E-8606A2EF92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4" name="Text Box 398">
          <a:extLst>
            <a:ext uri="{FF2B5EF4-FFF2-40B4-BE49-F238E27FC236}">
              <a16:creationId xmlns:a16="http://schemas.microsoft.com/office/drawing/2014/main" id="{BEF23851-52E4-7E2D-5639-DBECED39EE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5" name="Text Box 399">
          <a:extLst>
            <a:ext uri="{FF2B5EF4-FFF2-40B4-BE49-F238E27FC236}">
              <a16:creationId xmlns:a16="http://schemas.microsoft.com/office/drawing/2014/main" id="{C3034E46-E67B-A2FD-234D-82A5458897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6" name="Text Box 400">
          <a:extLst>
            <a:ext uri="{FF2B5EF4-FFF2-40B4-BE49-F238E27FC236}">
              <a16:creationId xmlns:a16="http://schemas.microsoft.com/office/drawing/2014/main" id="{A6ADE417-DE22-7AFA-2850-ED56D7DA30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7" name="Text Box 401">
          <a:extLst>
            <a:ext uri="{FF2B5EF4-FFF2-40B4-BE49-F238E27FC236}">
              <a16:creationId xmlns:a16="http://schemas.microsoft.com/office/drawing/2014/main" id="{BDF58C61-DC74-EB00-7E90-95DFC9835E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8" name="Text Box 402">
          <a:extLst>
            <a:ext uri="{FF2B5EF4-FFF2-40B4-BE49-F238E27FC236}">
              <a16:creationId xmlns:a16="http://schemas.microsoft.com/office/drawing/2014/main" id="{1ED376ED-CB27-C808-20B0-B7DC22292D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699" name="Text Box 403">
          <a:extLst>
            <a:ext uri="{FF2B5EF4-FFF2-40B4-BE49-F238E27FC236}">
              <a16:creationId xmlns:a16="http://schemas.microsoft.com/office/drawing/2014/main" id="{B222A18D-C3BC-9B4E-42E0-D416FC4225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0" name="Text Box 404">
          <a:extLst>
            <a:ext uri="{FF2B5EF4-FFF2-40B4-BE49-F238E27FC236}">
              <a16:creationId xmlns:a16="http://schemas.microsoft.com/office/drawing/2014/main" id="{A40A2768-CFDF-665B-4549-F477993609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1" name="Text Box 405">
          <a:extLst>
            <a:ext uri="{FF2B5EF4-FFF2-40B4-BE49-F238E27FC236}">
              <a16:creationId xmlns:a16="http://schemas.microsoft.com/office/drawing/2014/main" id="{2547805D-3422-0A8A-EFC2-4D001A9FA4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2" name="Text Box 406">
          <a:extLst>
            <a:ext uri="{FF2B5EF4-FFF2-40B4-BE49-F238E27FC236}">
              <a16:creationId xmlns:a16="http://schemas.microsoft.com/office/drawing/2014/main" id="{1DF5AFEE-3C3B-4DE9-234D-9843A780F4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3" name="Text Box 407">
          <a:extLst>
            <a:ext uri="{FF2B5EF4-FFF2-40B4-BE49-F238E27FC236}">
              <a16:creationId xmlns:a16="http://schemas.microsoft.com/office/drawing/2014/main" id="{D598618D-CFF6-F14C-E9D2-4F0961BC13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4" name="Text Box 408">
          <a:extLst>
            <a:ext uri="{FF2B5EF4-FFF2-40B4-BE49-F238E27FC236}">
              <a16:creationId xmlns:a16="http://schemas.microsoft.com/office/drawing/2014/main" id="{EFBA4880-F073-BF57-62D9-B781B2B3A6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5" name="Text Box 409">
          <a:extLst>
            <a:ext uri="{FF2B5EF4-FFF2-40B4-BE49-F238E27FC236}">
              <a16:creationId xmlns:a16="http://schemas.microsoft.com/office/drawing/2014/main" id="{08120B32-FDAA-27E4-6F53-C246A4860C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6" name="Text Box 410">
          <a:extLst>
            <a:ext uri="{FF2B5EF4-FFF2-40B4-BE49-F238E27FC236}">
              <a16:creationId xmlns:a16="http://schemas.microsoft.com/office/drawing/2014/main" id="{01A2E9CA-6FD8-E76E-570D-A89AF6297D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7" name="Text Box 411">
          <a:extLst>
            <a:ext uri="{FF2B5EF4-FFF2-40B4-BE49-F238E27FC236}">
              <a16:creationId xmlns:a16="http://schemas.microsoft.com/office/drawing/2014/main" id="{C937473D-07A2-2187-05F3-0DB9E72576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8" name="Text Box 412">
          <a:extLst>
            <a:ext uri="{FF2B5EF4-FFF2-40B4-BE49-F238E27FC236}">
              <a16:creationId xmlns:a16="http://schemas.microsoft.com/office/drawing/2014/main" id="{43A59E7C-6BD3-87F2-DA57-D6E5F80F5E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09" name="Text Box 413">
          <a:extLst>
            <a:ext uri="{FF2B5EF4-FFF2-40B4-BE49-F238E27FC236}">
              <a16:creationId xmlns:a16="http://schemas.microsoft.com/office/drawing/2014/main" id="{8334CB7D-C13A-9FFD-8B41-A11A461848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0" name="Text Box 414">
          <a:extLst>
            <a:ext uri="{FF2B5EF4-FFF2-40B4-BE49-F238E27FC236}">
              <a16:creationId xmlns:a16="http://schemas.microsoft.com/office/drawing/2014/main" id="{01CBD194-D2B5-FFE6-E098-1C2AC40B3B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1" name="Text Box 415">
          <a:extLst>
            <a:ext uri="{FF2B5EF4-FFF2-40B4-BE49-F238E27FC236}">
              <a16:creationId xmlns:a16="http://schemas.microsoft.com/office/drawing/2014/main" id="{C45BDBB9-D616-0AB2-F232-F4C70BD686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2" name="Text Box 416">
          <a:extLst>
            <a:ext uri="{FF2B5EF4-FFF2-40B4-BE49-F238E27FC236}">
              <a16:creationId xmlns:a16="http://schemas.microsoft.com/office/drawing/2014/main" id="{C0743F00-DEA2-8192-7B5F-8AF922C7C4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3" name="Text Box 417">
          <a:extLst>
            <a:ext uri="{FF2B5EF4-FFF2-40B4-BE49-F238E27FC236}">
              <a16:creationId xmlns:a16="http://schemas.microsoft.com/office/drawing/2014/main" id="{4D2728EE-B89B-FCD3-207D-8879D4D964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4" name="Text Box 418">
          <a:extLst>
            <a:ext uri="{FF2B5EF4-FFF2-40B4-BE49-F238E27FC236}">
              <a16:creationId xmlns:a16="http://schemas.microsoft.com/office/drawing/2014/main" id="{F9BAE7FD-496E-1EC7-C5D5-429BFA2212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5" name="Text Box 419">
          <a:extLst>
            <a:ext uri="{FF2B5EF4-FFF2-40B4-BE49-F238E27FC236}">
              <a16:creationId xmlns:a16="http://schemas.microsoft.com/office/drawing/2014/main" id="{D2B62585-F8F3-4341-57E4-7E66C88E02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6" name="Text Box 420">
          <a:extLst>
            <a:ext uri="{FF2B5EF4-FFF2-40B4-BE49-F238E27FC236}">
              <a16:creationId xmlns:a16="http://schemas.microsoft.com/office/drawing/2014/main" id="{8EC901FF-2320-13D5-A7B2-1B65160811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7" name="Text Box 421">
          <a:extLst>
            <a:ext uri="{FF2B5EF4-FFF2-40B4-BE49-F238E27FC236}">
              <a16:creationId xmlns:a16="http://schemas.microsoft.com/office/drawing/2014/main" id="{C956A236-C159-B634-8951-B310B18F95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8" name="Text Box 422">
          <a:extLst>
            <a:ext uri="{FF2B5EF4-FFF2-40B4-BE49-F238E27FC236}">
              <a16:creationId xmlns:a16="http://schemas.microsoft.com/office/drawing/2014/main" id="{CC8D9BDD-1D41-DAF5-80CA-2303EA1CDE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19" name="Text Box 423">
          <a:extLst>
            <a:ext uri="{FF2B5EF4-FFF2-40B4-BE49-F238E27FC236}">
              <a16:creationId xmlns:a16="http://schemas.microsoft.com/office/drawing/2014/main" id="{E4696CC2-8BE4-FC44-3680-C80B9B82D1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0" name="Text Box 424">
          <a:extLst>
            <a:ext uri="{FF2B5EF4-FFF2-40B4-BE49-F238E27FC236}">
              <a16:creationId xmlns:a16="http://schemas.microsoft.com/office/drawing/2014/main" id="{A267EFFD-9C89-B93A-631D-58C266FE85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1" name="Text Box 425">
          <a:extLst>
            <a:ext uri="{FF2B5EF4-FFF2-40B4-BE49-F238E27FC236}">
              <a16:creationId xmlns:a16="http://schemas.microsoft.com/office/drawing/2014/main" id="{ED2B5864-0BF8-D928-B640-088420CBA9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2" name="Text Box 426">
          <a:extLst>
            <a:ext uri="{FF2B5EF4-FFF2-40B4-BE49-F238E27FC236}">
              <a16:creationId xmlns:a16="http://schemas.microsoft.com/office/drawing/2014/main" id="{82D4324F-2AE7-F316-3112-8AE3BCAA3A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3" name="Text Box 427">
          <a:extLst>
            <a:ext uri="{FF2B5EF4-FFF2-40B4-BE49-F238E27FC236}">
              <a16:creationId xmlns:a16="http://schemas.microsoft.com/office/drawing/2014/main" id="{46A48F25-8F66-0711-05AD-A3576236DD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4" name="Text Box 428">
          <a:extLst>
            <a:ext uri="{FF2B5EF4-FFF2-40B4-BE49-F238E27FC236}">
              <a16:creationId xmlns:a16="http://schemas.microsoft.com/office/drawing/2014/main" id="{727F2B5F-95B3-27D4-D6CC-45C0031C2F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5" name="Text Box 429">
          <a:extLst>
            <a:ext uri="{FF2B5EF4-FFF2-40B4-BE49-F238E27FC236}">
              <a16:creationId xmlns:a16="http://schemas.microsoft.com/office/drawing/2014/main" id="{701808F9-2FA7-CCAA-0172-9B18F064D1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6" name="Text Box 430">
          <a:extLst>
            <a:ext uri="{FF2B5EF4-FFF2-40B4-BE49-F238E27FC236}">
              <a16:creationId xmlns:a16="http://schemas.microsoft.com/office/drawing/2014/main" id="{3153912D-C4AD-0154-5090-EC8C0E119B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7" name="Text Box 431">
          <a:extLst>
            <a:ext uri="{FF2B5EF4-FFF2-40B4-BE49-F238E27FC236}">
              <a16:creationId xmlns:a16="http://schemas.microsoft.com/office/drawing/2014/main" id="{35E49BB2-AEC4-6607-2286-3DD932BA34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8" name="Text Box 432">
          <a:extLst>
            <a:ext uri="{FF2B5EF4-FFF2-40B4-BE49-F238E27FC236}">
              <a16:creationId xmlns:a16="http://schemas.microsoft.com/office/drawing/2014/main" id="{52F93400-E950-F4CA-6F78-6E818F89AF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29" name="Text Box 433">
          <a:extLst>
            <a:ext uri="{FF2B5EF4-FFF2-40B4-BE49-F238E27FC236}">
              <a16:creationId xmlns:a16="http://schemas.microsoft.com/office/drawing/2014/main" id="{1B92B977-07D7-2556-E39C-5472D755BF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0" name="Text Box 434">
          <a:extLst>
            <a:ext uri="{FF2B5EF4-FFF2-40B4-BE49-F238E27FC236}">
              <a16:creationId xmlns:a16="http://schemas.microsoft.com/office/drawing/2014/main" id="{2E2507CD-F2B2-226B-F72C-119F428455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1" name="Text Box 435">
          <a:extLst>
            <a:ext uri="{FF2B5EF4-FFF2-40B4-BE49-F238E27FC236}">
              <a16:creationId xmlns:a16="http://schemas.microsoft.com/office/drawing/2014/main" id="{9FDC6EE1-1B2D-72B2-C983-EFF7999660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2" name="Text Box 436">
          <a:extLst>
            <a:ext uri="{FF2B5EF4-FFF2-40B4-BE49-F238E27FC236}">
              <a16:creationId xmlns:a16="http://schemas.microsoft.com/office/drawing/2014/main" id="{FBB72D88-21FB-0BA9-56C4-A8E3169A93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3" name="Text Box 437">
          <a:extLst>
            <a:ext uri="{FF2B5EF4-FFF2-40B4-BE49-F238E27FC236}">
              <a16:creationId xmlns:a16="http://schemas.microsoft.com/office/drawing/2014/main" id="{DD9DD627-30C9-63B8-10E1-017E3A891D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4" name="Text Box 438">
          <a:extLst>
            <a:ext uri="{FF2B5EF4-FFF2-40B4-BE49-F238E27FC236}">
              <a16:creationId xmlns:a16="http://schemas.microsoft.com/office/drawing/2014/main" id="{D4336652-2610-0E77-22A9-D80C1A6FCF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5" name="Text Box 439">
          <a:extLst>
            <a:ext uri="{FF2B5EF4-FFF2-40B4-BE49-F238E27FC236}">
              <a16:creationId xmlns:a16="http://schemas.microsoft.com/office/drawing/2014/main" id="{E0F9C44A-B65B-7020-0E1D-9F05AF629D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6" name="Text Box 440">
          <a:extLst>
            <a:ext uri="{FF2B5EF4-FFF2-40B4-BE49-F238E27FC236}">
              <a16:creationId xmlns:a16="http://schemas.microsoft.com/office/drawing/2014/main" id="{2AF5872E-31D7-F4CA-E746-8C6F8A3863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7" name="Text Box 441">
          <a:extLst>
            <a:ext uri="{FF2B5EF4-FFF2-40B4-BE49-F238E27FC236}">
              <a16:creationId xmlns:a16="http://schemas.microsoft.com/office/drawing/2014/main" id="{BD0AEBB6-8F30-9EEA-DA7E-A3F934EF0A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8" name="Text Box 442">
          <a:extLst>
            <a:ext uri="{FF2B5EF4-FFF2-40B4-BE49-F238E27FC236}">
              <a16:creationId xmlns:a16="http://schemas.microsoft.com/office/drawing/2014/main" id="{FFA03186-5BD7-DB7C-C674-FA57140DA7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39" name="Text Box 443">
          <a:extLst>
            <a:ext uri="{FF2B5EF4-FFF2-40B4-BE49-F238E27FC236}">
              <a16:creationId xmlns:a16="http://schemas.microsoft.com/office/drawing/2014/main" id="{F1684178-AEB1-CB43-B127-CACFC6EFE2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0" name="Text Box 444">
          <a:extLst>
            <a:ext uri="{FF2B5EF4-FFF2-40B4-BE49-F238E27FC236}">
              <a16:creationId xmlns:a16="http://schemas.microsoft.com/office/drawing/2014/main" id="{5B4D37BF-476E-FE5A-0243-D244ED7F8C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1" name="Text Box 445">
          <a:extLst>
            <a:ext uri="{FF2B5EF4-FFF2-40B4-BE49-F238E27FC236}">
              <a16:creationId xmlns:a16="http://schemas.microsoft.com/office/drawing/2014/main" id="{44B3643D-0BE6-0CCD-9E58-28B87BCDF4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2" name="Text Box 446">
          <a:extLst>
            <a:ext uri="{FF2B5EF4-FFF2-40B4-BE49-F238E27FC236}">
              <a16:creationId xmlns:a16="http://schemas.microsoft.com/office/drawing/2014/main" id="{1A4E5E75-CCBF-97C0-1387-A445BCFB66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3" name="Text Box 447">
          <a:extLst>
            <a:ext uri="{FF2B5EF4-FFF2-40B4-BE49-F238E27FC236}">
              <a16:creationId xmlns:a16="http://schemas.microsoft.com/office/drawing/2014/main" id="{08D6054B-53AA-7326-5282-A841155D26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4" name="Text Box 448">
          <a:extLst>
            <a:ext uri="{FF2B5EF4-FFF2-40B4-BE49-F238E27FC236}">
              <a16:creationId xmlns:a16="http://schemas.microsoft.com/office/drawing/2014/main" id="{8612C692-22D1-9C63-DD8A-E316C827B3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5" name="Text Box 449">
          <a:extLst>
            <a:ext uri="{FF2B5EF4-FFF2-40B4-BE49-F238E27FC236}">
              <a16:creationId xmlns:a16="http://schemas.microsoft.com/office/drawing/2014/main" id="{C41D5A22-F714-0E4D-ECB9-70D0725336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6" name="Text Box 450">
          <a:extLst>
            <a:ext uri="{FF2B5EF4-FFF2-40B4-BE49-F238E27FC236}">
              <a16:creationId xmlns:a16="http://schemas.microsoft.com/office/drawing/2014/main" id="{0B85B87B-6E57-052D-16FC-9BD5858B62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7" name="Text Box 451">
          <a:extLst>
            <a:ext uri="{FF2B5EF4-FFF2-40B4-BE49-F238E27FC236}">
              <a16:creationId xmlns:a16="http://schemas.microsoft.com/office/drawing/2014/main" id="{469167B6-6DCC-05ED-ED0B-C403B97AC4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8" name="Text Box 452">
          <a:extLst>
            <a:ext uri="{FF2B5EF4-FFF2-40B4-BE49-F238E27FC236}">
              <a16:creationId xmlns:a16="http://schemas.microsoft.com/office/drawing/2014/main" id="{E90CFEAC-6840-B804-2A96-90CE57B1CA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49" name="Text Box 453">
          <a:extLst>
            <a:ext uri="{FF2B5EF4-FFF2-40B4-BE49-F238E27FC236}">
              <a16:creationId xmlns:a16="http://schemas.microsoft.com/office/drawing/2014/main" id="{4161C429-48E4-B418-744A-53050B403C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0" name="Text Box 454">
          <a:extLst>
            <a:ext uri="{FF2B5EF4-FFF2-40B4-BE49-F238E27FC236}">
              <a16:creationId xmlns:a16="http://schemas.microsoft.com/office/drawing/2014/main" id="{A25CF829-798E-3404-3CA5-8444D236BD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1" name="Text Box 455">
          <a:extLst>
            <a:ext uri="{FF2B5EF4-FFF2-40B4-BE49-F238E27FC236}">
              <a16:creationId xmlns:a16="http://schemas.microsoft.com/office/drawing/2014/main" id="{19329E0D-6F52-A608-0A31-2503E76F18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2" name="Text Box 456">
          <a:extLst>
            <a:ext uri="{FF2B5EF4-FFF2-40B4-BE49-F238E27FC236}">
              <a16:creationId xmlns:a16="http://schemas.microsoft.com/office/drawing/2014/main" id="{21E1E695-0569-22F3-F0CF-84D9894534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3" name="Text Box 457">
          <a:extLst>
            <a:ext uri="{FF2B5EF4-FFF2-40B4-BE49-F238E27FC236}">
              <a16:creationId xmlns:a16="http://schemas.microsoft.com/office/drawing/2014/main" id="{35E11C76-C7DD-5862-27E6-530816635F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4" name="Text Box 458">
          <a:extLst>
            <a:ext uri="{FF2B5EF4-FFF2-40B4-BE49-F238E27FC236}">
              <a16:creationId xmlns:a16="http://schemas.microsoft.com/office/drawing/2014/main" id="{9F3CFD63-5588-00A9-C9BD-A7CBC4F2DA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5" name="Text Box 459">
          <a:extLst>
            <a:ext uri="{FF2B5EF4-FFF2-40B4-BE49-F238E27FC236}">
              <a16:creationId xmlns:a16="http://schemas.microsoft.com/office/drawing/2014/main" id="{F7A578FF-E938-26F5-38D7-DCE86B7A3D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6" name="Text Box 460">
          <a:extLst>
            <a:ext uri="{FF2B5EF4-FFF2-40B4-BE49-F238E27FC236}">
              <a16:creationId xmlns:a16="http://schemas.microsoft.com/office/drawing/2014/main" id="{B9F8D28F-8FDB-AB60-45D1-52FE6FD9D2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7" name="Text Box 461">
          <a:extLst>
            <a:ext uri="{FF2B5EF4-FFF2-40B4-BE49-F238E27FC236}">
              <a16:creationId xmlns:a16="http://schemas.microsoft.com/office/drawing/2014/main" id="{DE596D2C-527F-4A8D-B3BE-03F6B7EC33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8" name="Text Box 462">
          <a:extLst>
            <a:ext uri="{FF2B5EF4-FFF2-40B4-BE49-F238E27FC236}">
              <a16:creationId xmlns:a16="http://schemas.microsoft.com/office/drawing/2014/main" id="{8C149BFB-2004-AECB-1A8F-2CFEDFE284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59" name="Text Box 463">
          <a:extLst>
            <a:ext uri="{FF2B5EF4-FFF2-40B4-BE49-F238E27FC236}">
              <a16:creationId xmlns:a16="http://schemas.microsoft.com/office/drawing/2014/main" id="{2D39F44D-A44F-5375-5776-8C4813FF5B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0" name="Text Box 464">
          <a:extLst>
            <a:ext uri="{FF2B5EF4-FFF2-40B4-BE49-F238E27FC236}">
              <a16:creationId xmlns:a16="http://schemas.microsoft.com/office/drawing/2014/main" id="{462AA3B9-F914-7E1D-183E-A70714CADB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1" name="Text Box 465">
          <a:extLst>
            <a:ext uri="{FF2B5EF4-FFF2-40B4-BE49-F238E27FC236}">
              <a16:creationId xmlns:a16="http://schemas.microsoft.com/office/drawing/2014/main" id="{B8A4E139-FF50-A9E4-D747-CF91088016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2" name="Text Box 466">
          <a:extLst>
            <a:ext uri="{FF2B5EF4-FFF2-40B4-BE49-F238E27FC236}">
              <a16:creationId xmlns:a16="http://schemas.microsoft.com/office/drawing/2014/main" id="{7A87C14A-AA10-ECBC-3850-0C7BC859A5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3" name="Text Box 467">
          <a:extLst>
            <a:ext uri="{FF2B5EF4-FFF2-40B4-BE49-F238E27FC236}">
              <a16:creationId xmlns:a16="http://schemas.microsoft.com/office/drawing/2014/main" id="{F91514D6-233B-418A-A3DF-04F07D43F8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4" name="Text Box 468">
          <a:extLst>
            <a:ext uri="{FF2B5EF4-FFF2-40B4-BE49-F238E27FC236}">
              <a16:creationId xmlns:a16="http://schemas.microsoft.com/office/drawing/2014/main" id="{BFCBABED-6D97-F217-0910-3910234A44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5" name="Text Box 469">
          <a:extLst>
            <a:ext uri="{FF2B5EF4-FFF2-40B4-BE49-F238E27FC236}">
              <a16:creationId xmlns:a16="http://schemas.microsoft.com/office/drawing/2014/main" id="{73FEEB0D-7364-A4A7-5958-0C295D267C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6" name="Text Box 470">
          <a:extLst>
            <a:ext uri="{FF2B5EF4-FFF2-40B4-BE49-F238E27FC236}">
              <a16:creationId xmlns:a16="http://schemas.microsoft.com/office/drawing/2014/main" id="{8950EFBD-AD74-AEC2-9E7C-1BD2D59BD1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7" name="Text Box 471">
          <a:extLst>
            <a:ext uri="{FF2B5EF4-FFF2-40B4-BE49-F238E27FC236}">
              <a16:creationId xmlns:a16="http://schemas.microsoft.com/office/drawing/2014/main" id="{A5622170-E39A-3FF5-3634-062DCA0DAD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8" name="Text Box 472">
          <a:extLst>
            <a:ext uri="{FF2B5EF4-FFF2-40B4-BE49-F238E27FC236}">
              <a16:creationId xmlns:a16="http://schemas.microsoft.com/office/drawing/2014/main" id="{A2182AED-4CCE-1A25-0274-68D5C63A7B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69" name="Text Box 473">
          <a:extLst>
            <a:ext uri="{FF2B5EF4-FFF2-40B4-BE49-F238E27FC236}">
              <a16:creationId xmlns:a16="http://schemas.microsoft.com/office/drawing/2014/main" id="{4E778203-1016-5DDF-BFF7-00E1B429C6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0" name="Text Box 474">
          <a:extLst>
            <a:ext uri="{FF2B5EF4-FFF2-40B4-BE49-F238E27FC236}">
              <a16:creationId xmlns:a16="http://schemas.microsoft.com/office/drawing/2014/main" id="{9FF39A21-4D39-BE69-2ACA-384D85B8A2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1" name="Text Box 475">
          <a:extLst>
            <a:ext uri="{FF2B5EF4-FFF2-40B4-BE49-F238E27FC236}">
              <a16:creationId xmlns:a16="http://schemas.microsoft.com/office/drawing/2014/main" id="{A4DC3526-C19E-0535-D43E-442764D733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2" name="Text Box 476">
          <a:extLst>
            <a:ext uri="{FF2B5EF4-FFF2-40B4-BE49-F238E27FC236}">
              <a16:creationId xmlns:a16="http://schemas.microsoft.com/office/drawing/2014/main" id="{95F86C5D-5E07-E7EE-AA5D-44DE1F9E9F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3" name="Text Box 477">
          <a:extLst>
            <a:ext uri="{FF2B5EF4-FFF2-40B4-BE49-F238E27FC236}">
              <a16:creationId xmlns:a16="http://schemas.microsoft.com/office/drawing/2014/main" id="{132F2AF2-9B34-C20A-E6C8-326EAFF916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4" name="Text Box 478">
          <a:extLst>
            <a:ext uri="{FF2B5EF4-FFF2-40B4-BE49-F238E27FC236}">
              <a16:creationId xmlns:a16="http://schemas.microsoft.com/office/drawing/2014/main" id="{6B11AAC9-E287-8BFE-3014-F7DADE86A0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5" name="Text Box 479">
          <a:extLst>
            <a:ext uri="{FF2B5EF4-FFF2-40B4-BE49-F238E27FC236}">
              <a16:creationId xmlns:a16="http://schemas.microsoft.com/office/drawing/2014/main" id="{9069FAB7-704D-A765-C0C5-9AC202A22A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6" name="Text Box 480">
          <a:extLst>
            <a:ext uri="{FF2B5EF4-FFF2-40B4-BE49-F238E27FC236}">
              <a16:creationId xmlns:a16="http://schemas.microsoft.com/office/drawing/2014/main" id="{CCFB7533-ECF4-CEF1-4564-CC704F47DD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7" name="Text Box 481">
          <a:extLst>
            <a:ext uri="{FF2B5EF4-FFF2-40B4-BE49-F238E27FC236}">
              <a16:creationId xmlns:a16="http://schemas.microsoft.com/office/drawing/2014/main" id="{5EC31CDC-8373-5790-189F-E5D959CCD0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8" name="Text Box 482">
          <a:extLst>
            <a:ext uri="{FF2B5EF4-FFF2-40B4-BE49-F238E27FC236}">
              <a16:creationId xmlns:a16="http://schemas.microsoft.com/office/drawing/2014/main" id="{561B78BB-4113-775C-9AE8-D830C8B535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79" name="Text Box 483">
          <a:extLst>
            <a:ext uri="{FF2B5EF4-FFF2-40B4-BE49-F238E27FC236}">
              <a16:creationId xmlns:a16="http://schemas.microsoft.com/office/drawing/2014/main" id="{46CAC119-69AC-2750-2698-65340AE76D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0" name="Text Box 484">
          <a:extLst>
            <a:ext uri="{FF2B5EF4-FFF2-40B4-BE49-F238E27FC236}">
              <a16:creationId xmlns:a16="http://schemas.microsoft.com/office/drawing/2014/main" id="{0F2622C4-7252-614D-BF38-26B7F3B7A2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1" name="Text Box 485">
          <a:extLst>
            <a:ext uri="{FF2B5EF4-FFF2-40B4-BE49-F238E27FC236}">
              <a16:creationId xmlns:a16="http://schemas.microsoft.com/office/drawing/2014/main" id="{557F4160-ED6C-1370-BFE4-2669C0C1B4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2" name="Text Box 486">
          <a:extLst>
            <a:ext uri="{FF2B5EF4-FFF2-40B4-BE49-F238E27FC236}">
              <a16:creationId xmlns:a16="http://schemas.microsoft.com/office/drawing/2014/main" id="{0EFCFC9C-B4EC-951E-54DF-1C4DA243D4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3" name="Text Box 487">
          <a:extLst>
            <a:ext uri="{FF2B5EF4-FFF2-40B4-BE49-F238E27FC236}">
              <a16:creationId xmlns:a16="http://schemas.microsoft.com/office/drawing/2014/main" id="{223D542E-0072-F6D0-B710-82B2CE82E8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4" name="Text Box 488">
          <a:extLst>
            <a:ext uri="{FF2B5EF4-FFF2-40B4-BE49-F238E27FC236}">
              <a16:creationId xmlns:a16="http://schemas.microsoft.com/office/drawing/2014/main" id="{B65057FF-AECF-4DFD-FE30-21D33934F3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5" name="Text Box 489">
          <a:extLst>
            <a:ext uri="{FF2B5EF4-FFF2-40B4-BE49-F238E27FC236}">
              <a16:creationId xmlns:a16="http://schemas.microsoft.com/office/drawing/2014/main" id="{6B221A5B-7FD6-0844-8ABA-637AF28559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6" name="Text Box 490">
          <a:extLst>
            <a:ext uri="{FF2B5EF4-FFF2-40B4-BE49-F238E27FC236}">
              <a16:creationId xmlns:a16="http://schemas.microsoft.com/office/drawing/2014/main" id="{98FE8987-1ABD-5F99-6A1B-996C5DFD23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7" name="Text Box 491">
          <a:extLst>
            <a:ext uri="{FF2B5EF4-FFF2-40B4-BE49-F238E27FC236}">
              <a16:creationId xmlns:a16="http://schemas.microsoft.com/office/drawing/2014/main" id="{DB9E571B-635F-B802-5951-ABD7847E1C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8" name="Text Box 492">
          <a:extLst>
            <a:ext uri="{FF2B5EF4-FFF2-40B4-BE49-F238E27FC236}">
              <a16:creationId xmlns:a16="http://schemas.microsoft.com/office/drawing/2014/main" id="{E1DED5E0-A27D-1BB3-B615-BCFAF4601D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89" name="Text Box 493">
          <a:extLst>
            <a:ext uri="{FF2B5EF4-FFF2-40B4-BE49-F238E27FC236}">
              <a16:creationId xmlns:a16="http://schemas.microsoft.com/office/drawing/2014/main" id="{DC17D00C-C9A6-75F6-E7E4-3124A96EEA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0" name="Text Box 494">
          <a:extLst>
            <a:ext uri="{FF2B5EF4-FFF2-40B4-BE49-F238E27FC236}">
              <a16:creationId xmlns:a16="http://schemas.microsoft.com/office/drawing/2014/main" id="{5F5A7248-7CD1-9159-F756-0902CD2780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1" name="Text Box 495">
          <a:extLst>
            <a:ext uri="{FF2B5EF4-FFF2-40B4-BE49-F238E27FC236}">
              <a16:creationId xmlns:a16="http://schemas.microsoft.com/office/drawing/2014/main" id="{5E42755D-93FD-AF20-5F70-105575D897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2" name="Text Box 496">
          <a:extLst>
            <a:ext uri="{FF2B5EF4-FFF2-40B4-BE49-F238E27FC236}">
              <a16:creationId xmlns:a16="http://schemas.microsoft.com/office/drawing/2014/main" id="{D2207A3F-06A2-7FAE-6998-1E8D2EBEBC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3" name="Text Box 497">
          <a:extLst>
            <a:ext uri="{FF2B5EF4-FFF2-40B4-BE49-F238E27FC236}">
              <a16:creationId xmlns:a16="http://schemas.microsoft.com/office/drawing/2014/main" id="{C7C6FE6A-642E-82E7-0276-68E594E221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4" name="Text Box 498">
          <a:extLst>
            <a:ext uri="{FF2B5EF4-FFF2-40B4-BE49-F238E27FC236}">
              <a16:creationId xmlns:a16="http://schemas.microsoft.com/office/drawing/2014/main" id="{4FB524E8-EBFA-04D7-8C2E-96B3CE92C6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5" name="Text Box 499">
          <a:extLst>
            <a:ext uri="{FF2B5EF4-FFF2-40B4-BE49-F238E27FC236}">
              <a16:creationId xmlns:a16="http://schemas.microsoft.com/office/drawing/2014/main" id="{34BFDF06-0189-8531-EBBD-042227DE7B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6" name="Text Box 500">
          <a:extLst>
            <a:ext uri="{FF2B5EF4-FFF2-40B4-BE49-F238E27FC236}">
              <a16:creationId xmlns:a16="http://schemas.microsoft.com/office/drawing/2014/main" id="{2D4397D6-9EBB-9122-4B56-854D456574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7" name="Text Box 501">
          <a:extLst>
            <a:ext uri="{FF2B5EF4-FFF2-40B4-BE49-F238E27FC236}">
              <a16:creationId xmlns:a16="http://schemas.microsoft.com/office/drawing/2014/main" id="{1B02A149-E621-2CEB-2C39-3BD33DC3A3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8" name="Text Box 502">
          <a:extLst>
            <a:ext uri="{FF2B5EF4-FFF2-40B4-BE49-F238E27FC236}">
              <a16:creationId xmlns:a16="http://schemas.microsoft.com/office/drawing/2014/main" id="{74438D45-7C6F-647D-40DE-01CD3DE134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799" name="Text Box 503">
          <a:extLst>
            <a:ext uri="{FF2B5EF4-FFF2-40B4-BE49-F238E27FC236}">
              <a16:creationId xmlns:a16="http://schemas.microsoft.com/office/drawing/2014/main" id="{69940F3E-3A35-896C-65D0-9928AFDA05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0" name="Text Box 504">
          <a:extLst>
            <a:ext uri="{FF2B5EF4-FFF2-40B4-BE49-F238E27FC236}">
              <a16:creationId xmlns:a16="http://schemas.microsoft.com/office/drawing/2014/main" id="{A5DA4595-5F69-9964-E6B7-F4BBF4EC01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1" name="Text Box 505">
          <a:extLst>
            <a:ext uri="{FF2B5EF4-FFF2-40B4-BE49-F238E27FC236}">
              <a16:creationId xmlns:a16="http://schemas.microsoft.com/office/drawing/2014/main" id="{96808079-713A-B1E0-E92A-0D7624463C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2" name="Text Box 506">
          <a:extLst>
            <a:ext uri="{FF2B5EF4-FFF2-40B4-BE49-F238E27FC236}">
              <a16:creationId xmlns:a16="http://schemas.microsoft.com/office/drawing/2014/main" id="{34B579AF-EF3A-C48A-46C8-44D6EADBBD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3" name="Text Box 507">
          <a:extLst>
            <a:ext uri="{FF2B5EF4-FFF2-40B4-BE49-F238E27FC236}">
              <a16:creationId xmlns:a16="http://schemas.microsoft.com/office/drawing/2014/main" id="{9551A99C-458F-A24C-9511-01CED7A973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4" name="Text Box 508">
          <a:extLst>
            <a:ext uri="{FF2B5EF4-FFF2-40B4-BE49-F238E27FC236}">
              <a16:creationId xmlns:a16="http://schemas.microsoft.com/office/drawing/2014/main" id="{6CC7FDA7-3341-D906-2FA1-775C184300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5" name="Text Box 509">
          <a:extLst>
            <a:ext uri="{FF2B5EF4-FFF2-40B4-BE49-F238E27FC236}">
              <a16:creationId xmlns:a16="http://schemas.microsoft.com/office/drawing/2014/main" id="{1C732E5B-032E-2137-82C6-44B621BAFD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6" name="Text Box 510">
          <a:extLst>
            <a:ext uri="{FF2B5EF4-FFF2-40B4-BE49-F238E27FC236}">
              <a16:creationId xmlns:a16="http://schemas.microsoft.com/office/drawing/2014/main" id="{E84EBFFC-E47B-D761-BABE-1533FA8901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7" name="Text Box 511">
          <a:extLst>
            <a:ext uri="{FF2B5EF4-FFF2-40B4-BE49-F238E27FC236}">
              <a16:creationId xmlns:a16="http://schemas.microsoft.com/office/drawing/2014/main" id="{92DC4D13-5FA9-8483-1938-9B8B619621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8" name="Text Box 512">
          <a:extLst>
            <a:ext uri="{FF2B5EF4-FFF2-40B4-BE49-F238E27FC236}">
              <a16:creationId xmlns:a16="http://schemas.microsoft.com/office/drawing/2014/main" id="{97268055-64CB-4770-C059-22FD9A7696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09" name="Text Box 513">
          <a:extLst>
            <a:ext uri="{FF2B5EF4-FFF2-40B4-BE49-F238E27FC236}">
              <a16:creationId xmlns:a16="http://schemas.microsoft.com/office/drawing/2014/main" id="{46B70C95-971E-8105-AD86-36C461F3CB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0" name="Text Box 514">
          <a:extLst>
            <a:ext uri="{FF2B5EF4-FFF2-40B4-BE49-F238E27FC236}">
              <a16:creationId xmlns:a16="http://schemas.microsoft.com/office/drawing/2014/main" id="{20AA3E71-E6BF-7136-2B25-10D5BC9E13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1" name="Text Box 515">
          <a:extLst>
            <a:ext uri="{FF2B5EF4-FFF2-40B4-BE49-F238E27FC236}">
              <a16:creationId xmlns:a16="http://schemas.microsoft.com/office/drawing/2014/main" id="{E739A1CF-5704-B6A5-A6E6-1D0AA13AFD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2" name="Text Box 516">
          <a:extLst>
            <a:ext uri="{FF2B5EF4-FFF2-40B4-BE49-F238E27FC236}">
              <a16:creationId xmlns:a16="http://schemas.microsoft.com/office/drawing/2014/main" id="{70D7AE98-9AE1-E894-3D89-7334B6CC88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3" name="Text Box 517">
          <a:extLst>
            <a:ext uri="{FF2B5EF4-FFF2-40B4-BE49-F238E27FC236}">
              <a16:creationId xmlns:a16="http://schemas.microsoft.com/office/drawing/2014/main" id="{69FC30EE-5DE3-38E4-E38A-5343136A82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4" name="Text Box 518">
          <a:extLst>
            <a:ext uri="{FF2B5EF4-FFF2-40B4-BE49-F238E27FC236}">
              <a16:creationId xmlns:a16="http://schemas.microsoft.com/office/drawing/2014/main" id="{E691FB42-928A-05A7-6099-AC91E2F429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5" name="Text Box 519">
          <a:extLst>
            <a:ext uri="{FF2B5EF4-FFF2-40B4-BE49-F238E27FC236}">
              <a16:creationId xmlns:a16="http://schemas.microsoft.com/office/drawing/2014/main" id="{B02720DB-5312-D68F-215E-D72B3831A1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6" name="Text Box 520">
          <a:extLst>
            <a:ext uri="{FF2B5EF4-FFF2-40B4-BE49-F238E27FC236}">
              <a16:creationId xmlns:a16="http://schemas.microsoft.com/office/drawing/2014/main" id="{62FC69E0-9A7E-A9A1-DE38-E1C897A6EC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7" name="Text Box 521">
          <a:extLst>
            <a:ext uri="{FF2B5EF4-FFF2-40B4-BE49-F238E27FC236}">
              <a16:creationId xmlns:a16="http://schemas.microsoft.com/office/drawing/2014/main" id="{05B06C06-D298-D9F0-AF9D-8A5D3421E9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8" name="Text Box 522">
          <a:extLst>
            <a:ext uri="{FF2B5EF4-FFF2-40B4-BE49-F238E27FC236}">
              <a16:creationId xmlns:a16="http://schemas.microsoft.com/office/drawing/2014/main" id="{7FCB6BA8-4071-EF52-4F20-C613AA921F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19" name="Text Box 523">
          <a:extLst>
            <a:ext uri="{FF2B5EF4-FFF2-40B4-BE49-F238E27FC236}">
              <a16:creationId xmlns:a16="http://schemas.microsoft.com/office/drawing/2014/main" id="{74762195-3588-424F-DB0A-333733721F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0" name="Text Box 524">
          <a:extLst>
            <a:ext uri="{FF2B5EF4-FFF2-40B4-BE49-F238E27FC236}">
              <a16:creationId xmlns:a16="http://schemas.microsoft.com/office/drawing/2014/main" id="{B8E47B89-7437-5B28-734D-5220F0ADB4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1" name="Text Box 525">
          <a:extLst>
            <a:ext uri="{FF2B5EF4-FFF2-40B4-BE49-F238E27FC236}">
              <a16:creationId xmlns:a16="http://schemas.microsoft.com/office/drawing/2014/main" id="{EAF7F1CC-DC85-371A-F569-E375438580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2" name="Text Box 526">
          <a:extLst>
            <a:ext uri="{FF2B5EF4-FFF2-40B4-BE49-F238E27FC236}">
              <a16:creationId xmlns:a16="http://schemas.microsoft.com/office/drawing/2014/main" id="{FBCF4BA7-EF65-18B5-B372-AB4229A99C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3" name="Text Box 527">
          <a:extLst>
            <a:ext uri="{FF2B5EF4-FFF2-40B4-BE49-F238E27FC236}">
              <a16:creationId xmlns:a16="http://schemas.microsoft.com/office/drawing/2014/main" id="{7C6B436A-5020-3500-2439-887CF90E9C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4" name="Text Box 528">
          <a:extLst>
            <a:ext uri="{FF2B5EF4-FFF2-40B4-BE49-F238E27FC236}">
              <a16:creationId xmlns:a16="http://schemas.microsoft.com/office/drawing/2014/main" id="{21F8D7C8-E075-9972-0905-4C51B2F5CB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5" name="Text Box 529">
          <a:extLst>
            <a:ext uri="{FF2B5EF4-FFF2-40B4-BE49-F238E27FC236}">
              <a16:creationId xmlns:a16="http://schemas.microsoft.com/office/drawing/2014/main" id="{501275A4-2214-66E1-E5E2-30C6DD4E7E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6" name="Text Box 530">
          <a:extLst>
            <a:ext uri="{FF2B5EF4-FFF2-40B4-BE49-F238E27FC236}">
              <a16:creationId xmlns:a16="http://schemas.microsoft.com/office/drawing/2014/main" id="{98BBC5C7-513B-B444-4E16-25D5E68301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7" name="Text Box 531">
          <a:extLst>
            <a:ext uri="{FF2B5EF4-FFF2-40B4-BE49-F238E27FC236}">
              <a16:creationId xmlns:a16="http://schemas.microsoft.com/office/drawing/2014/main" id="{B507AC4D-65A6-B31F-0E1E-F0215EC145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8" name="Text Box 533">
          <a:extLst>
            <a:ext uri="{FF2B5EF4-FFF2-40B4-BE49-F238E27FC236}">
              <a16:creationId xmlns:a16="http://schemas.microsoft.com/office/drawing/2014/main" id="{5C090A57-8871-24A6-C85C-1843F29D82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29" name="Text Box 534">
          <a:extLst>
            <a:ext uri="{FF2B5EF4-FFF2-40B4-BE49-F238E27FC236}">
              <a16:creationId xmlns:a16="http://schemas.microsoft.com/office/drawing/2014/main" id="{1FD4FAB5-270E-2770-1E8D-83EC5A2F26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0" name="Text Box 535">
          <a:extLst>
            <a:ext uri="{FF2B5EF4-FFF2-40B4-BE49-F238E27FC236}">
              <a16:creationId xmlns:a16="http://schemas.microsoft.com/office/drawing/2014/main" id="{0EFD4EE7-5A2C-AD6E-5788-D1EA307A48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1" name="Text Box 536">
          <a:extLst>
            <a:ext uri="{FF2B5EF4-FFF2-40B4-BE49-F238E27FC236}">
              <a16:creationId xmlns:a16="http://schemas.microsoft.com/office/drawing/2014/main" id="{196DA620-F2A7-3DC8-6264-F9B22F1E6D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2" name="Text Box 537">
          <a:extLst>
            <a:ext uri="{FF2B5EF4-FFF2-40B4-BE49-F238E27FC236}">
              <a16:creationId xmlns:a16="http://schemas.microsoft.com/office/drawing/2014/main" id="{BBC8F8F8-277F-6D5E-8281-EB15BC8CAA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3" name="Text Box 538">
          <a:extLst>
            <a:ext uri="{FF2B5EF4-FFF2-40B4-BE49-F238E27FC236}">
              <a16:creationId xmlns:a16="http://schemas.microsoft.com/office/drawing/2014/main" id="{0FEFAC43-52D1-CBED-6B04-4D4DD64377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4" name="Text Box 539">
          <a:extLst>
            <a:ext uri="{FF2B5EF4-FFF2-40B4-BE49-F238E27FC236}">
              <a16:creationId xmlns:a16="http://schemas.microsoft.com/office/drawing/2014/main" id="{8C519A7C-0FA7-1BEB-97F5-632C9A2197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5" name="Text Box 540">
          <a:extLst>
            <a:ext uri="{FF2B5EF4-FFF2-40B4-BE49-F238E27FC236}">
              <a16:creationId xmlns:a16="http://schemas.microsoft.com/office/drawing/2014/main" id="{98E7831A-91ED-AC23-F6CE-F91A85D625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6" name="Text Box 541">
          <a:extLst>
            <a:ext uri="{FF2B5EF4-FFF2-40B4-BE49-F238E27FC236}">
              <a16:creationId xmlns:a16="http://schemas.microsoft.com/office/drawing/2014/main" id="{D6C870D5-3B6B-9268-8F18-C948B14691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7" name="Text Box 542">
          <a:extLst>
            <a:ext uri="{FF2B5EF4-FFF2-40B4-BE49-F238E27FC236}">
              <a16:creationId xmlns:a16="http://schemas.microsoft.com/office/drawing/2014/main" id="{C8AA7CF6-818E-3828-50FE-FD061DF25F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8" name="Text Box 543">
          <a:extLst>
            <a:ext uri="{FF2B5EF4-FFF2-40B4-BE49-F238E27FC236}">
              <a16:creationId xmlns:a16="http://schemas.microsoft.com/office/drawing/2014/main" id="{0F85D08D-D129-4DAF-7847-E2F9444261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39" name="Text Box 544">
          <a:extLst>
            <a:ext uri="{FF2B5EF4-FFF2-40B4-BE49-F238E27FC236}">
              <a16:creationId xmlns:a16="http://schemas.microsoft.com/office/drawing/2014/main" id="{4559D536-0951-B0E3-C70E-28C4205288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0" name="Text Box 545">
          <a:extLst>
            <a:ext uri="{FF2B5EF4-FFF2-40B4-BE49-F238E27FC236}">
              <a16:creationId xmlns:a16="http://schemas.microsoft.com/office/drawing/2014/main" id="{F3AD4BDC-C3E0-E498-C1BE-8FA9D2702C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1" name="Text Box 546">
          <a:extLst>
            <a:ext uri="{FF2B5EF4-FFF2-40B4-BE49-F238E27FC236}">
              <a16:creationId xmlns:a16="http://schemas.microsoft.com/office/drawing/2014/main" id="{7C8E54D9-EB34-C29E-497D-1DF34EE6EE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2" name="Text Box 547">
          <a:extLst>
            <a:ext uri="{FF2B5EF4-FFF2-40B4-BE49-F238E27FC236}">
              <a16:creationId xmlns:a16="http://schemas.microsoft.com/office/drawing/2014/main" id="{07C7CA71-F949-11C0-1A97-05814297BD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3" name="Text Box 548">
          <a:extLst>
            <a:ext uri="{FF2B5EF4-FFF2-40B4-BE49-F238E27FC236}">
              <a16:creationId xmlns:a16="http://schemas.microsoft.com/office/drawing/2014/main" id="{EEFA2196-E259-7CAE-BB45-901F12B865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4" name="Text Box 549">
          <a:extLst>
            <a:ext uri="{FF2B5EF4-FFF2-40B4-BE49-F238E27FC236}">
              <a16:creationId xmlns:a16="http://schemas.microsoft.com/office/drawing/2014/main" id="{F35FC124-459A-32C5-200F-EC67110ABE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5" name="Text Box 550">
          <a:extLst>
            <a:ext uri="{FF2B5EF4-FFF2-40B4-BE49-F238E27FC236}">
              <a16:creationId xmlns:a16="http://schemas.microsoft.com/office/drawing/2014/main" id="{782A32C7-1F43-8DA9-578F-C891A9F694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6" name="Text Box 551">
          <a:extLst>
            <a:ext uri="{FF2B5EF4-FFF2-40B4-BE49-F238E27FC236}">
              <a16:creationId xmlns:a16="http://schemas.microsoft.com/office/drawing/2014/main" id="{ED323C98-7623-77F6-4C39-94C7E13439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7" name="Text Box 552">
          <a:extLst>
            <a:ext uri="{FF2B5EF4-FFF2-40B4-BE49-F238E27FC236}">
              <a16:creationId xmlns:a16="http://schemas.microsoft.com/office/drawing/2014/main" id="{053AA7CE-9C91-B5E2-7696-3D6CCA6693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8" name="Text Box 553">
          <a:extLst>
            <a:ext uri="{FF2B5EF4-FFF2-40B4-BE49-F238E27FC236}">
              <a16:creationId xmlns:a16="http://schemas.microsoft.com/office/drawing/2014/main" id="{538F16BB-BD5F-F61F-B036-DD20F504B3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49" name="Text Box 554">
          <a:extLst>
            <a:ext uri="{FF2B5EF4-FFF2-40B4-BE49-F238E27FC236}">
              <a16:creationId xmlns:a16="http://schemas.microsoft.com/office/drawing/2014/main" id="{31A16EB9-3866-4C38-02BC-9C5D905F94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0" name="Text Box 555">
          <a:extLst>
            <a:ext uri="{FF2B5EF4-FFF2-40B4-BE49-F238E27FC236}">
              <a16:creationId xmlns:a16="http://schemas.microsoft.com/office/drawing/2014/main" id="{2E1143CE-2A93-1777-8AA8-B63BC61870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1" name="Text Box 556">
          <a:extLst>
            <a:ext uri="{FF2B5EF4-FFF2-40B4-BE49-F238E27FC236}">
              <a16:creationId xmlns:a16="http://schemas.microsoft.com/office/drawing/2014/main" id="{C09C8826-81D7-32CE-861D-EC60337194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2" name="Text Box 557">
          <a:extLst>
            <a:ext uri="{FF2B5EF4-FFF2-40B4-BE49-F238E27FC236}">
              <a16:creationId xmlns:a16="http://schemas.microsoft.com/office/drawing/2014/main" id="{A09B5EEC-BC4D-7AAE-95E9-A11D9E9C6C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3" name="Text Box 558">
          <a:extLst>
            <a:ext uri="{FF2B5EF4-FFF2-40B4-BE49-F238E27FC236}">
              <a16:creationId xmlns:a16="http://schemas.microsoft.com/office/drawing/2014/main" id="{CE65DF5E-466B-5976-A515-D8C8023E76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4" name="Text Box 559">
          <a:extLst>
            <a:ext uri="{FF2B5EF4-FFF2-40B4-BE49-F238E27FC236}">
              <a16:creationId xmlns:a16="http://schemas.microsoft.com/office/drawing/2014/main" id="{0DAD5BB6-3AE5-8EC3-6FF0-0EDB448191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5" name="Text Box 560">
          <a:extLst>
            <a:ext uri="{FF2B5EF4-FFF2-40B4-BE49-F238E27FC236}">
              <a16:creationId xmlns:a16="http://schemas.microsoft.com/office/drawing/2014/main" id="{FEF99730-95A2-9E7C-863B-20EC47E2D3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6" name="Text Box 561">
          <a:extLst>
            <a:ext uri="{FF2B5EF4-FFF2-40B4-BE49-F238E27FC236}">
              <a16:creationId xmlns:a16="http://schemas.microsoft.com/office/drawing/2014/main" id="{DF1E086A-F4C2-DEAD-A657-C0C659A585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7" name="Text Box 562">
          <a:extLst>
            <a:ext uri="{FF2B5EF4-FFF2-40B4-BE49-F238E27FC236}">
              <a16:creationId xmlns:a16="http://schemas.microsoft.com/office/drawing/2014/main" id="{7CA44245-5825-9482-9BAB-7CEE256566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8" name="Text Box 563">
          <a:extLst>
            <a:ext uri="{FF2B5EF4-FFF2-40B4-BE49-F238E27FC236}">
              <a16:creationId xmlns:a16="http://schemas.microsoft.com/office/drawing/2014/main" id="{814365D4-2028-8D1D-D9FD-797F3AF1BF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59" name="Text Box 564">
          <a:extLst>
            <a:ext uri="{FF2B5EF4-FFF2-40B4-BE49-F238E27FC236}">
              <a16:creationId xmlns:a16="http://schemas.microsoft.com/office/drawing/2014/main" id="{C643D421-AC26-3B44-FEE3-A38E583009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0" name="Text Box 565">
          <a:extLst>
            <a:ext uri="{FF2B5EF4-FFF2-40B4-BE49-F238E27FC236}">
              <a16:creationId xmlns:a16="http://schemas.microsoft.com/office/drawing/2014/main" id="{8B9D7C49-F1BA-9C14-61AE-CC5E323085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1" name="Text Box 566">
          <a:extLst>
            <a:ext uri="{FF2B5EF4-FFF2-40B4-BE49-F238E27FC236}">
              <a16:creationId xmlns:a16="http://schemas.microsoft.com/office/drawing/2014/main" id="{4F23ACED-D708-BCBF-59B5-0475326511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2" name="Text Box 567">
          <a:extLst>
            <a:ext uri="{FF2B5EF4-FFF2-40B4-BE49-F238E27FC236}">
              <a16:creationId xmlns:a16="http://schemas.microsoft.com/office/drawing/2014/main" id="{707AAA67-B009-D025-D41E-C918B6DBEC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3" name="Text Box 568">
          <a:extLst>
            <a:ext uri="{FF2B5EF4-FFF2-40B4-BE49-F238E27FC236}">
              <a16:creationId xmlns:a16="http://schemas.microsoft.com/office/drawing/2014/main" id="{64CCA3AA-3B56-61B2-F798-5959C453A0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4" name="Text Box 569">
          <a:extLst>
            <a:ext uri="{FF2B5EF4-FFF2-40B4-BE49-F238E27FC236}">
              <a16:creationId xmlns:a16="http://schemas.microsoft.com/office/drawing/2014/main" id="{6B4DC747-A392-88E3-6E5A-C1E6E8ADEA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5" name="Text Box 570">
          <a:extLst>
            <a:ext uri="{FF2B5EF4-FFF2-40B4-BE49-F238E27FC236}">
              <a16:creationId xmlns:a16="http://schemas.microsoft.com/office/drawing/2014/main" id="{04A7F508-932F-E4CE-ECE2-9AD478B2A6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6" name="Text Box 571">
          <a:extLst>
            <a:ext uri="{FF2B5EF4-FFF2-40B4-BE49-F238E27FC236}">
              <a16:creationId xmlns:a16="http://schemas.microsoft.com/office/drawing/2014/main" id="{6F18F213-33CA-19B6-E408-69AF3C1D52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7" name="Text Box 572">
          <a:extLst>
            <a:ext uri="{FF2B5EF4-FFF2-40B4-BE49-F238E27FC236}">
              <a16:creationId xmlns:a16="http://schemas.microsoft.com/office/drawing/2014/main" id="{42DCA59B-D754-4CA3-0204-B47063691F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8" name="Text Box 573">
          <a:extLst>
            <a:ext uri="{FF2B5EF4-FFF2-40B4-BE49-F238E27FC236}">
              <a16:creationId xmlns:a16="http://schemas.microsoft.com/office/drawing/2014/main" id="{F1AB7AC1-FE6C-B2E4-0347-8BF46B671B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69" name="Text Box 574">
          <a:extLst>
            <a:ext uri="{FF2B5EF4-FFF2-40B4-BE49-F238E27FC236}">
              <a16:creationId xmlns:a16="http://schemas.microsoft.com/office/drawing/2014/main" id="{8DAF343B-AC0C-4E24-9E07-8653A14F82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0" name="Text Box 575">
          <a:extLst>
            <a:ext uri="{FF2B5EF4-FFF2-40B4-BE49-F238E27FC236}">
              <a16:creationId xmlns:a16="http://schemas.microsoft.com/office/drawing/2014/main" id="{F92DB023-EB0F-0E90-2F3B-DDDA8DBDA8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1" name="Text Box 576">
          <a:extLst>
            <a:ext uri="{FF2B5EF4-FFF2-40B4-BE49-F238E27FC236}">
              <a16:creationId xmlns:a16="http://schemas.microsoft.com/office/drawing/2014/main" id="{FF7A05BA-E445-CCEF-3822-1E32658A66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2" name="Text Box 577">
          <a:extLst>
            <a:ext uri="{FF2B5EF4-FFF2-40B4-BE49-F238E27FC236}">
              <a16:creationId xmlns:a16="http://schemas.microsoft.com/office/drawing/2014/main" id="{C2935B6F-38E1-B190-BDEA-D12595086A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3" name="Text Box 578">
          <a:extLst>
            <a:ext uri="{FF2B5EF4-FFF2-40B4-BE49-F238E27FC236}">
              <a16:creationId xmlns:a16="http://schemas.microsoft.com/office/drawing/2014/main" id="{83CC2CBA-526A-4757-7976-A602884957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4" name="Text Box 579">
          <a:extLst>
            <a:ext uri="{FF2B5EF4-FFF2-40B4-BE49-F238E27FC236}">
              <a16:creationId xmlns:a16="http://schemas.microsoft.com/office/drawing/2014/main" id="{77781C98-45B5-968D-1F21-E7082DEF42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5" name="Text Box 580">
          <a:extLst>
            <a:ext uri="{FF2B5EF4-FFF2-40B4-BE49-F238E27FC236}">
              <a16:creationId xmlns:a16="http://schemas.microsoft.com/office/drawing/2014/main" id="{FCC10A80-CD13-BD7F-D65C-42780E4456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6" name="Text Box 581">
          <a:extLst>
            <a:ext uri="{FF2B5EF4-FFF2-40B4-BE49-F238E27FC236}">
              <a16:creationId xmlns:a16="http://schemas.microsoft.com/office/drawing/2014/main" id="{7A9AAE87-9179-27A8-BE17-0342DC39EA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7" name="Text Box 582">
          <a:extLst>
            <a:ext uri="{FF2B5EF4-FFF2-40B4-BE49-F238E27FC236}">
              <a16:creationId xmlns:a16="http://schemas.microsoft.com/office/drawing/2014/main" id="{B3098035-2EDF-A596-ECDA-809DA3A6BA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8" name="Text Box 583">
          <a:extLst>
            <a:ext uri="{FF2B5EF4-FFF2-40B4-BE49-F238E27FC236}">
              <a16:creationId xmlns:a16="http://schemas.microsoft.com/office/drawing/2014/main" id="{48B93309-CC29-758F-94E2-92958EB9DC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79" name="Text Box 584">
          <a:extLst>
            <a:ext uri="{FF2B5EF4-FFF2-40B4-BE49-F238E27FC236}">
              <a16:creationId xmlns:a16="http://schemas.microsoft.com/office/drawing/2014/main" id="{25E28A12-09A1-0BBE-8934-E7A4D4214C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0" name="Text Box 585">
          <a:extLst>
            <a:ext uri="{FF2B5EF4-FFF2-40B4-BE49-F238E27FC236}">
              <a16:creationId xmlns:a16="http://schemas.microsoft.com/office/drawing/2014/main" id="{7615D82C-3D97-0ACC-46AF-84055C58F4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1" name="Text Box 586">
          <a:extLst>
            <a:ext uri="{FF2B5EF4-FFF2-40B4-BE49-F238E27FC236}">
              <a16:creationId xmlns:a16="http://schemas.microsoft.com/office/drawing/2014/main" id="{9BC454D2-0734-4B8C-1271-14A0DF90DE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2" name="Text Box 587">
          <a:extLst>
            <a:ext uri="{FF2B5EF4-FFF2-40B4-BE49-F238E27FC236}">
              <a16:creationId xmlns:a16="http://schemas.microsoft.com/office/drawing/2014/main" id="{F2B3FE19-0D51-7B3C-0CCB-BA0B27B3E4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3" name="Text Box 588">
          <a:extLst>
            <a:ext uri="{FF2B5EF4-FFF2-40B4-BE49-F238E27FC236}">
              <a16:creationId xmlns:a16="http://schemas.microsoft.com/office/drawing/2014/main" id="{956E7225-5C58-8683-E331-8D4C922085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4" name="Text Box 589">
          <a:extLst>
            <a:ext uri="{FF2B5EF4-FFF2-40B4-BE49-F238E27FC236}">
              <a16:creationId xmlns:a16="http://schemas.microsoft.com/office/drawing/2014/main" id="{6B45477C-ADDA-FE57-5E07-81AB1173AA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5" name="Text Box 590">
          <a:extLst>
            <a:ext uri="{FF2B5EF4-FFF2-40B4-BE49-F238E27FC236}">
              <a16:creationId xmlns:a16="http://schemas.microsoft.com/office/drawing/2014/main" id="{BE893782-19F6-7A84-7E8A-D36D99BE72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6" name="Text Box 591">
          <a:extLst>
            <a:ext uri="{FF2B5EF4-FFF2-40B4-BE49-F238E27FC236}">
              <a16:creationId xmlns:a16="http://schemas.microsoft.com/office/drawing/2014/main" id="{2F98EB98-6C3B-B499-0F94-6B1832E0D3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7" name="Text Box 592">
          <a:extLst>
            <a:ext uri="{FF2B5EF4-FFF2-40B4-BE49-F238E27FC236}">
              <a16:creationId xmlns:a16="http://schemas.microsoft.com/office/drawing/2014/main" id="{536A6664-CBC3-B99D-A032-CE641AD171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8" name="Text Box 593">
          <a:extLst>
            <a:ext uri="{FF2B5EF4-FFF2-40B4-BE49-F238E27FC236}">
              <a16:creationId xmlns:a16="http://schemas.microsoft.com/office/drawing/2014/main" id="{11BDE964-3D8F-05D7-E5A6-F2105D8AD3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89" name="Text Box 594">
          <a:extLst>
            <a:ext uri="{FF2B5EF4-FFF2-40B4-BE49-F238E27FC236}">
              <a16:creationId xmlns:a16="http://schemas.microsoft.com/office/drawing/2014/main" id="{76C35764-9C92-4098-77EF-8A0E2A28FA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0" name="Text Box 595">
          <a:extLst>
            <a:ext uri="{FF2B5EF4-FFF2-40B4-BE49-F238E27FC236}">
              <a16:creationId xmlns:a16="http://schemas.microsoft.com/office/drawing/2014/main" id="{6C47F1CC-14D6-B0E1-F3DE-6F5A43A269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1" name="Text Box 596">
          <a:extLst>
            <a:ext uri="{FF2B5EF4-FFF2-40B4-BE49-F238E27FC236}">
              <a16:creationId xmlns:a16="http://schemas.microsoft.com/office/drawing/2014/main" id="{172013C2-BA40-4F0B-9D72-BE8F625318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2" name="Text Box 597">
          <a:extLst>
            <a:ext uri="{FF2B5EF4-FFF2-40B4-BE49-F238E27FC236}">
              <a16:creationId xmlns:a16="http://schemas.microsoft.com/office/drawing/2014/main" id="{FF29E2B7-A818-1904-91A3-61BF5C1AA8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3" name="Text Box 598">
          <a:extLst>
            <a:ext uri="{FF2B5EF4-FFF2-40B4-BE49-F238E27FC236}">
              <a16:creationId xmlns:a16="http://schemas.microsoft.com/office/drawing/2014/main" id="{BB4FAD72-0991-0705-D68A-B8766F6F46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4" name="Text Box 599">
          <a:extLst>
            <a:ext uri="{FF2B5EF4-FFF2-40B4-BE49-F238E27FC236}">
              <a16:creationId xmlns:a16="http://schemas.microsoft.com/office/drawing/2014/main" id="{3FAAFEB3-D66C-678A-04AA-E01716E6FF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5" name="Text Box 600">
          <a:extLst>
            <a:ext uri="{FF2B5EF4-FFF2-40B4-BE49-F238E27FC236}">
              <a16:creationId xmlns:a16="http://schemas.microsoft.com/office/drawing/2014/main" id="{C670D2F4-E3A6-8C7B-155F-8750F41A18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6" name="Text Box 601">
          <a:extLst>
            <a:ext uri="{FF2B5EF4-FFF2-40B4-BE49-F238E27FC236}">
              <a16:creationId xmlns:a16="http://schemas.microsoft.com/office/drawing/2014/main" id="{FD05BDB8-7471-00BE-B07A-FAF497DCEA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7" name="Text Box 602">
          <a:extLst>
            <a:ext uri="{FF2B5EF4-FFF2-40B4-BE49-F238E27FC236}">
              <a16:creationId xmlns:a16="http://schemas.microsoft.com/office/drawing/2014/main" id="{E18951BB-1CB6-6467-E70C-BC40919803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8" name="Text Box 603">
          <a:extLst>
            <a:ext uri="{FF2B5EF4-FFF2-40B4-BE49-F238E27FC236}">
              <a16:creationId xmlns:a16="http://schemas.microsoft.com/office/drawing/2014/main" id="{30D107DF-1D06-279F-E919-6A970F47AB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899" name="Text Box 604">
          <a:extLst>
            <a:ext uri="{FF2B5EF4-FFF2-40B4-BE49-F238E27FC236}">
              <a16:creationId xmlns:a16="http://schemas.microsoft.com/office/drawing/2014/main" id="{EF9D86E6-6C65-3CF9-C03F-9C9CE56E80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0" name="Text Box 605">
          <a:extLst>
            <a:ext uri="{FF2B5EF4-FFF2-40B4-BE49-F238E27FC236}">
              <a16:creationId xmlns:a16="http://schemas.microsoft.com/office/drawing/2014/main" id="{158A1CD6-FD8A-FF1E-DE80-3F502BFC28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1" name="Text Box 606">
          <a:extLst>
            <a:ext uri="{FF2B5EF4-FFF2-40B4-BE49-F238E27FC236}">
              <a16:creationId xmlns:a16="http://schemas.microsoft.com/office/drawing/2014/main" id="{5E8E24C2-E2BB-8772-7F22-12B095BF90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2" name="Text Box 607">
          <a:extLst>
            <a:ext uri="{FF2B5EF4-FFF2-40B4-BE49-F238E27FC236}">
              <a16:creationId xmlns:a16="http://schemas.microsoft.com/office/drawing/2014/main" id="{3A551880-D65A-182D-8D80-F0ED223E9C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3" name="Text Box 608">
          <a:extLst>
            <a:ext uri="{FF2B5EF4-FFF2-40B4-BE49-F238E27FC236}">
              <a16:creationId xmlns:a16="http://schemas.microsoft.com/office/drawing/2014/main" id="{08320F46-923F-B80C-4238-326CC40013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4" name="Text Box 609">
          <a:extLst>
            <a:ext uri="{FF2B5EF4-FFF2-40B4-BE49-F238E27FC236}">
              <a16:creationId xmlns:a16="http://schemas.microsoft.com/office/drawing/2014/main" id="{977227FB-59E8-0C6C-EA0C-397A11DC68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5" name="Text Box 610">
          <a:extLst>
            <a:ext uri="{FF2B5EF4-FFF2-40B4-BE49-F238E27FC236}">
              <a16:creationId xmlns:a16="http://schemas.microsoft.com/office/drawing/2014/main" id="{9199F0A3-C2CF-A39A-39DB-E667F08AED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6" name="Text Box 611">
          <a:extLst>
            <a:ext uri="{FF2B5EF4-FFF2-40B4-BE49-F238E27FC236}">
              <a16:creationId xmlns:a16="http://schemas.microsoft.com/office/drawing/2014/main" id="{3EEF1E0C-EA74-D7E0-47D9-A726CFE1C5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7" name="Text Box 612">
          <a:extLst>
            <a:ext uri="{FF2B5EF4-FFF2-40B4-BE49-F238E27FC236}">
              <a16:creationId xmlns:a16="http://schemas.microsoft.com/office/drawing/2014/main" id="{86FB0ABB-2481-05C4-F9AC-E7FF95A896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8" name="Text Box 613">
          <a:extLst>
            <a:ext uri="{FF2B5EF4-FFF2-40B4-BE49-F238E27FC236}">
              <a16:creationId xmlns:a16="http://schemas.microsoft.com/office/drawing/2014/main" id="{58E5E90F-E01C-65C2-0F80-2904C4F282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09" name="Text Box 614">
          <a:extLst>
            <a:ext uri="{FF2B5EF4-FFF2-40B4-BE49-F238E27FC236}">
              <a16:creationId xmlns:a16="http://schemas.microsoft.com/office/drawing/2014/main" id="{135D82B1-F9C6-2738-88FF-6CADC53849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0" name="Text Box 615">
          <a:extLst>
            <a:ext uri="{FF2B5EF4-FFF2-40B4-BE49-F238E27FC236}">
              <a16:creationId xmlns:a16="http://schemas.microsoft.com/office/drawing/2014/main" id="{E03943E4-2ED1-9A24-BA7A-CF79B89100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1" name="Text Box 616">
          <a:extLst>
            <a:ext uri="{FF2B5EF4-FFF2-40B4-BE49-F238E27FC236}">
              <a16:creationId xmlns:a16="http://schemas.microsoft.com/office/drawing/2014/main" id="{65DC98B3-ECB4-3DDF-03D1-4BCB3B1DAD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2" name="Text Box 617">
          <a:extLst>
            <a:ext uri="{FF2B5EF4-FFF2-40B4-BE49-F238E27FC236}">
              <a16:creationId xmlns:a16="http://schemas.microsoft.com/office/drawing/2014/main" id="{60B2FCC9-0AC5-0680-A403-3DE5498438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3" name="Text Box 618">
          <a:extLst>
            <a:ext uri="{FF2B5EF4-FFF2-40B4-BE49-F238E27FC236}">
              <a16:creationId xmlns:a16="http://schemas.microsoft.com/office/drawing/2014/main" id="{9DEB1967-B7E4-CDCD-8963-2D61BBB468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4" name="Text Box 619">
          <a:extLst>
            <a:ext uri="{FF2B5EF4-FFF2-40B4-BE49-F238E27FC236}">
              <a16:creationId xmlns:a16="http://schemas.microsoft.com/office/drawing/2014/main" id="{F7C4DFC7-62AF-A8A4-DE35-FBDB58DD15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5" name="Text Box 620">
          <a:extLst>
            <a:ext uri="{FF2B5EF4-FFF2-40B4-BE49-F238E27FC236}">
              <a16:creationId xmlns:a16="http://schemas.microsoft.com/office/drawing/2014/main" id="{CCBD3549-E13F-CCB0-D186-C6EBF2E206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6" name="Text Box 621">
          <a:extLst>
            <a:ext uri="{FF2B5EF4-FFF2-40B4-BE49-F238E27FC236}">
              <a16:creationId xmlns:a16="http://schemas.microsoft.com/office/drawing/2014/main" id="{457026D3-ADC1-5B11-C650-18A2424FFE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7" name="Text Box 622">
          <a:extLst>
            <a:ext uri="{FF2B5EF4-FFF2-40B4-BE49-F238E27FC236}">
              <a16:creationId xmlns:a16="http://schemas.microsoft.com/office/drawing/2014/main" id="{91D6FA85-40E4-A04F-8A5D-FB572CE10B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8" name="Text Box 623">
          <a:extLst>
            <a:ext uri="{FF2B5EF4-FFF2-40B4-BE49-F238E27FC236}">
              <a16:creationId xmlns:a16="http://schemas.microsoft.com/office/drawing/2014/main" id="{1586470D-7B3C-BD4E-2252-1F7319CBAC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19" name="Text Box 624">
          <a:extLst>
            <a:ext uri="{FF2B5EF4-FFF2-40B4-BE49-F238E27FC236}">
              <a16:creationId xmlns:a16="http://schemas.microsoft.com/office/drawing/2014/main" id="{32B0B8A7-6A77-E3F5-2BAC-8DB4D0B6D0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0" name="Text Box 625">
          <a:extLst>
            <a:ext uri="{FF2B5EF4-FFF2-40B4-BE49-F238E27FC236}">
              <a16:creationId xmlns:a16="http://schemas.microsoft.com/office/drawing/2014/main" id="{CB209184-DE99-0BB0-1BEF-4209CE9CB8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1" name="Text Box 626">
          <a:extLst>
            <a:ext uri="{FF2B5EF4-FFF2-40B4-BE49-F238E27FC236}">
              <a16:creationId xmlns:a16="http://schemas.microsoft.com/office/drawing/2014/main" id="{55E3EEA2-5432-5B63-605D-3A3993AA55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2" name="Text Box 627">
          <a:extLst>
            <a:ext uri="{FF2B5EF4-FFF2-40B4-BE49-F238E27FC236}">
              <a16:creationId xmlns:a16="http://schemas.microsoft.com/office/drawing/2014/main" id="{3D461752-FC7A-6AE4-4919-24540FE631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3" name="Text Box 628">
          <a:extLst>
            <a:ext uri="{FF2B5EF4-FFF2-40B4-BE49-F238E27FC236}">
              <a16:creationId xmlns:a16="http://schemas.microsoft.com/office/drawing/2014/main" id="{69461B9F-B6BC-29AD-5C8F-581B981E31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4" name="Text Box 629">
          <a:extLst>
            <a:ext uri="{FF2B5EF4-FFF2-40B4-BE49-F238E27FC236}">
              <a16:creationId xmlns:a16="http://schemas.microsoft.com/office/drawing/2014/main" id="{399DA215-9E09-C15F-2C4E-ED4062918A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5" name="Text Box 630">
          <a:extLst>
            <a:ext uri="{FF2B5EF4-FFF2-40B4-BE49-F238E27FC236}">
              <a16:creationId xmlns:a16="http://schemas.microsoft.com/office/drawing/2014/main" id="{B811F6F1-EC41-A75D-683F-00348C3939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6" name="Text Box 631">
          <a:extLst>
            <a:ext uri="{FF2B5EF4-FFF2-40B4-BE49-F238E27FC236}">
              <a16:creationId xmlns:a16="http://schemas.microsoft.com/office/drawing/2014/main" id="{A872C549-6D34-4C83-DD6B-1800431345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7" name="Text Box 632">
          <a:extLst>
            <a:ext uri="{FF2B5EF4-FFF2-40B4-BE49-F238E27FC236}">
              <a16:creationId xmlns:a16="http://schemas.microsoft.com/office/drawing/2014/main" id="{32EACC56-041A-7EAD-171D-73598C7C29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8" name="Text Box 633">
          <a:extLst>
            <a:ext uri="{FF2B5EF4-FFF2-40B4-BE49-F238E27FC236}">
              <a16:creationId xmlns:a16="http://schemas.microsoft.com/office/drawing/2014/main" id="{E3380326-B222-D6E1-A94D-C6C7BE2EF0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29" name="Text Box 634">
          <a:extLst>
            <a:ext uri="{FF2B5EF4-FFF2-40B4-BE49-F238E27FC236}">
              <a16:creationId xmlns:a16="http://schemas.microsoft.com/office/drawing/2014/main" id="{FBA8C914-2683-8AFE-8AC4-2FD448D6B4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0" name="Text Box 635">
          <a:extLst>
            <a:ext uri="{FF2B5EF4-FFF2-40B4-BE49-F238E27FC236}">
              <a16:creationId xmlns:a16="http://schemas.microsoft.com/office/drawing/2014/main" id="{69249D94-C57B-3649-F40A-49D516F753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1" name="Text Box 636">
          <a:extLst>
            <a:ext uri="{FF2B5EF4-FFF2-40B4-BE49-F238E27FC236}">
              <a16:creationId xmlns:a16="http://schemas.microsoft.com/office/drawing/2014/main" id="{D5EC7C3D-C4A0-2439-ED66-F06B88225D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2" name="Text Box 637">
          <a:extLst>
            <a:ext uri="{FF2B5EF4-FFF2-40B4-BE49-F238E27FC236}">
              <a16:creationId xmlns:a16="http://schemas.microsoft.com/office/drawing/2014/main" id="{9D7B94E1-982E-20DD-E2FA-B360CEEF23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3" name="Text Box 638">
          <a:extLst>
            <a:ext uri="{FF2B5EF4-FFF2-40B4-BE49-F238E27FC236}">
              <a16:creationId xmlns:a16="http://schemas.microsoft.com/office/drawing/2014/main" id="{35FA30E8-5537-16CE-17FF-FE14342AF3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4" name="Text Box 639">
          <a:extLst>
            <a:ext uri="{FF2B5EF4-FFF2-40B4-BE49-F238E27FC236}">
              <a16:creationId xmlns:a16="http://schemas.microsoft.com/office/drawing/2014/main" id="{0DCE768A-C2C9-08D7-CA59-2B8125190A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5" name="Text Box 640">
          <a:extLst>
            <a:ext uri="{FF2B5EF4-FFF2-40B4-BE49-F238E27FC236}">
              <a16:creationId xmlns:a16="http://schemas.microsoft.com/office/drawing/2014/main" id="{B0B2B8F3-878C-957C-835E-9D6688DE19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6" name="Text Box 641">
          <a:extLst>
            <a:ext uri="{FF2B5EF4-FFF2-40B4-BE49-F238E27FC236}">
              <a16:creationId xmlns:a16="http://schemas.microsoft.com/office/drawing/2014/main" id="{2685CDE0-ADCE-3692-CA88-59E580F462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7" name="Text Box 642">
          <a:extLst>
            <a:ext uri="{FF2B5EF4-FFF2-40B4-BE49-F238E27FC236}">
              <a16:creationId xmlns:a16="http://schemas.microsoft.com/office/drawing/2014/main" id="{CDABEFE6-3482-013E-DD65-E66EDE4532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8" name="Text Box 643">
          <a:extLst>
            <a:ext uri="{FF2B5EF4-FFF2-40B4-BE49-F238E27FC236}">
              <a16:creationId xmlns:a16="http://schemas.microsoft.com/office/drawing/2014/main" id="{C7806A1A-1A10-EBC6-7B7A-4C65230747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39" name="Text Box 644">
          <a:extLst>
            <a:ext uri="{FF2B5EF4-FFF2-40B4-BE49-F238E27FC236}">
              <a16:creationId xmlns:a16="http://schemas.microsoft.com/office/drawing/2014/main" id="{032B06DB-57CF-9752-3E38-3BBE62AAC8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0" name="Text Box 645">
          <a:extLst>
            <a:ext uri="{FF2B5EF4-FFF2-40B4-BE49-F238E27FC236}">
              <a16:creationId xmlns:a16="http://schemas.microsoft.com/office/drawing/2014/main" id="{46C7CD35-4B29-E97D-5166-C859C6876F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1" name="Text Box 646">
          <a:extLst>
            <a:ext uri="{FF2B5EF4-FFF2-40B4-BE49-F238E27FC236}">
              <a16:creationId xmlns:a16="http://schemas.microsoft.com/office/drawing/2014/main" id="{2761F31A-097F-91E0-0C5D-36848959FA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2" name="Text Box 647">
          <a:extLst>
            <a:ext uri="{FF2B5EF4-FFF2-40B4-BE49-F238E27FC236}">
              <a16:creationId xmlns:a16="http://schemas.microsoft.com/office/drawing/2014/main" id="{D33872E9-ADCD-C90F-E3CA-4435F38175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3" name="Text Box 648">
          <a:extLst>
            <a:ext uri="{FF2B5EF4-FFF2-40B4-BE49-F238E27FC236}">
              <a16:creationId xmlns:a16="http://schemas.microsoft.com/office/drawing/2014/main" id="{F4B3E30D-A5D6-A22C-6CAD-276B26E83D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4" name="Text Box 649">
          <a:extLst>
            <a:ext uri="{FF2B5EF4-FFF2-40B4-BE49-F238E27FC236}">
              <a16:creationId xmlns:a16="http://schemas.microsoft.com/office/drawing/2014/main" id="{BA728761-40B6-386E-A652-3A6C5F8012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5" name="Text Box 650">
          <a:extLst>
            <a:ext uri="{FF2B5EF4-FFF2-40B4-BE49-F238E27FC236}">
              <a16:creationId xmlns:a16="http://schemas.microsoft.com/office/drawing/2014/main" id="{5EADAF23-6351-3005-941B-82628BA257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6" name="Text Box 651">
          <a:extLst>
            <a:ext uri="{FF2B5EF4-FFF2-40B4-BE49-F238E27FC236}">
              <a16:creationId xmlns:a16="http://schemas.microsoft.com/office/drawing/2014/main" id="{F6C3F7EE-422C-54EE-9CC2-251907E094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7" name="Text Box 652">
          <a:extLst>
            <a:ext uri="{FF2B5EF4-FFF2-40B4-BE49-F238E27FC236}">
              <a16:creationId xmlns:a16="http://schemas.microsoft.com/office/drawing/2014/main" id="{EF630A95-7F18-C8F0-94F7-E567AA17EB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8" name="Text Box 653">
          <a:extLst>
            <a:ext uri="{FF2B5EF4-FFF2-40B4-BE49-F238E27FC236}">
              <a16:creationId xmlns:a16="http://schemas.microsoft.com/office/drawing/2014/main" id="{E4BEF4CC-EC41-DB97-E4F5-3C68CAEAE6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49" name="Text Box 654">
          <a:extLst>
            <a:ext uri="{FF2B5EF4-FFF2-40B4-BE49-F238E27FC236}">
              <a16:creationId xmlns:a16="http://schemas.microsoft.com/office/drawing/2014/main" id="{E31D9D6D-3712-AA76-09F7-30AE24C6FA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0" name="Text Box 655">
          <a:extLst>
            <a:ext uri="{FF2B5EF4-FFF2-40B4-BE49-F238E27FC236}">
              <a16:creationId xmlns:a16="http://schemas.microsoft.com/office/drawing/2014/main" id="{05C4810C-042C-F765-B205-7AB87FB68D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1" name="Text Box 656">
          <a:extLst>
            <a:ext uri="{FF2B5EF4-FFF2-40B4-BE49-F238E27FC236}">
              <a16:creationId xmlns:a16="http://schemas.microsoft.com/office/drawing/2014/main" id="{F3DD6C25-1450-759E-8D6E-1E5D2C459C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2" name="Text Box 657">
          <a:extLst>
            <a:ext uri="{FF2B5EF4-FFF2-40B4-BE49-F238E27FC236}">
              <a16:creationId xmlns:a16="http://schemas.microsoft.com/office/drawing/2014/main" id="{6587210D-BD86-0091-40BC-DC5DA5C791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3" name="Text Box 658">
          <a:extLst>
            <a:ext uri="{FF2B5EF4-FFF2-40B4-BE49-F238E27FC236}">
              <a16:creationId xmlns:a16="http://schemas.microsoft.com/office/drawing/2014/main" id="{DB4468B5-62A2-45AB-4900-B7A9B6C539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4" name="Text Box 659">
          <a:extLst>
            <a:ext uri="{FF2B5EF4-FFF2-40B4-BE49-F238E27FC236}">
              <a16:creationId xmlns:a16="http://schemas.microsoft.com/office/drawing/2014/main" id="{A3646681-D2B2-7F31-DEC6-1AA701097C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5" name="Text Box 660">
          <a:extLst>
            <a:ext uri="{FF2B5EF4-FFF2-40B4-BE49-F238E27FC236}">
              <a16:creationId xmlns:a16="http://schemas.microsoft.com/office/drawing/2014/main" id="{74455065-8C38-AEA5-1C96-B04824AF36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6" name="Text Box 661">
          <a:extLst>
            <a:ext uri="{FF2B5EF4-FFF2-40B4-BE49-F238E27FC236}">
              <a16:creationId xmlns:a16="http://schemas.microsoft.com/office/drawing/2014/main" id="{A5956772-A7A1-4749-B34D-51564BAF2F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7" name="Text Box 662">
          <a:extLst>
            <a:ext uri="{FF2B5EF4-FFF2-40B4-BE49-F238E27FC236}">
              <a16:creationId xmlns:a16="http://schemas.microsoft.com/office/drawing/2014/main" id="{598DDFAD-5493-7553-D59A-E34D55920A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8" name="Text Box 663">
          <a:extLst>
            <a:ext uri="{FF2B5EF4-FFF2-40B4-BE49-F238E27FC236}">
              <a16:creationId xmlns:a16="http://schemas.microsoft.com/office/drawing/2014/main" id="{8FB4E227-1319-3008-B518-9AA52D1006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59" name="Text Box 664">
          <a:extLst>
            <a:ext uri="{FF2B5EF4-FFF2-40B4-BE49-F238E27FC236}">
              <a16:creationId xmlns:a16="http://schemas.microsoft.com/office/drawing/2014/main" id="{B26A30F5-BB19-5B65-67FC-CA03ACA91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0" name="Text Box 665">
          <a:extLst>
            <a:ext uri="{FF2B5EF4-FFF2-40B4-BE49-F238E27FC236}">
              <a16:creationId xmlns:a16="http://schemas.microsoft.com/office/drawing/2014/main" id="{CEA0C216-B082-E13B-2118-3E4C0748B1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1" name="Text Box 666">
          <a:extLst>
            <a:ext uri="{FF2B5EF4-FFF2-40B4-BE49-F238E27FC236}">
              <a16:creationId xmlns:a16="http://schemas.microsoft.com/office/drawing/2014/main" id="{5D32E8D0-D84C-E62E-20DA-ACB86EAF98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2" name="Text Box 667">
          <a:extLst>
            <a:ext uri="{FF2B5EF4-FFF2-40B4-BE49-F238E27FC236}">
              <a16:creationId xmlns:a16="http://schemas.microsoft.com/office/drawing/2014/main" id="{A527FD46-B012-474E-74B4-0DBFDDD0ED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3" name="Text Box 668">
          <a:extLst>
            <a:ext uri="{FF2B5EF4-FFF2-40B4-BE49-F238E27FC236}">
              <a16:creationId xmlns:a16="http://schemas.microsoft.com/office/drawing/2014/main" id="{78A8D808-24CA-2244-EE0E-D13C2B6B24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4" name="Text Box 669">
          <a:extLst>
            <a:ext uri="{FF2B5EF4-FFF2-40B4-BE49-F238E27FC236}">
              <a16:creationId xmlns:a16="http://schemas.microsoft.com/office/drawing/2014/main" id="{993A9926-9ADB-FD14-4CA7-E19431DD6A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5" name="Text Box 670">
          <a:extLst>
            <a:ext uri="{FF2B5EF4-FFF2-40B4-BE49-F238E27FC236}">
              <a16:creationId xmlns:a16="http://schemas.microsoft.com/office/drawing/2014/main" id="{1F16CB91-B4B5-B466-FF9D-A45AA47251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6" name="Text Box 671">
          <a:extLst>
            <a:ext uri="{FF2B5EF4-FFF2-40B4-BE49-F238E27FC236}">
              <a16:creationId xmlns:a16="http://schemas.microsoft.com/office/drawing/2014/main" id="{8B5D1D01-71E0-21F1-C6EF-3DD066C420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7" name="Text Box 672">
          <a:extLst>
            <a:ext uri="{FF2B5EF4-FFF2-40B4-BE49-F238E27FC236}">
              <a16:creationId xmlns:a16="http://schemas.microsoft.com/office/drawing/2014/main" id="{9168392C-2648-C5AB-D7F7-AC4A3F9E1E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8" name="Text Box 673">
          <a:extLst>
            <a:ext uri="{FF2B5EF4-FFF2-40B4-BE49-F238E27FC236}">
              <a16:creationId xmlns:a16="http://schemas.microsoft.com/office/drawing/2014/main" id="{455CCEF1-42CA-DA0F-4FAA-9186CC082E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69" name="Text Box 674">
          <a:extLst>
            <a:ext uri="{FF2B5EF4-FFF2-40B4-BE49-F238E27FC236}">
              <a16:creationId xmlns:a16="http://schemas.microsoft.com/office/drawing/2014/main" id="{02FFB9F9-8A0B-E7E9-53F4-E48B36B148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0" name="Text Box 675">
          <a:extLst>
            <a:ext uri="{FF2B5EF4-FFF2-40B4-BE49-F238E27FC236}">
              <a16:creationId xmlns:a16="http://schemas.microsoft.com/office/drawing/2014/main" id="{6412D6ED-DA5B-F646-7BC7-DE9355ACF0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1" name="Text Box 676">
          <a:extLst>
            <a:ext uri="{FF2B5EF4-FFF2-40B4-BE49-F238E27FC236}">
              <a16:creationId xmlns:a16="http://schemas.microsoft.com/office/drawing/2014/main" id="{C3F86D84-9B12-7548-B3B1-9FFF8FF264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2" name="Text Box 677">
          <a:extLst>
            <a:ext uri="{FF2B5EF4-FFF2-40B4-BE49-F238E27FC236}">
              <a16:creationId xmlns:a16="http://schemas.microsoft.com/office/drawing/2014/main" id="{F0FF0CE6-6EDE-129A-B2B7-9E0281F319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3" name="Text Box 678">
          <a:extLst>
            <a:ext uri="{FF2B5EF4-FFF2-40B4-BE49-F238E27FC236}">
              <a16:creationId xmlns:a16="http://schemas.microsoft.com/office/drawing/2014/main" id="{8CB7BFCB-1942-87C6-1086-20F982E47A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4" name="Text Box 679">
          <a:extLst>
            <a:ext uri="{FF2B5EF4-FFF2-40B4-BE49-F238E27FC236}">
              <a16:creationId xmlns:a16="http://schemas.microsoft.com/office/drawing/2014/main" id="{CCD0DEFF-E5F6-B0AB-E43A-C571B05AF5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5" name="Text Box 680">
          <a:extLst>
            <a:ext uri="{FF2B5EF4-FFF2-40B4-BE49-F238E27FC236}">
              <a16:creationId xmlns:a16="http://schemas.microsoft.com/office/drawing/2014/main" id="{431D4A2A-3001-641B-50D9-8AC62A5028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6" name="Text Box 681">
          <a:extLst>
            <a:ext uri="{FF2B5EF4-FFF2-40B4-BE49-F238E27FC236}">
              <a16:creationId xmlns:a16="http://schemas.microsoft.com/office/drawing/2014/main" id="{FB0EFCD4-639C-64E3-7CF3-C4A4A29163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7" name="Text Box 682">
          <a:extLst>
            <a:ext uri="{FF2B5EF4-FFF2-40B4-BE49-F238E27FC236}">
              <a16:creationId xmlns:a16="http://schemas.microsoft.com/office/drawing/2014/main" id="{E9F1AABD-3291-A74A-7A5B-5165A14DA8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8" name="Text Box 683">
          <a:extLst>
            <a:ext uri="{FF2B5EF4-FFF2-40B4-BE49-F238E27FC236}">
              <a16:creationId xmlns:a16="http://schemas.microsoft.com/office/drawing/2014/main" id="{F5CCF972-CDFA-8649-EDFF-ABF9025F3E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79" name="Text Box 684">
          <a:extLst>
            <a:ext uri="{FF2B5EF4-FFF2-40B4-BE49-F238E27FC236}">
              <a16:creationId xmlns:a16="http://schemas.microsoft.com/office/drawing/2014/main" id="{38040164-08D3-4D90-8C54-530237DCF5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0" name="Text Box 685">
          <a:extLst>
            <a:ext uri="{FF2B5EF4-FFF2-40B4-BE49-F238E27FC236}">
              <a16:creationId xmlns:a16="http://schemas.microsoft.com/office/drawing/2014/main" id="{A2F8B6DC-DED5-FE78-C55A-7FCB351451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1" name="Text Box 686">
          <a:extLst>
            <a:ext uri="{FF2B5EF4-FFF2-40B4-BE49-F238E27FC236}">
              <a16:creationId xmlns:a16="http://schemas.microsoft.com/office/drawing/2014/main" id="{D66DD1EF-3809-E2CF-D49F-08D4B27A7A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2" name="Text Box 687">
          <a:extLst>
            <a:ext uri="{FF2B5EF4-FFF2-40B4-BE49-F238E27FC236}">
              <a16:creationId xmlns:a16="http://schemas.microsoft.com/office/drawing/2014/main" id="{A7F3009B-4FA8-0F49-9164-C04EB550B4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3" name="Text Box 688">
          <a:extLst>
            <a:ext uri="{FF2B5EF4-FFF2-40B4-BE49-F238E27FC236}">
              <a16:creationId xmlns:a16="http://schemas.microsoft.com/office/drawing/2014/main" id="{10AB9A12-B10C-E245-76E3-EC025F6EF6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4" name="Text Box 689">
          <a:extLst>
            <a:ext uri="{FF2B5EF4-FFF2-40B4-BE49-F238E27FC236}">
              <a16:creationId xmlns:a16="http://schemas.microsoft.com/office/drawing/2014/main" id="{9B697F55-0990-437B-0CBA-27FACD91C9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5" name="Text Box 690">
          <a:extLst>
            <a:ext uri="{FF2B5EF4-FFF2-40B4-BE49-F238E27FC236}">
              <a16:creationId xmlns:a16="http://schemas.microsoft.com/office/drawing/2014/main" id="{A249ED55-4B8C-DCE4-3AAF-4F50A35570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6" name="Text Box 691">
          <a:extLst>
            <a:ext uri="{FF2B5EF4-FFF2-40B4-BE49-F238E27FC236}">
              <a16:creationId xmlns:a16="http://schemas.microsoft.com/office/drawing/2014/main" id="{CE7A197B-D5B8-1B55-E168-113919DE6F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7" name="Text Box 692">
          <a:extLst>
            <a:ext uri="{FF2B5EF4-FFF2-40B4-BE49-F238E27FC236}">
              <a16:creationId xmlns:a16="http://schemas.microsoft.com/office/drawing/2014/main" id="{8169DA9D-498F-72B7-01CC-00BE448816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8" name="Text Box 693">
          <a:extLst>
            <a:ext uri="{FF2B5EF4-FFF2-40B4-BE49-F238E27FC236}">
              <a16:creationId xmlns:a16="http://schemas.microsoft.com/office/drawing/2014/main" id="{94E4E12A-87C3-62E9-5660-3815CDF5D4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89" name="Text Box 694">
          <a:extLst>
            <a:ext uri="{FF2B5EF4-FFF2-40B4-BE49-F238E27FC236}">
              <a16:creationId xmlns:a16="http://schemas.microsoft.com/office/drawing/2014/main" id="{B44C6A84-076A-B437-E652-DC41E3B749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0" name="Text Box 695">
          <a:extLst>
            <a:ext uri="{FF2B5EF4-FFF2-40B4-BE49-F238E27FC236}">
              <a16:creationId xmlns:a16="http://schemas.microsoft.com/office/drawing/2014/main" id="{3C825E6F-0F1E-BC44-0336-340AD9394A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1" name="Text Box 696">
          <a:extLst>
            <a:ext uri="{FF2B5EF4-FFF2-40B4-BE49-F238E27FC236}">
              <a16:creationId xmlns:a16="http://schemas.microsoft.com/office/drawing/2014/main" id="{62C69263-53CF-5611-B9DE-31DB5272B6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2" name="Text Box 697">
          <a:extLst>
            <a:ext uri="{FF2B5EF4-FFF2-40B4-BE49-F238E27FC236}">
              <a16:creationId xmlns:a16="http://schemas.microsoft.com/office/drawing/2014/main" id="{1B094AA3-AD0E-7411-023D-0299E44647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3" name="Text Box 698">
          <a:extLst>
            <a:ext uri="{FF2B5EF4-FFF2-40B4-BE49-F238E27FC236}">
              <a16:creationId xmlns:a16="http://schemas.microsoft.com/office/drawing/2014/main" id="{ED237297-4DDD-44ED-CD3E-BDB0BFA2DE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4" name="Text Box 699">
          <a:extLst>
            <a:ext uri="{FF2B5EF4-FFF2-40B4-BE49-F238E27FC236}">
              <a16:creationId xmlns:a16="http://schemas.microsoft.com/office/drawing/2014/main" id="{BC2ED1F2-CF64-63D3-A549-979A897DAF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5" name="Text Box 700">
          <a:extLst>
            <a:ext uri="{FF2B5EF4-FFF2-40B4-BE49-F238E27FC236}">
              <a16:creationId xmlns:a16="http://schemas.microsoft.com/office/drawing/2014/main" id="{51D89443-31BA-A7EA-D069-A65F92F923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6" name="Text Box 701">
          <a:extLst>
            <a:ext uri="{FF2B5EF4-FFF2-40B4-BE49-F238E27FC236}">
              <a16:creationId xmlns:a16="http://schemas.microsoft.com/office/drawing/2014/main" id="{FFA8C8B9-9643-AB78-6B93-BB58CE70D6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7" name="Text Box 702">
          <a:extLst>
            <a:ext uri="{FF2B5EF4-FFF2-40B4-BE49-F238E27FC236}">
              <a16:creationId xmlns:a16="http://schemas.microsoft.com/office/drawing/2014/main" id="{3BA15ABD-5B56-6E20-6951-C09808C7BB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8" name="Text Box 703">
          <a:extLst>
            <a:ext uri="{FF2B5EF4-FFF2-40B4-BE49-F238E27FC236}">
              <a16:creationId xmlns:a16="http://schemas.microsoft.com/office/drawing/2014/main" id="{DADFF279-CEB0-4B94-1024-607E80E1DF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29999" name="Text Box 704">
          <a:extLst>
            <a:ext uri="{FF2B5EF4-FFF2-40B4-BE49-F238E27FC236}">
              <a16:creationId xmlns:a16="http://schemas.microsoft.com/office/drawing/2014/main" id="{4CE9578C-799E-DA57-C45A-99138A1F1E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0" name="Text Box 705">
          <a:extLst>
            <a:ext uri="{FF2B5EF4-FFF2-40B4-BE49-F238E27FC236}">
              <a16:creationId xmlns:a16="http://schemas.microsoft.com/office/drawing/2014/main" id="{73D606AC-8EBD-845E-2C31-BEEF93A854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1" name="Text Box 706">
          <a:extLst>
            <a:ext uri="{FF2B5EF4-FFF2-40B4-BE49-F238E27FC236}">
              <a16:creationId xmlns:a16="http://schemas.microsoft.com/office/drawing/2014/main" id="{D2BC6416-FE31-FD8E-B568-B13E256AAE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2" name="Text Box 707">
          <a:extLst>
            <a:ext uri="{FF2B5EF4-FFF2-40B4-BE49-F238E27FC236}">
              <a16:creationId xmlns:a16="http://schemas.microsoft.com/office/drawing/2014/main" id="{613B6BD2-52D7-A119-4656-FCD37C64E6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3" name="Text Box 708">
          <a:extLst>
            <a:ext uri="{FF2B5EF4-FFF2-40B4-BE49-F238E27FC236}">
              <a16:creationId xmlns:a16="http://schemas.microsoft.com/office/drawing/2014/main" id="{062C4AA3-FB09-2283-4B48-CB475E14ED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4" name="Text Box 709">
          <a:extLst>
            <a:ext uri="{FF2B5EF4-FFF2-40B4-BE49-F238E27FC236}">
              <a16:creationId xmlns:a16="http://schemas.microsoft.com/office/drawing/2014/main" id="{8EC0BD64-6535-8772-0350-6F9EE8602D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5" name="Text Box 710">
          <a:extLst>
            <a:ext uri="{FF2B5EF4-FFF2-40B4-BE49-F238E27FC236}">
              <a16:creationId xmlns:a16="http://schemas.microsoft.com/office/drawing/2014/main" id="{7C2A5A94-ADDE-E287-176E-B59B202EFC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6" name="Text Box 711">
          <a:extLst>
            <a:ext uri="{FF2B5EF4-FFF2-40B4-BE49-F238E27FC236}">
              <a16:creationId xmlns:a16="http://schemas.microsoft.com/office/drawing/2014/main" id="{B787DE1F-EDFE-53CC-A1C6-57FB065C50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7" name="Text Box 713">
          <a:extLst>
            <a:ext uri="{FF2B5EF4-FFF2-40B4-BE49-F238E27FC236}">
              <a16:creationId xmlns:a16="http://schemas.microsoft.com/office/drawing/2014/main" id="{323C30FF-F25B-28B5-240C-AF0180D56D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8" name="Text Box 715">
          <a:extLst>
            <a:ext uri="{FF2B5EF4-FFF2-40B4-BE49-F238E27FC236}">
              <a16:creationId xmlns:a16="http://schemas.microsoft.com/office/drawing/2014/main" id="{57B10D2C-97FD-FCB5-DEBE-D156517601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09" name="Text Box 716">
          <a:extLst>
            <a:ext uri="{FF2B5EF4-FFF2-40B4-BE49-F238E27FC236}">
              <a16:creationId xmlns:a16="http://schemas.microsoft.com/office/drawing/2014/main" id="{78F2FD6D-5F8A-2A2B-673A-E47DCCE731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0" name="Text Box 717">
          <a:extLst>
            <a:ext uri="{FF2B5EF4-FFF2-40B4-BE49-F238E27FC236}">
              <a16:creationId xmlns:a16="http://schemas.microsoft.com/office/drawing/2014/main" id="{91DEA186-797D-6FDC-7C1B-0AF8547A77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1" name="Text Box 718">
          <a:extLst>
            <a:ext uri="{FF2B5EF4-FFF2-40B4-BE49-F238E27FC236}">
              <a16:creationId xmlns:a16="http://schemas.microsoft.com/office/drawing/2014/main" id="{736A5A6B-398D-1883-6288-2207FBD1E8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2" name="Text Box 719">
          <a:extLst>
            <a:ext uri="{FF2B5EF4-FFF2-40B4-BE49-F238E27FC236}">
              <a16:creationId xmlns:a16="http://schemas.microsoft.com/office/drawing/2014/main" id="{1790B7B9-37FD-E008-5957-63A4A89525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3" name="Text Box 720">
          <a:extLst>
            <a:ext uri="{FF2B5EF4-FFF2-40B4-BE49-F238E27FC236}">
              <a16:creationId xmlns:a16="http://schemas.microsoft.com/office/drawing/2014/main" id="{C0458722-6984-5AD4-EA8B-88D8D7403A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4" name="Text Box 721">
          <a:extLst>
            <a:ext uri="{FF2B5EF4-FFF2-40B4-BE49-F238E27FC236}">
              <a16:creationId xmlns:a16="http://schemas.microsoft.com/office/drawing/2014/main" id="{0CDA663C-AA79-70D5-1744-8754BA6BB8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5" name="Text Box 722">
          <a:extLst>
            <a:ext uri="{FF2B5EF4-FFF2-40B4-BE49-F238E27FC236}">
              <a16:creationId xmlns:a16="http://schemas.microsoft.com/office/drawing/2014/main" id="{E194C7C3-BA73-15C5-C565-EC77CCD3DE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6" name="Text Box 723">
          <a:extLst>
            <a:ext uri="{FF2B5EF4-FFF2-40B4-BE49-F238E27FC236}">
              <a16:creationId xmlns:a16="http://schemas.microsoft.com/office/drawing/2014/main" id="{D8D1923D-1B5B-BD53-52EB-CCE7B33A1C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7" name="Text Box 724">
          <a:extLst>
            <a:ext uri="{FF2B5EF4-FFF2-40B4-BE49-F238E27FC236}">
              <a16:creationId xmlns:a16="http://schemas.microsoft.com/office/drawing/2014/main" id="{2805F6E6-9558-53F3-01AB-DB432C82CD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8" name="Text Box 727">
          <a:extLst>
            <a:ext uri="{FF2B5EF4-FFF2-40B4-BE49-F238E27FC236}">
              <a16:creationId xmlns:a16="http://schemas.microsoft.com/office/drawing/2014/main" id="{9A3DB096-7864-FE1B-2E9C-F7F02B909C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19" name="Text Box 728">
          <a:extLst>
            <a:ext uri="{FF2B5EF4-FFF2-40B4-BE49-F238E27FC236}">
              <a16:creationId xmlns:a16="http://schemas.microsoft.com/office/drawing/2014/main" id="{BDA36EA1-7847-E665-652B-2FE4F17DF8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0" name="Text Box 729">
          <a:extLst>
            <a:ext uri="{FF2B5EF4-FFF2-40B4-BE49-F238E27FC236}">
              <a16:creationId xmlns:a16="http://schemas.microsoft.com/office/drawing/2014/main" id="{659E1045-8A13-D42C-DEC2-D89316C708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1" name="Text Box 730">
          <a:extLst>
            <a:ext uri="{FF2B5EF4-FFF2-40B4-BE49-F238E27FC236}">
              <a16:creationId xmlns:a16="http://schemas.microsoft.com/office/drawing/2014/main" id="{B7602B4D-0B81-CE09-6BD3-4F2235E9AB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2" name="Text Box 731">
          <a:extLst>
            <a:ext uri="{FF2B5EF4-FFF2-40B4-BE49-F238E27FC236}">
              <a16:creationId xmlns:a16="http://schemas.microsoft.com/office/drawing/2014/main" id="{D3BD950C-5EAC-69C1-F783-6FA6E63E7F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3" name="Text Box 732">
          <a:extLst>
            <a:ext uri="{FF2B5EF4-FFF2-40B4-BE49-F238E27FC236}">
              <a16:creationId xmlns:a16="http://schemas.microsoft.com/office/drawing/2014/main" id="{987FF1C0-996D-AA38-5EA4-70D02D74E6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4" name="Text Box 733">
          <a:extLst>
            <a:ext uri="{FF2B5EF4-FFF2-40B4-BE49-F238E27FC236}">
              <a16:creationId xmlns:a16="http://schemas.microsoft.com/office/drawing/2014/main" id="{040D5BA7-1C76-CA9D-A217-58C06CB3D2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5" name="Text Box 734">
          <a:extLst>
            <a:ext uri="{FF2B5EF4-FFF2-40B4-BE49-F238E27FC236}">
              <a16:creationId xmlns:a16="http://schemas.microsoft.com/office/drawing/2014/main" id="{63AFECAF-D92F-DEAD-C03D-DD3F61835B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6" name="Text Box 735">
          <a:extLst>
            <a:ext uri="{FF2B5EF4-FFF2-40B4-BE49-F238E27FC236}">
              <a16:creationId xmlns:a16="http://schemas.microsoft.com/office/drawing/2014/main" id="{C9BE74FF-FDDB-2D38-2452-2440B0E281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7" name="Text Box 736">
          <a:extLst>
            <a:ext uri="{FF2B5EF4-FFF2-40B4-BE49-F238E27FC236}">
              <a16:creationId xmlns:a16="http://schemas.microsoft.com/office/drawing/2014/main" id="{8F7DF1F8-314A-9D83-1056-5C3E8C6B41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8" name="Text Box 737">
          <a:extLst>
            <a:ext uri="{FF2B5EF4-FFF2-40B4-BE49-F238E27FC236}">
              <a16:creationId xmlns:a16="http://schemas.microsoft.com/office/drawing/2014/main" id="{348B0D31-1784-9070-F8FB-6BE25C441B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29" name="Text Box 738">
          <a:extLst>
            <a:ext uri="{FF2B5EF4-FFF2-40B4-BE49-F238E27FC236}">
              <a16:creationId xmlns:a16="http://schemas.microsoft.com/office/drawing/2014/main" id="{3D6ACD76-45EA-FCCB-BF2E-9238650A68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0" name="Text Box 739">
          <a:extLst>
            <a:ext uri="{FF2B5EF4-FFF2-40B4-BE49-F238E27FC236}">
              <a16:creationId xmlns:a16="http://schemas.microsoft.com/office/drawing/2014/main" id="{3A0E241A-44E0-C165-010D-CE10559A57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1" name="Text Box 740">
          <a:extLst>
            <a:ext uri="{FF2B5EF4-FFF2-40B4-BE49-F238E27FC236}">
              <a16:creationId xmlns:a16="http://schemas.microsoft.com/office/drawing/2014/main" id="{715AAC8D-17DF-4C35-5E33-4AE3D97022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2" name="Text Box 741">
          <a:extLst>
            <a:ext uri="{FF2B5EF4-FFF2-40B4-BE49-F238E27FC236}">
              <a16:creationId xmlns:a16="http://schemas.microsoft.com/office/drawing/2014/main" id="{2AE6CCCA-3DBC-DA8E-A17F-38D732B4CF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3" name="Text Box 742">
          <a:extLst>
            <a:ext uri="{FF2B5EF4-FFF2-40B4-BE49-F238E27FC236}">
              <a16:creationId xmlns:a16="http://schemas.microsoft.com/office/drawing/2014/main" id="{41273020-5720-175B-EB69-BF50DD1E47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4" name="Text Box 743">
          <a:extLst>
            <a:ext uri="{FF2B5EF4-FFF2-40B4-BE49-F238E27FC236}">
              <a16:creationId xmlns:a16="http://schemas.microsoft.com/office/drawing/2014/main" id="{20E36B4C-92A3-5C91-58C6-805D0B5D3E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5" name="Text Box 744">
          <a:extLst>
            <a:ext uri="{FF2B5EF4-FFF2-40B4-BE49-F238E27FC236}">
              <a16:creationId xmlns:a16="http://schemas.microsoft.com/office/drawing/2014/main" id="{F8ED80D5-8920-F6AA-8288-8C903DE6EE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6" name="Text Box 745">
          <a:extLst>
            <a:ext uri="{FF2B5EF4-FFF2-40B4-BE49-F238E27FC236}">
              <a16:creationId xmlns:a16="http://schemas.microsoft.com/office/drawing/2014/main" id="{B7547012-6399-D8A0-3CE4-811D7B31AD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7" name="Text Box 746">
          <a:extLst>
            <a:ext uri="{FF2B5EF4-FFF2-40B4-BE49-F238E27FC236}">
              <a16:creationId xmlns:a16="http://schemas.microsoft.com/office/drawing/2014/main" id="{409DCB78-D75C-6610-0607-B897FA8FAF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8" name="Text Box 747">
          <a:extLst>
            <a:ext uri="{FF2B5EF4-FFF2-40B4-BE49-F238E27FC236}">
              <a16:creationId xmlns:a16="http://schemas.microsoft.com/office/drawing/2014/main" id="{69419EEC-E939-BC35-6107-FF8476718E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39" name="Text Box 748">
          <a:extLst>
            <a:ext uri="{FF2B5EF4-FFF2-40B4-BE49-F238E27FC236}">
              <a16:creationId xmlns:a16="http://schemas.microsoft.com/office/drawing/2014/main" id="{60D89C20-5DA0-3A09-0849-4986742997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0" name="Text Box 749">
          <a:extLst>
            <a:ext uri="{FF2B5EF4-FFF2-40B4-BE49-F238E27FC236}">
              <a16:creationId xmlns:a16="http://schemas.microsoft.com/office/drawing/2014/main" id="{080618A2-0ADE-6ED9-4475-F771CFCFEA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1" name="Text Box 750">
          <a:extLst>
            <a:ext uri="{FF2B5EF4-FFF2-40B4-BE49-F238E27FC236}">
              <a16:creationId xmlns:a16="http://schemas.microsoft.com/office/drawing/2014/main" id="{D7A73A78-BBF8-BAF6-1691-2D8DC8D1AD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2" name="Text Box 751">
          <a:extLst>
            <a:ext uri="{FF2B5EF4-FFF2-40B4-BE49-F238E27FC236}">
              <a16:creationId xmlns:a16="http://schemas.microsoft.com/office/drawing/2014/main" id="{D0FAE418-E046-D32B-DA7D-BAE816BE6F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3" name="Text Box 752">
          <a:extLst>
            <a:ext uri="{FF2B5EF4-FFF2-40B4-BE49-F238E27FC236}">
              <a16:creationId xmlns:a16="http://schemas.microsoft.com/office/drawing/2014/main" id="{15529ED8-91FA-EACA-9E3F-A02922DAAF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4" name="Text Box 753">
          <a:extLst>
            <a:ext uri="{FF2B5EF4-FFF2-40B4-BE49-F238E27FC236}">
              <a16:creationId xmlns:a16="http://schemas.microsoft.com/office/drawing/2014/main" id="{4ED59EDF-685A-E1FB-9E17-0955D771A7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5" name="Text Box 754">
          <a:extLst>
            <a:ext uri="{FF2B5EF4-FFF2-40B4-BE49-F238E27FC236}">
              <a16:creationId xmlns:a16="http://schemas.microsoft.com/office/drawing/2014/main" id="{B29E35F9-EA9D-2513-6772-134328EAB0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6" name="Text Box 755">
          <a:extLst>
            <a:ext uri="{FF2B5EF4-FFF2-40B4-BE49-F238E27FC236}">
              <a16:creationId xmlns:a16="http://schemas.microsoft.com/office/drawing/2014/main" id="{B31C29D9-0DCF-5877-5F1B-5BF3BEC30C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7" name="Text Box 756">
          <a:extLst>
            <a:ext uri="{FF2B5EF4-FFF2-40B4-BE49-F238E27FC236}">
              <a16:creationId xmlns:a16="http://schemas.microsoft.com/office/drawing/2014/main" id="{B939D113-2FC5-CC54-F4F3-DFB101AA40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8" name="Text Box 757">
          <a:extLst>
            <a:ext uri="{FF2B5EF4-FFF2-40B4-BE49-F238E27FC236}">
              <a16:creationId xmlns:a16="http://schemas.microsoft.com/office/drawing/2014/main" id="{30C647A8-B2C1-E9B4-EC12-A520D8C0F2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49" name="Text Box 758">
          <a:extLst>
            <a:ext uri="{FF2B5EF4-FFF2-40B4-BE49-F238E27FC236}">
              <a16:creationId xmlns:a16="http://schemas.microsoft.com/office/drawing/2014/main" id="{CD9511EE-EDC4-BB89-490F-3BC6017463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0" name="Text Box 759">
          <a:extLst>
            <a:ext uri="{FF2B5EF4-FFF2-40B4-BE49-F238E27FC236}">
              <a16:creationId xmlns:a16="http://schemas.microsoft.com/office/drawing/2014/main" id="{E99B5A2C-0A6C-02D7-79A9-FD11BA62E4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1" name="Text Box 760">
          <a:extLst>
            <a:ext uri="{FF2B5EF4-FFF2-40B4-BE49-F238E27FC236}">
              <a16:creationId xmlns:a16="http://schemas.microsoft.com/office/drawing/2014/main" id="{B8E5AE0F-C1F3-CB8A-165C-EEE9B2E0A8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2" name="Text Box 761">
          <a:extLst>
            <a:ext uri="{FF2B5EF4-FFF2-40B4-BE49-F238E27FC236}">
              <a16:creationId xmlns:a16="http://schemas.microsoft.com/office/drawing/2014/main" id="{13B0FB74-BEA2-0AF8-DAC0-87B9C5F799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3" name="Text Box 762">
          <a:extLst>
            <a:ext uri="{FF2B5EF4-FFF2-40B4-BE49-F238E27FC236}">
              <a16:creationId xmlns:a16="http://schemas.microsoft.com/office/drawing/2014/main" id="{1F0638EB-9FC7-9D13-38B9-3E9A5CB6E1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4" name="Text Box 763">
          <a:extLst>
            <a:ext uri="{FF2B5EF4-FFF2-40B4-BE49-F238E27FC236}">
              <a16:creationId xmlns:a16="http://schemas.microsoft.com/office/drawing/2014/main" id="{DB8948A4-E43E-185D-3F3C-E0B8D1392B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5" name="Text Box 764">
          <a:extLst>
            <a:ext uri="{FF2B5EF4-FFF2-40B4-BE49-F238E27FC236}">
              <a16:creationId xmlns:a16="http://schemas.microsoft.com/office/drawing/2014/main" id="{38648A5A-6E87-884A-65E2-F5528A551C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6" name="Text Box 765">
          <a:extLst>
            <a:ext uri="{FF2B5EF4-FFF2-40B4-BE49-F238E27FC236}">
              <a16:creationId xmlns:a16="http://schemas.microsoft.com/office/drawing/2014/main" id="{63461EA3-9D29-985F-8983-EAABF78ABA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7" name="Text Box 766">
          <a:extLst>
            <a:ext uri="{FF2B5EF4-FFF2-40B4-BE49-F238E27FC236}">
              <a16:creationId xmlns:a16="http://schemas.microsoft.com/office/drawing/2014/main" id="{61DA9FE1-F5C2-7160-FFFA-E88BCDC72E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8" name="Text Box 767">
          <a:extLst>
            <a:ext uri="{FF2B5EF4-FFF2-40B4-BE49-F238E27FC236}">
              <a16:creationId xmlns:a16="http://schemas.microsoft.com/office/drawing/2014/main" id="{CCAF2689-DF95-4133-D275-A64680DF0A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59" name="Text Box 768">
          <a:extLst>
            <a:ext uri="{FF2B5EF4-FFF2-40B4-BE49-F238E27FC236}">
              <a16:creationId xmlns:a16="http://schemas.microsoft.com/office/drawing/2014/main" id="{85C124D7-F46B-B4CD-E60A-A3BF04CE4F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0" name="Text Box 769">
          <a:extLst>
            <a:ext uri="{FF2B5EF4-FFF2-40B4-BE49-F238E27FC236}">
              <a16:creationId xmlns:a16="http://schemas.microsoft.com/office/drawing/2014/main" id="{1FB76923-2E50-7B3C-72CA-E1671CDA9B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1" name="Text Box 770">
          <a:extLst>
            <a:ext uri="{FF2B5EF4-FFF2-40B4-BE49-F238E27FC236}">
              <a16:creationId xmlns:a16="http://schemas.microsoft.com/office/drawing/2014/main" id="{397D07C8-5E7E-3E17-A78E-A87CF478FF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2" name="Text Box 771">
          <a:extLst>
            <a:ext uri="{FF2B5EF4-FFF2-40B4-BE49-F238E27FC236}">
              <a16:creationId xmlns:a16="http://schemas.microsoft.com/office/drawing/2014/main" id="{E6821E1C-9E09-10D9-7A76-C99317D421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3" name="Text Box 772">
          <a:extLst>
            <a:ext uri="{FF2B5EF4-FFF2-40B4-BE49-F238E27FC236}">
              <a16:creationId xmlns:a16="http://schemas.microsoft.com/office/drawing/2014/main" id="{6C557A90-8BE7-2C62-2722-EA57483727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4" name="Text Box 773">
          <a:extLst>
            <a:ext uri="{FF2B5EF4-FFF2-40B4-BE49-F238E27FC236}">
              <a16:creationId xmlns:a16="http://schemas.microsoft.com/office/drawing/2014/main" id="{FFAB2442-78C8-23C2-8297-4185D19AF4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5" name="Text Box 774">
          <a:extLst>
            <a:ext uri="{FF2B5EF4-FFF2-40B4-BE49-F238E27FC236}">
              <a16:creationId xmlns:a16="http://schemas.microsoft.com/office/drawing/2014/main" id="{A569D21E-32DE-4364-31EF-1C203D3435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6" name="Text Box 775">
          <a:extLst>
            <a:ext uri="{FF2B5EF4-FFF2-40B4-BE49-F238E27FC236}">
              <a16:creationId xmlns:a16="http://schemas.microsoft.com/office/drawing/2014/main" id="{D0A5A0FC-E66B-F186-45B6-AABD2A57A4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7" name="Text Box 776">
          <a:extLst>
            <a:ext uri="{FF2B5EF4-FFF2-40B4-BE49-F238E27FC236}">
              <a16:creationId xmlns:a16="http://schemas.microsoft.com/office/drawing/2014/main" id="{8670AA7B-7C0E-722E-321F-F9BDC52788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8" name="Text Box 777">
          <a:extLst>
            <a:ext uri="{FF2B5EF4-FFF2-40B4-BE49-F238E27FC236}">
              <a16:creationId xmlns:a16="http://schemas.microsoft.com/office/drawing/2014/main" id="{8276ABB5-ECF9-B244-9680-61F8E38A7B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69" name="Text Box 778">
          <a:extLst>
            <a:ext uri="{FF2B5EF4-FFF2-40B4-BE49-F238E27FC236}">
              <a16:creationId xmlns:a16="http://schemas.microsoft.com/office/drawing/2014/main" id="{D9A9F536-C893-994B-9B2F-31C0C6C698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0" name="Text Box 779">
          <a:extLst>
            <a:ext uri="{FF2B5EF4-FFF2-40B4-BE49-F238E27FC236}">
              <a16:creationId xmlns:a16="http://schemas.microsoft.com/office/drawing/2014/main" id="{158CB1EB-8E89-D7DB-402E-F201C58A3F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1" name="Text Box 780">
          <a:extLst>
            <a:ext uri="{FF2B5EF4-FFF2-40B4-BE49-F238E27FC236}">
              <a16:creationId xmlns:a16="http://schemas.microsoft.com/office/drawing/2014/main" id="{0A5790DF-2724-44D0-323C-1F2B4209FE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2" name="Text Box 781">
          <a:extLst>
            <a:ext uri="{FF2B5EF4-FFF2-40B4-BE49-F238E27FC236}">
              <a16:creationId xmlns:a16="http://schemas.microsoft.com/office/drawing/2014/main" id="{569C1B6A-4120-9223-0326-BABE71690A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3" name="Text Box 782">
          <a:extLst>
            <a:ext uri="{FF2B5EF4-FFF2-40B4-BE49-F238E27FC236}">
              <a16:creationId xmlns:a16="http://schemas.microsoft.com/office/drawing/2014/main" id="{C6D16400-8098-EA93-744C-87785C7312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4" name="Text Box 783">
          <a:extLst>
            <a:ext uri="{FF2B5EF4-FFF2-40B4-BE49-F238E27FC236}">
              <a16:creationId xmlns:a16="http://schemas.microsoft.com/office/drawing/2014/main" id="{9653CDF9-0D78-AA9F-2701-9E460645A2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5" name="Text Box 784">
          <a:extLst>
            <a:ext uri="{FF2B5EF4-FFF2-40B4-BE49-F238E27FC236}">
              <a16:creationId xmlns:a16="http://schemas.microsoft.com/office/drawing/2014/main" id="{F8EDD762-2F60-B05F-3ED5-BDD214CF6A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6" name="Text Box 785">
          <a:extLst>
            <a:ext uri="{FF2B5EF4-FFF2-40B4-BE49-F238E27FC236}">
              <a16:creationId xmlns:a16="http://schemas.microsoft.com/office/drawing/2014/main" id="{576CAABC-6730-FE70-5C40-495C31C7BB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7" name="Text Box 786">
          <a:extLst>
            <a:ext uri="{FF2B5EF4-FFF2-40B4-BE49-F238E27FC236}">
              <a16:creationId xmlns:a16="http://schemas.microsoft.com/office/drawing/2014/main" id="{EB40EC4F-AF02-65E2-7773-F72D9BF82D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8" name="Text Box 787">
          <a:extLst>
            <a:ext uri="{FF2B5EF4-FFF2-40B4-BE49-F238E27FC236}">
              <a16:creationId xmlns:a16="http://schemas.microsoft.com/office/drawing/2014/main" id="{C80B47F5-9179-5EE7-EF13-C4021C6AAE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79" name="Text Box 788">
          <a:extLst>
            <a:ext uri="{FF2B5EF4-FFF2-40B4-BE49-F238E27FC236}">
              <a16:creationId xmlns:a16="http://schemas.microsoft.com/office/drawing/2014/main" id="{48937992-62C6-92E8-D076-6855853791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0" name="Text Box 789">
          <a:extLst>
            <a:ext uri="{FF2B5EF4-FFF2-40B4-BE49-F238E27FC236}">
              <a16:creationId xmlns:a16="http://schemas.microsoft.com/office/drawing/2014/main" id="{E8E00339-FB39-5C2A-F6D9-78538EE32B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1" name="Text Box 790">
          <a:extLst>
            <a:ext uri="{FF2B5EF4-FFF2-40B4-BE49-F238E27FC236}">
              <a16:creationId xmlns:a16="http://schemas.microsoft.com/office/drawing/2014/main" id="{B094FFB5-7ABB-D91F-61DB-0287F7F564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2" name="Text Box 791">
          <a:extLst>
            <a:ext uri="{FF2B5EF4-FFF2-40B4-BE49-F238E27FC236}">
              <a16:creationId xmlns:a16="http://schemas.microsoft.com/office/drawing/2014/main" id="{212F4785-C34B-E204-DBF6-C7AECB5E3E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3" name="Text Box 792">
          <a:extLst>
            <a:ext uri="{FF2B5EF4-FFF2-40B4-BE49-F238E27FC236}">
              <a16:creationId xmlns:a16="http://schemas.microsoft.com/office/drawing/2014/main" id="{67D39090-F7CA-B71D-99E9-66C5BDBAEA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4" name="Text Box 793">
          <a:extLst>
            <a:ext uri="{FF2B5EF4-FFF2-40B4-BE49-F238E27FC236}">
              <a16:creationId xmlns:a16="http://schemas.microsoft.com/office/drawing/2014/main" id="{AB437222-2E3B-41B0-B303-7026395A9F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5" name="Text Box 794">
          <a:extLst>
            <a:ext uri="{FF2B5EF4-FFF2-40B4-BE49-F238E27FC236}">
              <a16:creationId xmlns:a16="http://schemas.microsoft.com/office/drawing/2014/main" id="{E6A006BC-0110-AD74-B138-ADA24AC673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6" name="Text Box 795">
          <a:extLst>
            <a:ext uri="{FF2B5EF4-FFF2-40B4-BE49-F238E27FC236}">
              <a16:creationId xmlns:a16="http://schemas.microsoft.com/office/drawing/2014/main" id="{F0AF4BC7-FE54-1991-C341-E5FF39696C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7" name="Text Box 796">
          <a:extLst>
            <a:ext uri="{FF2B5EF4-FFF2-40B4-BE49-F238E27FC236}">
              <a16:creationId xmlns:a16="http://schemas.microsoft.com/office/drawing/2014/main" id="{6F2B7DE1-0283-C40F-F57A-A584382134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8" name="Text Box 797">
          <a:extLst>
            <a:ext uri="{FF2B5EF4-FFF2-40B4-BE49-F238E27FC236}">
              <a16:creationId xmlns:a16="http://schemas.microsoft.com/office/drawing/2014/main" id="{718A52F9-6241-F3D0-6D38-97403E263F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89" name="Text Box 798">
          <a:extLst>
            <a:ext uri="{FF2B5EF4-FFF2-40B4-BE49-F238E27FC236}">
              <a16:creationId xmlns:a16="http://schemas.microsoft.com/office/drawing/2014/main" id="{AD3E8EF9-F99E-EF20-BA89-32ED2EA726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0" name="Text Box 799">
          <a:extLst>
            <a:ext uri="{FF2B5EF4-FFF2-40B4-BE49-F238E27FC236}">
              <a16:creationId xmlns:a16="http://schemas.microsoft.com/office/drawing/2014/main" id="{BE6769B4-DB60-B42E-ACB7-F7FE19332A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1" name="Text Box 800">
          <a:extLst>
            <a:ext uri="{FF2B5EF4-FFF2-40B4-BE49-F238E27FC236}">
              <a16:creationId xmlns:a16="http://schemas.microsoft.com/office/drawing/2014/main" id="{AC47E959-69D8-1C12-7705-5508A68B82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2" name="Text Box 801">
          <a:extLst>
            <a:ext uri="{FF2B5EF4-FFF2-40B4-BE49-F238E27FC236}">
              <a16:creationId xmlns:a16="http://schemas.microsoft.com/office/drawing/2014/main" id="{23C7FFDC-22AD-0E5E-53DF-7FFC53C4C8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3" name="Text Box 802">
          <a:extLst>
            <a:ext uri="{FF2B5EF4-FFF2-40B4-BE49-F238E27FC236}">
              <a16:creationId xmlns:a16="http://schemas.microsoft.com/office/drawing/2014/main" id="{C98709E3-B934-C7EC-E598-523036855A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4" name="Text Box 803">
          <a:extLst>
            <a:ext uri="{FF2B5EF4-FFF2-40B4-BE49-F238E27FC236}">
              <a16:creationId xmlns:a16="http://schemas.microsoft.com/office/drawing/2014/main" id="{3A67A150-DC3B-2AF8-0E14-59CBC301EA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5" name="Text Box 804">
          <a:extLst>
            <a:ext uri="{FF2B5EF4-FFF2-40B4-BE49-F238E27FC236}">
              <a16:creationId xmlns:a16="http://schemas.microsoft.com/office/drawing/2014/main" id="{615CBA79-61ED-F2E4-EDF5-F937C025FA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6" name="Text Box 805">
          <a:extLst>
            <a:ext uri="{FF2B5EF4-FFF2-40B4-BE49-F238E27FC236}">
              <a16:creationId xmlns:a16="http://schemas.microsoft.com/office/drawing/2014/main" id="{12BB0311-0B73-975A-679F-A52F933F25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7" name="Text Box 806">
          <a:extLst>
            <a:ext uri="{FF2B5EF4-FFF2-40B4-BE49-F238E27FC236}">
              <a16:creationId xmlns:a16="http://schemas.microsoft.com/office/drawing/2014/main" id="{D4BC0870-20BC-9D23-A797-2771E4648C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8" name="Text Box 807">
          <a:extLst>
            <a:ext uri="{FF2B5EF4-FFF2-40B4-BE49-F238E27FC236}">
              <a16:creationId xmlns:a16="http://schemas.microsoft.com/office/drawing/2014/main" id="{ED9697E5-3092-19B8-FC45-A37306A78E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099" name="Text Box 808">
          <a:extLst>
            <a:ext uri="{FF2B5EF4-FFF2-40B4-BE49-F238E27FC236}">
              <a16:creationId xmlns:a16="http://schemas.microsoft.com/office/drawing/2014/main" id="{2804F787-1904-7F7F-5DEC-5449BF1595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0" name="Text Box 809">
          <a:extLst>
            <a:ext uri="{FF2B5EF4-FFF2-40B4-BE49-F238E27FC236}">
              <a16:creationId xmlns:a16="http://schemas.microsoft.com/office/drawing/2014/main" id="{355AAF53-726E-8A75-9BAF-BE8D9A14AD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1" name="Text Box 810">
          <a:extLst>
            <a:ext uri="{FF2B5EF4-FFF2-40B4-BE49-F238E27FC236}">
              <a16:creationId xmlns:a16="http://schemas.microsoft.com/office/drawing/2014/main" id="{BA401767-8893-947A-87F0-D346D93663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2" name="Text Box 811">
          <a:extLst>
            <a:ext uri="{FF2B5EF4-FFF2-40B4-BE49-F238E27FC236}">
              <a16:creationId xmlns:a16="http://schemas.microsoft.com/office/drawing/2014/main" id="{2AA7953E-69E7-E6A9-40F0-275FB66491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3" name="Text Box 812">
          <a:extLst>
            <a:ext uri="{FF2B5EF4-FFF2-40B4-BE49-F238E27FC236}">
              <a16:creationId xmlns:a16="http://schemas.microsoft.com/office/drawing/2014/main" id="{F67D9AE2-8C40-CC5F-A572-A1796C203B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4" name="Text Box 813">
          <a:extLst>
            <a:ext uri="{FF2B5EF4-FFF2-40B4-BE49-F238E27FC236}">
              <a16:creationId xmlns:a16="http://schemas.microsoft.com/office/drawing/2014/main" id="{42B3702B-E555-0CF5-55E4-289B1F1C91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5" name="Text Box 814">
          <a:extLst>
            <a:ext uri="{FF2B5EF4-FFF2-40B4-BE49-F238E27FC236}">
              <a16:creationId xmlns:a16="http://schemas.microsoft.com/office/drawing/2014/main" id="{3D16E4DB-832E-0CC0-3A32-FF2D77FCD6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6" name="Text Box 815">
          <a:extLst>
            <a:ext uri="{FF2B5EF4-FFF2-40B4-BE49-F238E27FC236}">
              <a16:creationId xmlns:a16="http://schemas.microsoft.com/office/drawing/2014/main" id="{5BD74175-ECC1-1E88-5DC3-ACB6A5ACCA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7" name="Text Box 816">
          <a:extLst>
            <a:ext uri="{FF2B5EF4-FFF2-40B4-BE49-F238E27FC236}">
              <a16:creationId xmlns:a16="http://schemas.microsoft.com/office/drawing/2014/main" id="{49A207B7-1EAA-022E-AF09-ED5E421F26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8" name="Text Box 817">
          <a:extLst>
            <a:ext uri="{FF2B5EF4-FFF2-40B4-BE49-F238E27FC236}">
              <a16:creationId xmlns:a16="http://schemas.microsoft.com/office/drawing/2014/main" id="{D22FD6F4-E701-F8BF-8F8A-32504B229D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09" name="Text Box 818">
          <a:extLst>
            <a:ext uri="{FF2B5EF4-FFF2-40B4-BE49-F238E27FC236}">
              <a16:creationId xmlns:a16="http://schemas.microsoft.com/office/drawing/2014/main" id="{271DD64A-EC2B-112F-EE7C-413E45C2BE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0" name="Text Box 819">
          <a:extLst>
            <a:ext uri="{FF2B5EF4-FFF2-40B4-BE49-F238E27FC236}">
              <a16:creationId xmlns:a16="http://schemas.microsoft.com/office/drawing/2014/main" id="{770A7D6F-5F7A-53A5-7389-5A6D7CFDEC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1" name="Text Box 820">
          <a:extLst>
            <a:ext uri="{FF2B5EF4-FFF2-40B4-BE49-F238E27FC236}">
              <a16:creationId xmlns:a16="http://schemas.microsoft.com/office/drawing/2014/main" id="{2D5755C2-9830-DD6F-69C7-62CC18E413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2" name="Text Box 821">
          <a:extLst>
            <a:ext uri="{FF2B5EF4-FFF2-40B4-BE49-F238E27FC236}">
              <a16:creationId xmlns:a16="http://schemas.microsoft.com/office/drawing/2014/main" id="{22D67794-5637-BE99-C1DA-07B26EA2ED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3" name="Text Box 822">
          <a:extLst>
            <a:ext uri="{FF2B5EF4-FFF2-40B4-BE49-F238E27FC236}">
              <a16:creationId xmlns:a16="http://schemas.microsoft.com/office/drawing/2014/main" id="{02696D8B-3C4F-E2AD-BFEA-D7E94EF7F9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4" name="Text Box 823">
          <a:extLst>
            <a:ext uri="{FF2B5EF4-FFF2-40B4-BE49-F238E27FC236}">
              <a16:creationId xmlns:a16="http://schemas.microsoft.com/office/drawing/2014/main" id="{1FF282D5-8DB8-F534-92EB-FD401B4968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5" name="Text Box 824">
          <a:extLst>
            <a:ext uri="{FF2B5EF4-FFF2-40B4-BE49-F238E27FC236}">
              <a16:creationId xmlns:a16="http://schemas.microsoft.com/office/drawing/2014/main" id="{579494A5-6FAD-AE48-7869-5D04BA7D6D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6" name="Text Box 825">
          <a:extLst>
            <a:ext uri="{FF2B5EF4-FFF2-40B4-BE49-F238E27FC236}">
              <a16:creationId xmlns:a16="http://schemas.microsoft.com/office/drawing/2014/main" id="{61D960A6-4663-8A07-9DB9-18835EAFED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7" name="Text Box 826">
          <a:extLst>
            <a:ext uri="{FF2B5EF4-FFF2-40B4-BE49-F238E27FC236}">
              <a16:creationId xmlns:a16="http://schemas.microsoft.com/office/drawing/2014/main" id="{ABC0C9F0-5ADA-0A34-A5F6-B0BDDC5A36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8" name="Text Box 827">
          <a:extLst>
            <a:ext uri="{FF2B5EF4-FFF2-40B4-BE49-F238E27FC236}">
              <a16:creationId xmlns:a16="http://schemas.microsoft.com/office/drawing/2014/main" id="{A5731087-386B-0669-0F9B-3E2AE93E97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19" name="Text Box 828">
          <a:extLst>
            <a:ext uri="{FF2B5EF4-FFF2-40B4-BE49-F238E27FC236}">
              <a16:creationId xmlns:a16="http://schemas.microsoft.com/office/drawing/2014/main" id="{4EC03E36-4D27-C4EA-0D16-7472B87D97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0" name="Text Box 829">
          <a:extLst>
            <a:ext uri="{FF2B5EF4-FFF2-40B4-BE49-F238E27FC236}">
              <a16:creationId xmlns:a16="http://schemas.microsoft.com/office/drawing/2014/main" id="{5A0FEA84-F787-39DA-F2C0-A6870B1F44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1" name="Text Box 830">
          <a:extLst>
            <a:ext uri="{FF2B5EF4-FFF2-40B4-BE49-F238E27FC236}">
              <a16:creationId xmlns:a16="http://schemas.microsoft.com/office/drawing/2014/main" id="{ABD53913-BE32-8958-6CCF-79CA619859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2" name="Text Box 831">
          <a:extLst>
            <a:ext uri="{FF2B5EF4-FFF2-40B4-BE49-F238E27FC236}">
              <a16:creationId xmlns:a16="http://schemas.microsoft.com/office/drawing/2014/main" id="{C9DFDFCA-D256-2D81-F59C-9AD0F8793E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3" name="Text Box 832">
          <a:extLst>
            <a:ext uri="{FF2B5EF4-FFF2-40B4-BE49-F238E27FC236}">
              <a16:creationId xmlns:a16="http://schemas.microsoft.com/office/drawing/2014/main" id="{06C5DD62-63A7-0804-9C0E-B9E3BFA3A3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4" name="Text Box 833">
          <a:extLst>
            <a:ext uri="{FF2B5EF4-FFF2-40B4-BE49-F238E27FC236}">
              <a16:creationId xmlns:a16="http://schemas.microsoft.com/office/drawing/2014/main" id="{5203B291-334E-2F09-8751-8AFEB5E821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5" name="Text Box 834">
          <a:extLst>
            <a:ext uri="{FF2B5EF4-FFF2-40B4-BE49-F238E27FC236}">
              <a16:creationId xmlns:a16="http://schemas.microsoft.com/office/drawing/2014/main" id="{E9835D3F-FE04-6FB3-8021-E57E2AE4FA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6" name="Text Box 835">
          <a:extLst>
            <a:ext uri="{FF2B5EF4-FFF2-40B4-BE49-F238E27FC236}">
              <a16:creationId xmlns:a16="http://schemas.microsoft.com/office/drawing/2014/main" id="{B25F279E-6FA0-92D1-1FFD-56691742E5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7" name="Text Box 836">
          <a:extLst>
            <a:ext uri="{FF2B5EF4-FFF2-40B4-BE49-F238E27FC236}">
              <a16:creationId xmlns:a16="http://schemas.microsoft.com/office/drawing/2014/main" id="{19709835-1E72-91BA-0997-2B929EF755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8" name="Text Box 837">
          <a:extLst>
            <a:ext uri="{FF2B5EF4-FFF2-40B4-BE49-F238E27FC236}">
              <a16:creationId xmlns:a16="http://schemas.microsoft.com/office/drawing/2014/main" id="{AFBB544D-27C9-A15E-CD36-42A96DA0B4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29" name="Text Box 838">
          <a:extLst>
            <a:ext uri="{FF2B5EF4-FFF2-40B4-BE49-F238E27FC236}">
              <a16:creationId xmlns:a16="http://schemas.microsoft.com/office/drawing/2014/main" id="{1FC34997-E86B-C656-C8B2-94F1065D5E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0" name="Text Box 839">
          <a:extLst>
            <a:ext uri="{FF2B5EF4-FFF2-40B4-BE49-F238E27FC236}">
              <a16:creationId xmlns:a16="http://schemas.microsoft.com/office/drawing/2014/main" id="{AD9C2596-466B-1A0C-DC47-7BB63C9659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1" name="Text Box 840">
          <a:extLst>
            <a:ext uri="{FF2B5EF4-FFF2-40B4-BE49-F238E27FC236}">
              <a16:creationId xmlns:a16="http://schemas.microsoft.com/office/drawing/2014/main" id="{8AC24AFA-6D20-FB20-B866-71DB5A9E00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2" name="Text Box 841">
          <a:extLst>
            <a:ext uri="{FF2B5EF4-FFF2-40B4-BE49-F238E27FC236}">
              <a16:creationId xmlns:a16="http://schemas.microsoft.com/office/drawing/2014/main" id="{2259CE43-DB2D-AA14-D904-A5E824C3D2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3" name="Text Box 842">
          <a:extLst>
            <a:ext uri="{FF2B5EF4-FFF2-40B4-BE49-F238E27FC236}">
              <a16:creationId xmlns:a16="http://schemas.microsoft.com/office/drawing/2014/main" id="{123158F4-AB0C-C752-CB09-82A8CFA33A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4" name="Text Box 843">
          <a:extLst>
            <a:ext uri="{FF2B5EF4-FFF2-40B4-BE49-F238E27FC236}">
              <a16:creationId xmlns:a16="http://schemas.microsoft.com/office/drawing/2014/main" id="{2D07B0C5-91B8-665B-EB41-DF2AEC62B0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5" name="Text Box 844">
          <a:extLst>
            <a:ext uri="{FF2B5EF4-FFF2-40B4-BE49-F238E27FC236}">
              <a16:creationId xmlns:a16="http://schemas.microsoft.com/office/drawing/2014/main" id="{71C55634-F089-EE1D-1A6B-E6ADE9C9CF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6" name="Text Box 845">
          <a:extLst>
            <a:ext uri="{FF2B5EF4-FFF2-40B4-BE49-F238E27FC236}">
              <a16:creationId xmlns:a16="http://schemas.microsoft.com/office/drawing/2014/main" id="{7485CA9C-1E51-9439-57E8-F67EB15640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7" name="Text Box 846">
          <a:extLst>
            <a:ext uri="{FF2B5EF4-FFF2-40B4-BE49-F238E27FC236}">
              <a16:creationId xmlns:a16="http://schemas.microsoft.com/office/drawing/2014/main" id="{6DD0607D-8414-4C36-9999-AD7B864270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8" name="Text Box 847">
          <a:extLst>
            <a:ext uri="{FF2B5EF4-FFF2-40B4-BE49-F238E27FC236}">
              <a16:creationId xmlns:a16="http://schemas.microsoft.com/office/drawing/2014/main" id="{9B6C47F1-1BE0-BF54-22AE-0DE29D3D77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39" name="Text Box 848">
          <a:extLst>
            <a:ext uri="{FF2B5EF4-FFF2-40B4-BE49-F238E27FC236}">
              <a16:creationId xmlns:a16="http://schemas.microsoft.com/office/drawing/2014/main" id="{FBAF24B3-B95B-B4EF-7F61-06B3F9F870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0" name="Text Box 849">
          <a:extLst>
            <a:ext uri="{FF2B5EF4-FFF2-40B4-BE49-F238E27FC236}">
              <a16:creationId xmlns:a16="http://schemas.microsoft.com/office/drawing/2014/main" id="{228C5E84-378E-CAC9-6866-9E4FF76A1F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1" name="Text Box 850">
          <a:extLst>
            <a:ext uri="{FF2B5EF4-FFF2-40B4-BE49-F238E27FC236}">
              <a16:creationId xmlns:a16="http://schemas.microsoft.com/office/drawing/2014/main" id="{86DE3D14-40A0-0DBA-1E30-EAE0C43E1A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2" name="Text Box 851">
          <a:extLst>
            <a:ext uri="{FF2B5EF4-FFF2-40B4-BE49-F238E27FC236}">
              <a16:creationId xmlns:a16="http://schemas.microsoft.com/office/drawing/2014/main" id="{B5FBD42F-1CD3-192F-8BE5-FF4114F9D5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3" name="Text Box 852">
          <a:extLst>
            <a:ext uri="{FF2B5EF4-FFF2-40B4-BE49-F238E27FC236}">
              <a16:creationId xmlns:a16="http://schemas.microsoft.com/office/drawing/2014/main" id="{0A16E436-A94C-168D-2EDD-08AFE45730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4" name="Text Box 853">
          <a:extLst>
            <a:ext uri="{FF2B5EF4-FFF2-40B4-BE49-F238E27FC236}">
              <a16:creationId xmlns:a16="http://schemas.microsoft.com/office/drawing/2014/main" id="{1CA28111-786E-7B41-E5A0-A38B1A14F4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5" name="Text Box 854">
          <a:extLst>
            <a:ext uri="{FF2B5EF4-FFF2-40B4-BE49-F238E27FC236}">
              <a16:creationId xmlns:a16="http://schemas.microsoft.com/office/drawing/2014/main" id="{EC28AD6C-9564-D391-4FFB-F1BD02F90D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6" name="Text Box 855">
          <a:extLst>
            <a:ext uri="{FF2B5EF4-FFF2-40B4-BE49-F238E27FC236}">
              <a16:creationId xmlns:a16="http://schemas.microsoft.com/office/drawing/2014/main" id="{76CA0FA6-049A-8A6E-15DB-5C38E9A7DB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7" name="Text Box 856">
          <a:extLst>
            <a:ext uri="{FF2B5EF4-FFF2-40B4-BE49-F238E27FC236}">
              <a16:creationId xmlns:a16="http://schemas.microsoft.com/office/drawing/2014/main" id="{1F0582D0-DC3D-B34C-FA30-6DC6FD888B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8" name="Text Box 857">
          <a:extLst>
            <a:ext uri="{FF2B5EF4-FFF2-40B4-BE49-F238E27FC236}">
              <a16:creationId xmlns:a16="http://schemas.microsoft.com/office/drawing/2014/main" id="{E669863B-9704-FA23-D601-CEF438EE37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49" name="Text Box 858">
          <a:extLst>
            <a:ext uri="{FF2B5EF4-FFF2-40B4-BE49-F238E27FC236}">
              <a16:creationId xmlns:a16="http://schemas.microsoft.com/office/drawing/2014/main" id="{EF70AB4F-A8CA-AAB1-B143-91F4A54F89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0" name="Text Box 859">
          <a:extLst>
            <a:ext uri="{FF2B5EF4-FFF2-40B4-BE49-F238E27FC236}">
              <a16:creationId xmlns:a16="http://schemas.microsoft.com/office/drawing/2014/main" id="{21D9AEA2-01F4-A577-3387-597F470EC6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1" name="Text Box 860">
          <a:extLst>
            <a:ext uri="{FF2B5EF4-FFF2-40B4-BE49-F238E27FC236}">
              <a16:creationId xmlns:a16="http://schemas.microsoft.com/office/drawing/2014/main" id="{2E1A5B41-0BCF-7778-1F28-AC5D5C22BC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2" name="Text Box 861">
          <a:extLst>
            <a:ext uri="{FF2B5EF4-FFF2-40B4-BE49-F238E27FC236}">
              <a16:creationId xmlns:a16="http://schemas.microsoft.com/office/drawing/2014/main" id="{F04274AB-5B8D-2189-AD9F-7E3EF9E4AE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3" name="Text Box 862">
          <a:extLst>
            <a:ext uri="{FF2B5EF4-FFF2-40B4-BE49-F238E27FC236}">
              <a16:creationId xmlns:a16="http://schemas.microsoft.com/office/drawing/2014/main" id="{4CCC4925-59CB-A6AD-3C09-40D6E82B49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4" name="Text Box 863">
          <a:extLst>
            <a:ext uri="{FF2B5EF4-FFF2-40B4-BE49-F238E27FC236}">
              <a16:creationId xmlns:a16="http://schemas.microsoft.com/office/drawing/2014/main" id="{1E5BF57F-29F3-37FC-EF9E-9D47954A69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5" name="Text Box 864">
          <a:extLst>
            <a:ext uri="{FF2B5EF4-FFF2-40B4-BE49-F238E27FC236}">
              <a16:creationId xmlns:a16="http://schemas.microsoft.com/office/drawing/2014/main" id="{C126E718-D561-DA3F-6130-2053C5B59A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6" name="Text Box 865">
          <a:extLst>
            <a:ext uri="{FF2B5EF4-FFF2-40B4-BE49-F238E27FC236}">
              <a16:creationId xmlns:a16="http://schemas.microsoft.com/office/drawing/2014/main" id="{BAEA4E80-782A-6AF5-8D9F-8278CC8C38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7" name="Text Box 866">
          <a:extLst>
            <a:ext uri="{FF2B5EF4-FFF2-40B4-BE49-F238E27FC236}">
              <a16:creationId xmlns:a16="http://schemas.microsoft.com/office/drawing/2014/main" id="{B09658B6-3629-83D7-207E-0A97ECC969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8" name="Text Box 867">
          <a:extLst>
            <a:ext uri="{FF2B5EF4-FFF2-40B4-BE49-F238E27FC236}">
              <a16:creationId xmlns:a16="http://schemas.microsoft.com/office/drawing/2014/main" id="{D02ABF87-1E0C-19E8-FCD4-D00ADC8485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59" name="Text Box 868">
          <a:extLst>
            <a:ext uri="{FF2B5EF4-FFF2-40B4-BE49-F238E27FC236}">
              <a16:creationId xmlns:a16="http://schemas.microsoft.com/office/drawing/2014/main" id="{FF271508-FB58-7972-0B43-2902E69FDE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0" name="Text Box 869">
          <a:extLst>
            <a:ext uri="{FF2B5EF4-FFF2-40B4-BE49-F238E27FC236}">
              <a16:creationId xmlns:a16="http://schemas.microsoft.com/office/drawing/2014/main" id="{84DAE823-7939-A174-DE6D-9163322EB9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1" name="Text Box 870">
          <a:extLst>
            <a:ext uri="{FF2B5EF4-FFF2-40B4-BE49-F238E27FC236}">
              <a16:creationId xmlns:a16="http://schemas.microsoft.com/office/drawing/2014/main" id="{F4116AC2-24B4-FB97-D109-407EB29257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2" name="Text Box 871">
          <a:extLst>
            <a:ext uri="{FF2B5EF4-FFF2-40B4-BE49-F238E27FC236}">
              <a16:creationId xmlns:a16="http://schemas.microsoft.com/office/drawing/2014/main" id="{DDFF8832-4C89-C427-35D5-2A205EE3C2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3" name="Text Box 872">
          <a:extLst>
            <a:ext uri="{FF2B5EF4-FFF2-40B4-BE49-F238E27FC236}">
              <a16:creationId xmlns:a16="http://schemas.microsoft.com/office/drawing/2014/main" id="{60875951-52C7-A74E-9C5A-4112C924A6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4" name="Text Box 873">
          <a:extLst>
            <a:ext uri="{FF2B5EF4-FFF2-40B4-BE49-F238E27FC236}">
              <a16:creationId xmlns:a16="http://schemas.microsoft.com/office/drawing/2014/main" id="{580E18C7-691E-4FC6-8CB5-08726C4B9D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5" name="Text Box 874">
          <a:extLst>
            <a:ext uri="{FF2B5EF4-FFF2-40B4-BE49-F238E27FC236}">
              <a16:creationId xmlns:a16="http://schemas.microsoft.com/office/drawing/2014/main" id="{ADA4D500-4B43-39E0-C980-BB838213C6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6" name="Text Box 875">
          <a:extLst>
            <a:ext uri="{FF2B5EF4-FFF2-40B4-BE49-F238E27FC236}">
              <a16:creationId xmlns:a16="http://schemas.microsoft.com/office/drawing/2014/main" id="{DC44C672-D4F1-ACD1-359E-643E927066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7" name="Text Box 876">
          <a:extLst>
            <a:ext uri="{FF2B5EF4-FFF2-40B4-BE49-F238E27FC236}">
              <a16:creationId xmlns:a16="http://schemas.microsoft.com/office/drawing/2014/main" id="{73E84AA4-1ACD-7950-5845-7DF2FD6D02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8" name="Text Box 877">
          <a:extLst>
            <a:ext uri="{FF2B5EF4-FFF2-40B4-BE49-F238E27FC236}">
              <a16:creationId xmlns:a16="http://schemas.microsoft.com/office/drawing/2014/main" id="{8EB3B4CD-78B7-A067-2592-03BADC6C1D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69" name="Text Box 878">
          <a:extLst>
            <a:ext uri="{FF2B5EF4-FFF2-40B4-BE49-F238E27FC236}">
              <a16:creationId xmlns:a16="http://schemas.microsoft.com/office/drawing/2014/main" id="{9BEA9311-F80E-6AC4-BD51-121F6FE8F7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0" name="Text Box 879">
          <a:extLst>
            <a:ext uri="{FF2B5EF4-FFF2-40B4-BE49-F238E27FC236}">
              <a16:creationId xmlns:a16="http://schemas.microsoft.com/office/drawing/2014/main" id="{4A8A650C-FC9E-8B0F-788B-2A6FDB4C68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1" name="Text Box 880">
          <a:extLst>
            <a:ext uri="{FF2B5EF4-FFF2-40B4-BE49-F238E27FC236}">
              <a16:creationId xmlns:a16="http://schemas.microsoft.com/office/drawing/2014/main" id="{9D88E2DE-DE05-9606-CE76-C3AEBA3CBE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2" name="Text Box 881">
          <a:extLst>
            <a:ext uri="{FF2B5EF4-FFF2-40B4-BE49-F238E27FC236}">
              <a16:creationId xmlns:a16="http://schemas.microsoft.com/office/drawing/2014/main" id="{EC2339C8-F621-C829-911A-97112FC31A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3" name="Text Box 882">
          <a:extLst>
            <a:ext uri="{FF2B5EF4-FFF2-40B4-BE49-F238E27FC236}">
              <a16:creationId xmlns:a16="http://schemas.microsoft.com/office/drawing/2014/main" id="{7EEC4162-75DB-60FB-D91E-53549CF82D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4" name="Text Box 883">
          <a:extLst>
            <a:ext uri="{FF2B5EF4-FFF2-40B4-BE49-F238E27FC236}">
              <a16:creationId xmlns:a16="http://schemas.microsoft.com/office/drawing/2014/main" id="{6EF94742-0D34-A5E4-7811-FC12E4DB00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5" name="Text Box 884">
          <a:extLst>
            <a:ext uri="{FF2B5EF4-FFF2-40B4-BE49-F238E27FC236}">
              <a16:creationId xmlns:a16="http://schemas.microsoft.com/office/drawing/2014/main" id="{44EFC34E-ACE6-6227-8827-8C84B18C39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6" name="Text Box 885">
          <a:extLst>
            <a:ext uri="{FF2B5EF4-FFF2-40B4-BE49-F238E27FC236}">
              <a16:creationId xmlns:a16="http://schemas.microsoft.com/office/drawing/2014/main" id="{708487DB-CFB8-D809-7C8E-2C672DD720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7" name="Text Box 886">
          <a:extLst>
            <a:ext uri="{FF2B5EF4-FFF2-40B4-BE49-F238E27FC236}">
              <a16:creationId xmlns:a16="http://schemas.microsoft.com/office/drawing/2014/main" id="{FDD9BB55-50CD-1943-908F-CB9980F4D7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8" name="Text Box 887">
          <a:extLst>
            <a:ext uri="{FF2B5EF4-FFF2-40B4-BE49-F238E27FC236}">
              <a16:creationId xmlns:a16="http://schemas.microsoft.com/office/drawing/2014/main" id="{780E6929-E1C5-B05B-A248-C04F2B4B0D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79" name="Text Box 888">
          <a:extLst>
            <a:ext uri="{FF2B5EF4-FFF2-40B4-BE49-F238E27FC236}">
              <a16:creationId xmlns:a16="http://schemas.microsoft.com/office/drawing/2014/main" id="{CC6DE849-9B25-0D68-FE8E-2F5BB2B1DD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0" name="Text Box 889">
          <a:extLst>
            <a:ext uri="{FF2B5EF4-FFF2-40B4-BE49-F238E27FC236}">
              <a16:creationId xmlns:a16="http://schemas.microsoft.com/office/drawing/2014/main" id="{B5833223-5ACD-85A7-8752-EBF6FBCD40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1" name="Text Box 890">
          <a:extLst>
            <a:ext uri="{FF2B5EF4-FFF2-40B4-BE49-F238E27FC236}">
              <a16:creationId xmlns:a16="http://schemas.microsoft.com/office/drawing/2014/main" id="{847D82A1-AD78-40A8-9433-936E860815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2" name="Text Box 891">
          <a:extLst>
            <a:ext uri="{FF2B5EF4-FFF2-40B4-BE49-F238E27FC236}">
              <a16:creationId xmlns:a16="http://schemas.microsoft.com/office/drawing/2014/main" id="{89B183D5-C5C6-83F0-D24C-491D01A610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3" name="Text Box 892">
          <a:extLst>
            <a:ext uri="{FF2B5EF4-FFF2-40B4-BE49-F238E27FC236}">
              <a16:creationId xmlns:a16="http://schemas.microsoft.com/office/drawing/2014/main" id="{A2C30428-CF60-F1E6-9ACB-D7F3549149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4" name="Text Box 893">
          <a:extLst>
            <a:ext uri="{FF2B5EF4-FFF2-40B4-BE49-F238E27FC236}">
              <a16:creationId xmlns:a16="http://schemas.microsoft.com/office/drawing/2014/main" id="{99F8A064-4ABE-2AD9-DFA5-6D6EF1701D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5" name="Text Box 894">
          <a:extLst>
            <a:ext uri="{FF2B5EF4-FFF2-40B4-BE49-F238E27FC236}">
              <a16:creationId xmlns:a16="http://schemas.microsoft.com/office/drawing/2014/main" id="{BBEE792C-984C-CEB8-D1F3-03028A788A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6" name="Text Box 895">
          <a:extLst>
            <a:ext uri="{FF2B5EF4-FFF2-40B4-BE49-F238E27FC236}">
              <a16:creationId xmlns:a16="http://schemas.microsoft.com/office/drawing/2014/main" id="{CF13F48F-67A0-6561-E609-58D4A969FA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7" name="Text Box 896">
          <a:extLst>
            <a:ext uri="{FF2B5EF4-FFF2-40B4-BE49-F238E27FC236}">
              <a16:creationId xmlns:a16="http://schemas.microsoft.com/office/drawing/2014/main" id="{C3206523-DC7D-5BF0-DFCC-EC5948EF37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8" name="Text Box 897">
          <a:extLst>
            <a:ext uri="{FF2B5EF4-FFF2-40B4-BE49-F238E27FC236}">
              <a16:creationId xmlns:a16="http://schemas.microsoft.com/office/drawing/2014/main" id="{9EACA150-7F32-9DDE-9C52-01CB776511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89" name="Text Box 898">
          <a:extLst>
            <a:ext uri="{FF2B5EF4-FFF2-40B4-BE49-F238E27FC236}">
              <a16:creationId xmlns:a16="http://schemas.microsoft.com/office/drawing/2014/main" id="{F0FF7F43-E604-DE93-822E-D75B3F80E7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0" name="Text Box 899">
          <a:extLst>
            <a:ext uri="{FF2B5EF4-FFF2-40B4-BE49-F238E27FC236}">
              <a16:creationId xmlns:a16="http://schemas.microsoft.com/office/drawing/2014/main" id="{133B0829-9E2B-E08F-CC6B-E71CB066E4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1" name="Text Box 900">
          <a:extLst>
            <a:ext uri="{FF2B5EF4-FFF2-40B4-BE49-F238E27FC236}">
              <a16:creationId xmlns:a16="http://schemas.microsoft.com/office/drawing/2014/main" id="{68F4942D-3057-9997-EEC4-1CC05ABD2F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2" name="Text Box 712">
          <a:extLst>
            <a:ext uri="{FF2B5EF4-FFF2-40B4-BE49-F238E27FC236}">
              <a16:creationId xmlns:a16="http://schemas.microsoft.com/office/drawing/2014/main" id="{C49FD2A8-5EC1-2FEE-3A46-5CE4D2EED9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3" name="Text Box 714">
          <a:extLst>
            <a:ext uri="{FF2B5EF4-FFF2-40B4-BE49-F238E27FC236}">
              <a16:creationId xmlns:a16="http://schemas.microsoft.com/office/drawing/2014/main" id="{E8C4CF3D-6416-1C0D-4C52-1935AFA242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4" name="Text Box 532">
          <a:extLst>
            <a:ext uri="{FF2B5EF4-FFF2-40B4-BE49-F238E27FC236}">
              <a16:creationId xmlns:a16="http://schemas.microsoft.com/office/drawing/2014/main" id="{3C47621D-8025-BDFC-9B72-EA34B8D8B5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5" name="Text Box 1">
          <a:extLst>
            <a:ext uri="{FF2B5EF4-FFF2-40B4-BE49-F238E27FC236}">
              <a16:creationId xmlns:a16="http://schemas.microsoft.com/office/drawing/2014/main" id="{CBF737DD-C03D-1292-8D20-6366801904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6" name="Text Box 2">
          <a:extLst>
            <a:ext uri="{FF2B5EF4-FFF2-40B4-BE49-F238E27FC236}">
              <a16:creationId xmlns:a16="http://schemas.microsoft.com/office/drawing/2014/main" id="{AD3748EB-44F3-CF6E-6869-B673AC9899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7" name="Text Box 3">
          <a:extLst>
            <a:ext uri="{FF2B5EF4-FFF2-40B4-BE49-F238E27FC236}">
              <a16:creationId xmlns:a16="http://schemas.microsoft.com/office/drawing/2014/main" id="{7559612C-D3F5-F6EB-4F71-B3ECEA88C5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8" name="Text Box 4">
          <a:extLst>
            <a:ext uri="{FF2B5EF4-FFF2-40B4-BE49-F238E27FC236}">
              <a16:creationId xmlns:a16="http://schemas.microsoft.com/office/drawing/2014/main" id="{A8E1021A-0F19-A65F-53A1-148FDC4353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199" name="Text Box 5">
          <a:extLst>
            <a:ext uri="{FF2B5EF4-FFF2-40B4-BE49-F238E27FC236}">
              <a16:creationId xmlns:a16="http://schemas.microsoft.com/office/drawing/2014/main" id="{6DCD0027-CE58-6599-38D9-E07E241D94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0" name="Text Box 6">
          <a:extLst>
            <a:ext uri="{FF2B5EF4-FFF2-40B4-BE49-F238E27FC236}">
              <a16:creationId xmlns:a16="http://schemas.microsoft.com/office/drawing/2014/main" id="{3F23A3F9-BA7A-CBCC-D5FD-8A5E9B4E46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1" name="Text Box 7">
          <a:extLst>
            <a:ext uri="{FF2B5EF4-FFF2-40B4-BE49-F238E27FC236}">
              <a16:creationId xmlns:a16="http://schemas.microsoft.com/office/drawing/2014/main" id="{322E93EE-AA0E-A86F-A338-9D2F4BFB2C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2" name="Text Box 8">
          <a:extLst>
            <a:ext uri="{FF2B5EF4-FFF2-40B4-BE49-F238E27FC236}">
              <a16:creationId xmlns:a16="http://schemas.microsoft.com/office/drawing/2014/main" id="{50B45845-28E2-7764-D67E-B564E1C928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3" name="Text Box 9">
          <a:extLst>
            <a:ext uri="{FF2B5EF4-FFF2-40B4-BE49-F238E27FC236}">
              <a16:creationId xmlns:a16="http://schemas.microsoft.com/office/drawing/2014/main" id="{AFB23EA1-E845-404B-169A-EB8DA71EBC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4" name="Text Box 10">
          <a:extLst>
            <a:ext uri="{FF2B5EF4-FFF2-40B4-BE49-F238E27FC236}">
              <a16:creationId xmlns:a16="http://schemas.microsoft.com/office/drawing/2014/main" id="{8F4217D4-B3DE-6D67-1F3D-7E9BFBA566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5" name="Text Box 11">
          <a:extLst>
            <a:ext uri="{FF2B5EF4-FFF2-40B4-BE49-F238E27FC236}">
              <a16:creationId xmlns:a16="http://schemas.microsoft.com/office/drawing/2014/main" id="{C2AB18F5-FCD4-D3F3-457C-5932963E51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6" name="Text Box 12">
          <a:extLst>
            <a:ext uri="{FF2B5EF4-FFF2-40B4-BE49-F238E27FC236}">
              <a16:creationId xmlns:a16="http://schemas.microsoft.com/office/drawing/2014/main" id="{5AC483BF-B6CE-06BB-8F76-221908FA23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7" name="Text Box 13">
          <a:extLst>
            <a:ext uri="{FF2B5EF4-FFF2-40B4-BE49-F238E27FC236}">
              <a16:creationId xmlns:a16="http://schemas.microsoft.com/office/drawing/2014/main" id="{2FC69D29-EF47-BB39-0E86-83123A8085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8" name="Text Box 14">
          <a:extLst>
            <a:ext uri="{FF2B5EF4-FFF2-40B4-BE49-F238E27FC236}">
              <a16:creationId xmlns:a16="http://schemas.microsoft.com/office/drawing/2014/main" id="{A2AE929F-5F54-4594-2F25-5A378610EB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09" name="Text Box 15">
          <a:extLst>
            <a:ext uri="{FF2B5EF4-FFF2-40B4-BE49-F238E27FC236}">
              <a16:creationId xmlns:a16="http://schemas.microsoft.com/office/drawing/2014/main" id="{1A08F11B-6575-B4DD-4383-4CA95FDEC5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0" name="Text Box 16">
          <a:extLst>
            <a:ext uri="{FF2B5EF4-FFF2-40B4-BE49-F238E27FC236}">
              <a16:creationId xmlns:a16="http://schemas.microsoft.com/office/drawing/2014/main" id="{E895B69C-5865-FB32-D9CD-810547CBAB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1" name="Text Box 17">
          <a:extLst>
            <a:ext uri="{FF2B5EF4-FFF2-40B4-BE49-F238E27FC236}">
              <a16:creationId xmlns:a16="http://schemas.microsoft.com/office/drawing/2014/main" id="{8EDEF5E7-6C17-7726-4553-32675B4066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2" name="Text Box 18">
          <a:extLst>
            <a:ext uri="{FF2B5EF4-FFF2-40B4-BE49-F238E27FC236}">
              <a16:creationId xmlns:a16="http://schemas.microsoft.com/office/drawing/2014/main" id="{7F645F78-4F87-1149-1C5F-492595732E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3" name="Text Box 19">
          <a:extLst>
            <a:ext uri="{FF2B5EF4-FFF2-40B4-BE49-F238E27FC236}">
              <a16:creationId xmlns:a16="http://schemas.microsoft.com/office/drawing/2014/main" id="{BCFFACE4-78DE-EB75-E76A-2B1654C451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4" name="Text Box 20">
          <a:extLst>
            <a:ext uri="{FF2B5EF4-FFF2-40B4-BE49-F238E27FC236}">
              <a16:creationId xmlns:a16="http://schemas.microsoft.com/office/drawing/2014/main" id="{A62B64FF-D384-3BAF-EC6C-B1D48E9EAB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5" name="Text Box 21">
          <a:extLst>
            <a:ext uri="{FF2B5EF4-FFF2-40B4-BE49-F238E27FC236}">
              <a16:creationId xmlns:a16="http://schemas.microsoft.com/office/drawing/2014/main" id="{8083D248-EEAA-3935-5663-077A4A434E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6" name="Text Box 22">
          <a:extLst>
            <a:ext uri="{FF2B5EF4-FFF2-40B4-BE49-F238E27FC236}">
              <a16:creationId xmlns:a16="http://schemas.microsoft.com/office/drawing/2014/main" id="{AE9B6526-6B62-0BB6-C5DE-2503276AF6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7" name="Text Box 23">
          <a:extLst>
            <a:ext uri="{FF2B5EF4-FFF2-40B4-BE49-F238E27FC236}">
              <a16:creationId xmlns:a16="http://schemas.microsoft.com/office/drawing/2014/main" id="{5846CECD-DF22-A841-056D-6094F7BABA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8" name="Text Box 24">
          <a:extLst>
            <a:ext uri="{FF2B5EF4-FFF2-40B4-BE49-F238E27FC236}">
              <a16:creationId xmlns:a16="http://schemas.microsoft.com/office/drawing/2014/main" id="{6338C1BD-2F88-D815-14F5-C407007055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19" name="Text Box 25">
          <a:extLst>
            <a:ext uri="{FF2B5EF4-FFF2-40B4-BE49-F238E27FC236}">
              <a16:creationId xmlns:a16="http://schemas.microsoft.com/office/drawing/2014/main" id="{02BD836E-0EE0-BD7A-A497-2843264AD8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0" name="Text Box 26">
          <a:extLst>
            <a:ext uri="{FF2B5EF4-FFF2-40B4-BE49-F238E27FC236}">
              <a16:creationId xmlns:a16="http://schemas.microsoft.com/office/drawing/2014/main" id="{635FFFB6-3EC3-E1B2-8696-7F2E008472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1" name="Text Box 27">
          <a:extLst>
            <a:ext uri="{FF2B5EF4-FFF2-40B4-BE49-F238E27FC236}">
              <a16:creationId xmlns:a16="http://schemas.microsoft.com/office/drawing/2014/main" id="{487634BA-F23B-BB49-B40D-097354CF0F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2" name="Text Box 28">
          <a:extLst>
            <a:ext uri="{FF2B5EF4-FFF2-40B4-BE49-F238E27FC236}">
              <a16:creationId xmlns:a16="http://schemas.microsoft.com/office/drawing/2014/main" id="{A6CBE9E6-DDAB-BBE9-AF74-CF00109B12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3" name="Text Box 29">
          <a:extLst>
            <a:ext uri="{FF2B5EF4-FFF2-40B4-BE49-F238E27FC236}">
              <a16:creationId xmlns:a16="http://schemas.microsoft.com/office/drawing/2014/main" id="{57E994AD-D383-DAA5-087A-129EB3F213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4" name="Text Box 30">
          <a:extLst>
            <a:ext uri="{FF2B5EF4-FFF2-40B4-BE49-F238E27FC236}">
              <a16:creationId xmlns:a16="http://schemas.microsoft.com/office/drawing/2014/main" id="{D95F082B-55DF-7552-CCC5-305E4C2597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5" name="Text Box 31">
          <a:extLst>
            <a:ext uri="{FF2B5EF4-FFF2-40B4-BE49-F238E27FC236}">
              <a16:creationId xmlns:a16="http://schemas.microsoft.com/office/drawing/2014/main" id="{B6FE4D4E-5115-1FAA-9C90-BFBE5A82DC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6" name="Text Box 32">
          <a:extLst>
            <a:ext uri="{FF2B5EF4-FFF2-40B4-BE49-F238E27FC236}">
              <a16:creationId xmlns:a16="http://schemas.microsoft.com/office/drawing/2014/main" id="{ACA45885-F6A6-6C92-CD89-774123B97F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7" name="Text Box 33">
          <a:extLst>
            <a:ext uri="{FF2B5EF4-FFF2-40B4-BE49-F238E27FC236}">
              <a16:creationId xmlns:a16="http://schemas.microsoft.com/office/drawing/2014/main" id="{093A9F9F-0D1F-E20C-6EFF-A02BF70DC9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8" name="Text Box 34">
          <a:extLst>
            <a:ext uri="{FF2B5EF4-FFF2-40B4-BE49-F238E27FC236}">
              <a16:creationId xmlns:a16="http://schemas.microsoft.com/office/drawing/2014/main" id="{54DA8406-285A-D589-8CBC-9F47F61CE1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29" name="Text Box 35">
          <a:extLst>
            <a:ext uri="{FF2B5EF4-FFF2-40B4-BE49-F238E27FC236}">
              <a16:creationId xmlns:a16="http://schemas.microsoft.com/office/drawing/2014/main" id="{B2C09776-06CE-1D9D-8FE2-799B3433B6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0" name="Text Box 36">
          <a:extLst>
            <a:ext uri="{FF2B5EF4-FFF2-40B4-BE49-F238E27FC236}">
              <a16:creationId xmlns:a16="http://schemas.microsoft.com/office/drawing/2014/main" id="{78977404-F095-1B78-AC24-EEEE974D33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1" name="Text Box 37">
          <a:extLst>
            <a:ext uri="{FF2B5EF4-FFF2-40B4-BE49-F238E27FC236}">
              <a16:creationId xmlns:a16="http://schemas.microsoft.com/office/drawing/2014/main" id="{78476EF3-E3B8-8C6B-FA67-DEA5E0FB29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2" name="Text Box 38">
          <a:extLst>
            <a:ext uri="{FF2B5EF4-FFF2-40B4-BE49-F238E27FC236}">
              <a16:creationId xmlns:a16="http://schemas.microsoft.com/office/drawing/2014/main" id="{B0703DCF-B95E-F8D0-67F0-F299AC57CA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3" name="Text Box 39">
          <a:extLst>
            <a:ext uri="{FF2B5EF4-FFF2-40B4-BE49-F238E27FC236}">
              <a16:creationId xmlns:a16="http://schemas.microsoft.com/office/drawing/2014/main" id="{25FC53DF-9F71-377D-B1A8-87F009EA6B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4" name="Text Box 40">
          <a:extLst>
            <a:ext uri="{FF2B5EF4-FFF2-40B4-BE49-F238E27FC236}">
              <a16:creationId xmlns:a16="http://schemas.microsoft.com/office/drawing/2014/main" id="{9D55FA8C-92B6-0CB8-1DBD-E0F9B04508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5" name="Text Box 41">
          <a:extLst>
            <a:ext uri="{FF2B5EF4-FFF2-40B4-BE49-F238E27FC236}">
              <a16:creationId xmlns:a16="http://schemas.microsoft.com/office/drawing/2014/main" id="{D79DDFF5-B6F2-C879-9153-8A3AE34474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6" name="Text Box 42">
          <a:extLst>
            <a:ext uri="{FF2B5EF4-FFF2-40B4-BE49-F238E27FC236}">
              <a16:creationId xmlns:a16="http://schemas.microsoft.com/office/drawing/2014/main" id="{F9455CAB-C351-00B6-4B51-F004773FC4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7" name="Text Box 43">
          <a:extLst>
            <a:ext uri="{FF2B5EF4-FFF2-40B4-BE49-F238E27FC236}">
              <a16:creationId xmlns:a16="http://schemas.microsoft.com/office/drawing/2014/main" id="{260EA465-71E2-B7CE-968F-2C99F458A6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8" name="Text Box 44">
          <a:extLst>
            <a:ext uri="{FF2B5EF4-FFF2-40B4-BE49-F238E27FC236}">
              <a16:creationId xmlns:a16="http://schemas.microsoft.com/office/drawing/2014/main" id="{0D7BC429-FD1F-934E-9EED-0AB71E37E8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39" name="Text Box 45">
          <a:extLst>
            <a:ext uri="{FF2B5EF4-FFF2-40B4-BE49-F238E27FC236}">
              <a16:creationId xmlns:a16="http://schemas.microsoft.com/office/drawing/2014/main" id="{A7B5F60D-2B37-2D03-2CE5-BAE55901E5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0" name="Text Box 46">
          <a:extLst>
            <a:ext uri="{FF2B5EF4-FFF2-40B4-BE49-F238E27FC236}">
              <a16:creationId xmlns:a16="http://schemas.microsoft.com/office/drawing/2014/main" id="{D0E1E431-EBBC-EA4B-BA73-0E9532677D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1" name="Text Box 47">
          <a:extLst>
            <a:ext uri="{FF2B5EF4-FFF2-40B4-BE49-F238E27FC236}">
              <a16:creationId xmlns:a16="http://schemas.microsoft.com/office/drawing/2014/main" id="{561DCE45-6779-FD2F-8FEC-B1018BA8CD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2" name="Text Box 48">
          <a:extLst>
            <a:ext uri="{FF2B5EF4-FFF2-40B4-BE49-F238E27FC236}">
              <a16:creationId xmlns:a16="http://schemas.microsoft.com/office/drawing/2014/main" id="{DAC198CD-26F0-BF38-658C-22E6DAFF4D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3" name="Text Box 49">
          <a:extLst>
            <a:ext uri="{FF2B5EF4-FFF2-40B4-BE49-F238E27FC236}">
              <a16:creationId xmlns:a16="http://schemas.microsoft.com/office/drawing/2014/main" id="{B30580A0-EA14-E5EC-DDD4-B7B21CC1EE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4" name="Text Box 50">
          <a:extLst>
            <a:ext uri="{FF2B5EF4-FFF2-40B4-BE49-F238E27FC236}">
              <a16:creationId xmlns:a16="http://schemas.microsoft.com/office/drawing/2014/main" id="{B6B59ABB-F357-5B9E-F3FD-14754F6A2E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5" name="Text Box 51">
          <a:extLst>
            <a:ext uri="{FF2B5EF4-FFF2-40B4-BE49-F238E27FC236}">
              <a16:creationId xmlns:a16="http://schemas.microsoft.com/office/drawing/2014/main" id="{84A4A313-6780-A72A-B560-51DEE2E719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6" name="Text Box 52">
          <a:extLst>
            <a:ext uri="{FF2B5EF4-FFF2-40B4-BE49-F238E27FC236}">
              <a16:creationId xmlns:a16="http://schemas.microsoft.com/office/drawing/2014/main" id="{39ECCB5D-B947-2A0E-7175-0B34538421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7" name="Text Box 53">
          <a:extLst>
            <a:ext uri="{FF2B5EF4-FFF2-40B4-BE49-F238E27FC236}">
              <a16:creationId xmlns:a16="http://schemas.microsoft.com/office/drawing/2014/main" id="{F381ED15-C990-C130-2903-BE1D3B4D35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8" name="Text Box 54">
          <a:extLst>
            <a:ext uri="{FF2B5EF4-FFF2-40B4-BE49-F238E27FC236}">
              <a16:creationId xmlns:a16="http://schemas.microsoft.com/office/drawing/2014/main" id="{C700CD06-497C-5175-32DA-46ADEDA745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49" name="Text Box 55">
          <a:extLst>
            <a:ext uri="{FF2B5EF4-FFF2-40B4-BE49-F238E27FC236}">
              <a16:creationId xmlns:a16="http://schemas.microsoft.com/office/drawing/2014/main" id="{BDA4F349-756D-655D-EC79-CC3D6F6979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0" name="Text Box 56">
          <a:extLst>
            <a:ext uri="{FF2B5EF4-FFF2-40B4-BE49-F238E27FC236}">
              <a16:creationId xmlns:a16="http://schemas.microsoft.com/office/drawing/2014/main" id="{124BC697-239D-976B-357D-6941DEC4F2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1" name="Text Box 57">
          <a:extLst>
            <a:ext uri="{FF2B5EF4-FFF2-40B4-BE49-F238E27FC236}">
              <a16:creationId xmlns:a16="http://schemas.microsoft.com/office/drawing/2014/main" id="{1E965C2F-8E5C-76F4-6E2E-F1FE7ACAF9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2" name="Text Box 58">
          <a:extLst>
            <a:ext uri="{FF2B5EF4-FFF2-40B4-BE49-F238E27FC236}">
              <a16:creationId xmlns:a16="http://schemas.microsoft.com/office/drawing/2014/main" id="{53747546-AD26-9294-5D8A-94C1DF68CC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3" name="Text Box 59">
          <a:extLst>
            <a:ext uri="{FF2B5EF4-FFF2-40B4-BE49-F238E27FC236}">
              <a16:creationId xmlns:a16="http://schemas.microsoft.com/office/drawing/2014/main" id="{43C23369-7629-02E4-5B03-D41E4F84B5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4" name="Text Box 60">
          <a:extLst>
            <a:ext uri="{FF2B5EF4-FFF2-40B4-BE49-F238E27FC236}">
              <a16:creationId xmlns:a16="http://schemas.microsoft.com/office/drawing/2014/main" id="{D5BD3C81-EFFE-0ECB-4680-B89029CAD9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5" name="Text Box 61">
          <a:extLst>
            <a:ext uri="{FF2B5EF4-FFF2-40B4-BE49-F238E27FC236}">
              <a16:creationId xmlns:a16="http://schemas.microsoft.com/office/drawing/2014/main" id="{08A68ACB-A5C0-6F2A-DF34-20F07A6A91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6" name="Text Box 62">
          <a:extLst>
            <a:ext uri="{FF2B5EF4-FFF2-40B4-BE49-F238E27FC236}">
              <a16:creationId xmlns:a16="http://schemas.microsoft.com/office/drawing/2014/main" id="{9C0C0622-0DBB-3322-CAA7-6931C9060D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7" name="Text Box 63">
          <a:extLst>
            <a:ext uri="{FF2B5EF4-FFF2-40B4-BE49-F238E27FC236}">
              <a16:creationId xmlns:a16="http://schemas.microsoft.com/office/drawing/2014/main" id="{C3D70EE6-CD74-5784-F841-E29CB36841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8" name="Text Box 64">
          <a:extLst>
            <a:ext uri="{FF2B5EF4-FFF2-40B4-BE49-F238E27FC236}">
              <a16:creationId xmlns:a16="http://schemas.microsoft.com/office/drawing/2014/main" id="{1E6245AF-BB63-279C-AE78-CC1C5DC5F4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59" name="Text Box 65">
          <a:extLst>
            <a:ext uri="{FF2B5EF4-FFF2-40B4-BE49-F238E27FC236}">
              <a16:creationId xmlns:a16="http://schemas.microsoft.com/office/drawing/2014/main" id="{B155DD6C-AE76-A7AF-F40D-E9D531727F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0" name="Text Box 66">
          <a:extLst>
            <a:ext uri="{FF2B5EF4-FFF2-40B4-BE49-F238E27FC236}">
              <a16:creationId xmlns:a16="http://schemas.microsoft.com/office/drawing/2014/main" id="{129D41B4-0293-3DEB-6443-5FD0891D6E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1" name="Text Box 67">
          <a:extLst>
            <a:ext uri="{FF2B5EF4-FFF2-40B4-BE49-F238E27FC236}">
              <a16:creationId xmlns:a16="http://schemas.microsoft.com/office/drawing/2014/main" id="{8BBBF6EF-7AF3-2427-E5FD-FB5D0520DE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2" name="Text Box 68">
          <a:extLst>
            <a:ext uri="{FF2B5EF4-FFF2-40B4-BE49-F238E27FC236}">
              <a16:creationId xmlns:a16="http://schemas.microsoft.com/office/drawing/2014/main" id="{007E470F-91E2-15DB-030E-A0EF50F47B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3" name="Text Box 69">
          <a:extLst>
            <a:ext uri="{FF2B5EF4-FFF2-40B4-BE49-F238E27FC236}">
              <a16:creationId xmlns:a16="http://schemas.microsoft.com/office/drawing/2014/main" id="{15C0432F-0DE8-FD41-A525-80DE44A9F8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4" name="Text Box 70">
          <a:extLst>
            <a:ext uri="{FF2B5EF4-FFF2-40B4-BE49-F238E27FC236}">
              <a16:creationId xmlns:a16="http://schemas.microsoft.com/office/drawing/2014/main" id="{21B3C91B-560B-8CBB-76CB-BB05B176DF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5" name="Text Box 71">
          <a:extLst>
            <a:ext uri="{FF2B5EF4-FFF2-40B4-BE49-F238E27FC236}">
              <a16:creationId xmlns:a16="http://schemas.microsoft.com/office/drawing/2014/main" id="{F3166259-C0F4-7E59-DEE9-EA75D816A5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6" name="Text Box 72">
          <a:extLst>
            <a:ext uri="{FF2B5EF4-FFF2-40B4-BE49-F238E27FC236}">
              <a16:creationId xmlns:a16="http://schemas.microsoft.com/office/drawing/2014/main" id="{8EA73B6F-D873-41EB-F092-D08D5AB537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7" name="Text Box 73">
          <a:extLst>
            <a:ext uri="{FF2B5EF4-FFF2-40B4-BE49-F238E27FC236}">
              <a16:creationId xmlns:a16="http://schemas.microsoft.com/office/drawing/2014/main" id="{5A005401-238B-26EC-0FF7-70ADD61B40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8" name="Text Box 74">
          <a:extLst>
            <a:ext uri="{FF2B5EF4-FFF2-40B4-BE49-F238E27FC236}">
              <a16:creationId xmlns:a16="http://schemas.microsoft.com/office/drawing/2014/main" id="{3586DB41-40CA-AB0A-ACED-B7F5B1CABB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69" name="Text Box 75">
          <a:extLst>
            <a:ext uri="{FF2B5EF4-FFF2-40B4-BE49-F238E27FC236}">
              <a16:creationId xmlns:a16="http://schemas.microsoft.com/office/drawing/2014/main" id="{A26BF0CF-1015-C189-F121-BC24D888BE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0" name="Text Box 76">
          <a:extLst>
            <a:ext uri="{FF2B5EF4-FFF2-40B4-BE49-F238E27FC236}">
              <a16:creationId xmlns:a16="http://schemas.microsoft.com/office/drawing/2014/main" id="{6C38C766-0A57-E590-B54A-BF2318CE22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1" name="Text Box 77">
          <a:extLst>
            <a:ext uri="{FF2B5EF4-FFF2-40B4-BE49-F238E27FC236}">
              <a16:creationId xmlns:a16="http://schemas.microsoft.com/office/drawing/2014/main" id="{E59EF584-9B39-9F57-5DD0-F57061040D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2" name="Text Box 78">
          <a:extLst>
            <a:ext uri="{FF2B5EF4-FFF2-40B4-BE49-F238E27FC236}">
              <a16:creationId xmlns:a16="http://schemas.microsoft.com/office/drawing/2014/main" id="{7E1529ED-1D7E-72F1-0D5B-D8C68DF640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3" name="Text Box 79">
          <a:extLst>
            <a:ext uri="{FF2B5EF4-FFF2-40B4-BE49-F238E27FC236}">
              <a16:creationId xmlns:a16="http://schemas.microsoft.com/office/drawing/2014/main" id="{76C3721D-71EB-1BE1-D324-E4CDF62C83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4" name="Text Box 80">
          <a:extLst>
            <a:ext uri="{FF2B5EF4-FFF2-40B4-BE49-F238E27FC236}">
              <a16:creationId xmlns:a16="http://schemas.microsoft.com/office/drawing/2014/main" id="{A91E1DD6-EBF4-55CC-B233-99A370EC7A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5" name="Text Box 81">
          <a:extLst>
            <a:ext uri="{FF2B5EF4-FFF2-40B4-BE49-F238E27FC236}">
              <a16:creationId xmlns:a16="http://schemas.microsoft.com/office/drawing/2014/main" id="{31A63A76-2A86-6EC4-17AF-875B85812D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6" name="Text Box 82">
          <a:extLst>
            <a:ext uri="{FF2B5EF4-FFF2-40B4-BE49-F238E27FC236}">
              <a16:creationId xmlns:a16="http://schemas.microsoft.com/office/drawing/2014/main" id="{884AC13E-D71C-84A8-7836-EEC0370FDC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7" name="Text Box 83">
          <a:extLst>
            <a:ext uri="{FF2B5EF4-FFF2-40B4-BE49-F238E27FC236}">
              <a16:creationId xmlns:a16="http://schemas.microsoft.com/office/drawing/2014/main" id="{B03FFDD5-4939-423B-E622-C60918F585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8" name="Text Box 84">
          <a:extLst>
            <a:ext uri="{FF2B5EF4-FFF2-40B4-BE49-F238E27FC236}">
              <a16:creationId xmlns:a16="http://schemas.microsoft.com/office/drawing/2014/main" id="{8D582F34-DF0F-6BDF-A914-204EC3669F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79" name="Text Box 85">
          <a:extLst>
            <a:ext uri="{FF2B5EF4-FFF2-40B4-BE49-F238E27FC236}">
              <a16:creationId xmlns:a16="http://schemas.microsoft.com/office/drawing/2014/main" id="{8A6C6A78-20B8-6C46-2CAD-4E2D19801E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0" name="Text Box 86">
          <a:extLst>
            <a:ext uri="{FF2B5EF4-FFF2-40B4-BE49-F238E27FC236}">
              <a16:creationId xmlns:a16="http://schemas.microsoft.com/office/drawing/2014/main" id="{DF6B9524-ACDA-9B28-0BB1-22A4A6445A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1" name="Text Box 87">
          <a:extLst>
            <a:ext uri="{FF2B5EF4-FFF2-40B4-BE49-F238E27FC236}">
              <a16:creationId xmlns:a16="http://schemas.microsoft.com/office/drawing/2014/main" id="{93DE12F6-546E-BBE2-501D-22C7FBC0B2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2" name="Text Box 88">
          <a:extLst>
            <a:ext uri="{FF2B5EF4-FFF2-40B4-BE49-F238E27FC236}">
              <a16:creationId xmlns:a16="http://schemas.microsoft.com/office/drawing/2014/main" id="{74CB9B12-D326-2759-D1B0-F974AB1ED9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3" name="Text Box 89">
          <a:extLst>
            <a:ext uri="{FF2B5EF4-FFF2-40B4-BE49-F238E27FC236}">
              <a16:creationId xmlns:a16="http://schemas.microsoft.com/office/drawing/2014/main" id="{0B170BD6-EB4F-DFD6-F74F-333CDF55BA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4" name="Text Box 90">
          <a:extLst>
            <a:ext uri="{FF2B5EF4-FFF2-40B4-BE49-F238E27FC236}">
              <a16:creationId xmlns:a16="http://schemas.microsoft.com/office/drawing/2014/main" id="{FFAB401D-6D93-528E-4503-33ACF85A66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5" name="Text Box 91">
          <a:extLst>
            <a:ext uri="{FF2B5EF4-FFF2-40B4-BE49-F238E27FC236}">
              <a16:creationId xmlns:a16="http://schemas.microsoft.com/office/drawing/2014/main" id="{8CFDD5F3-D874-A4FC-0D83-B42FC95D94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6" name="Text Box 92">
          <a:extLst>
            <a:ext uri="{FF2B5EF4-FFF2-40B4-BE49-F238E27FC236}">
              <a16:creationId xmlns:a16="http://schemas.microsoft.com/office/drawing/2014/main" id="{AC27D02F-BD82-FDFA-3DF1-92D737D234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7" name="Text Box 93">
          <a:extLst>
            <a:ext uri="{FF2B5EF4-FFF2-40B4-BE49-F238E27FC236}">
              <a16:creationId xmlns:a16="http://schemas.microsoft.com/office/drawing/2014/main" id="{98F75C6A-999F-5C67-AB05-D6A451F660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8" name="Text Box 94">
          <a:extLst>
            <a:ext uri="{FF2B5EF4-FFF2-40B4-BE49-F238E27FC236}">
              <a16:creationId xmlns:a16="http://schemas.microsoft.com/office/drawing/2014/main" id="{FE84437E-DE71-8131-EA2A-2FA68CAA28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89" name="Text Box 95">
          <a:extLst>
            <a:ext uri="{FF2B5EF4-FFF2-40B4-BE49-F238E27FC236}">
              <a16:creationId xmlns:a16="http://schemas.microsoft.com/office/drawing/2014/main" id="{1CA37977-1A72-2FBD-EE35-5DB260CA98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0" name="Text Box 96">
          <a:extLst>
            <a:ext uri="{FF2B5EF4-FFF2-40B4-BE49-F238E27FC236}">
              <a16:creationId xmlns:a16="http://schemas.microsoft.com/office/drawing/2014/main" id="{93E8FC87-9DE8-239B-FBCD-D255FB9B92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1" name="Text Box 97">
          <a:extLst>
            <a:ext uri="{FF2B5EF4-FFF2-40B4-BE49-F238E27FC236}">
              <a16:creationId xmlns:a16="http://schemas.microsoft.com/office/drawing/2014/main" id="{A2610F96-5517-FC61-5794-A7BD73AB65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2" name="Text Box 98">
          <a:extLst>
            <a:ext uri="{FF2B5EF4-FFF2-40B4-BE49-F238E27FC236}">
              <a16:creationId xmlns:a16="http://schemas.microsoft.com/office/drawing/2014/main" id="{7B8506E2-EB77-2F54-B79F-0BB0D57636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3" name="Text Box 99">
          <a:extLst>
            <a:ext uri="{FF2B5EF4-FFF2-40B4-BE49-F238E27FC236}">
              <a16:creationId xmlns:a16="http://schemas.microsoft.com/office/drawing/2014/main" id="{82CE0250-76A9-5628-AC2B-F433B27F31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4" name="Text Box 100">
          <a:extLst>
            <a:ext uri="{FF2B5EF4-FFF2-40B4-BE49-F238E27FC236}">
              <a16:creationId xmlns:a16="http://schemas.microsoft.com/office/drawing/2014/main" id="{5F0A1903-B428-B61E-0F2F-55E8A0503C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5" name="Text Box 101">
          <a:extLst>
            <a:ext uri="{FF2B5EF4-FFF2-40B4-BE49-F238E27FC236}">
              <a16:creationId xmlns:a16="http://schemas.microsoft.com/office/drawing/2014/main" id="{1ADCC373-9308-013A-88A3-1D54E59D77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6" name="Text Box 102">
          <a:extLst>
            <a:ext uri="{FF2B5EF4-FFF2-40B4-BE49-F238E27FC236}">
              <a16:creationId xmlns:a16="http://schemas.microsoft.com/office/drawing/2014/main" id="{E2987937-A2F5-F0DB-1703-22222F6F02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7" name="Text Box 103">
          <a:extLst>
            <a:ext uri="{FF2B5EF4-FFF2-40B4-BE49-F238E27FC236}">
              <a16:creationId xmlns:a16="http://schemas.microsoft.com/office/drawing/2014/main" id="{216420BB-506D-5C77-D2B2-065D297942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8" name="Text Box 104">
          <a:extLst>
            <a:ext uri="{FF2B5EF4-FFF2-40B4-BE49-F238E27FC236}">
              <a16:creationId xmlns:a16="http://schemas.microsoft.com/office/drawing/2014/main" id="{F7A0094B-BB1C-4019-E9C0-D9CFF4D0BE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299" name="Text Box 105">
          <a:extLst>
            <a:ext uri="{FF2B5EF4-FFF2-40B4-BE49-F238E27FC236}">
              <a16:creationId xmlns:a16="http://schemas.microsoft.com/office/drawing/2014/main" id="{DC30BDCD-90C1-F3DE-B3C1-88CCFB20A2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0" name="Text Box 106">
          <a:extLst>
            <a:ext uri="{FF2B5EF4-FFF2-40B4-BE49-F238E27FC236}">
              <a16:creationId xmlns:a16="http://schemas.microsoft.com/office/drawing/2014/main" id="{0AF3C55A-EEA6-2D52-2EB1-DA1C49C855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1" name="Text Box 107">
          <a:extLst>
            <a:ext uri="{FF2B5EF4-FFF2-40B4-BE49-F238E27FC236}">
              <a16:creationId xmlns:a16="http://schemas.microsoft.com/office/drawing/2014/main" id="{57A65AF7-3B7A-C5B2-E250-17627FE8A3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2" name="Text Box 108">
          <a:extLst>
            <a:ext uri="{FF2B5EF4-FFF2-40B4-BE49-F238E27FC236}">
              <a16:creationId xmlns:a16="http://schemas.microsoft.com/office/drawing/2014/main" id="{7CF7FDAC-A97B-110C-E555-C44F11E3F5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3" name="Text Box 109">
          <a:extLst>
            <a:ext uri="{FF2B5EF4-FFF2-40B4-BE49-F238E27FC236}">
              <a16:creationId xmlns:a16="http://schemas.microsoft.com/office/drawing/2014/main" id="{FBDFA2E2-392A-51E2-2C61-D43E9238A3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4" name="Text Box 110">
          <a:extLst>
            <a:ext uri="{FF2B5EF4-FFF2-40B4-BE49-F238E27FC236}">
              <a16:creationId xmlns:a16="http://schemas.microsoft.com/office/drawing/2014/main" id="{9EF74D04-8060-CDD9-E232-35EAB967A9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5" name="Text Box 111">
          <a:extLst>
            <a:ext uri="{FF2B5EF4-FFF2-40B4-BE49-F238E27FC236}">
              <a16:creationId xmlns:a16="http://schemas.microsoft.com/office/drawing/2014/main" id="{570EC0EE-DE8B-A100-4DCB-E8F6282C33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6" name="Text Box 112">
          <a:extLst>
            <a:ext uri="{FF2B5EF4-FFF2-40B4-BE49-F238E27FC236}">
              <a16:creationId xmlns:a16="http://schemas.microsoft.com/office/drawing/2014/main" id="{A3B67DCB-AD64-782A-2A5A-D156C69B76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7" name="Text Box 113">
          <a:extLst>
            <a:ext uri="{FF2B5EF4-FFF2-40B4-BE49-F238E27FC236}">
              <a16:creationId xmlns:a16="http://schemas.microsoft.com/office/drawing/2014/main" id="{E718B3B7-B3BC-E0AB-0A0E-B5AB328E64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8" name="Text Box 114">
          <a:extLst>
            <a:ext uri="{FF2B5EF4-FFF2-40B4-BE49-F238E27FC236}">
              <a16:creationId xmlns:a16="http://schemas.microsoft.com/office/drawing/2014/main" id="{33442F8A-ED08-96BE-91D4-EA2E02B0A0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09" name="Text Box 115">
          <a:extLst>
            <a:ext uri="{FF2B5EF4-FFF2-40B4-BE49-F238E27FC236}">
              <a16:creationId xmlns:a16="http://schemas.microsoft.com/office/drawing/2014/main" id="{FCBC6D10-3DA6-0F96-F779-7084956E0C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0" name="Text Box 116">
          <a:extLst>
            <a:ext uri="{FF2B5EF4-FFF2-40B4-BE49-F238E27FC236}">
              <a16:creationId xmlns:a16="http://schemas.microsoft.com/office/drawing/2014/main" id="{EFCF9B8C-E898-07BB-68B1-EB50C47CFB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1" name="Text Box 117">
          <a:extLst>
            <a:ext uri="{FF2B5EF4-FFF2-40B4-BE49-F238E27FC236}">
              <a16:creationId xmlns:a16="http://schemas.microsoft.com/office/drawing/2014/main" id="{C8A6C8BE-BFC2-C340-2359-9BB810D061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2" name="Text Box 118">
          <a:extLst>
            <a:ext uri="{FF2B5EF4-FFF2-40B4-BE49-F238E27FC236}">
              <a16:creationId xmlns:a16="http://schemas.microsoft.com/office/drawing/2014/main" id="{DB44C9D5-5F79-1E87-D384-3AC86FF629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3" name="Text Box 119">
          <a:extLst>
            <a:ext uri="{FF2B5EF4-FFF2-40B4-BE49-F238E27FC236}">
              <a16:creationId xmlns:a16="http://schemas.microsoft.com/office/drawing/2014/main" id="{1E4BF264-A123-CBFC-29BE-9284F91D16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4" name="Text Box 120">
          <a:extLst>
            <a:ext uri="{FF2B5EF4-FFF2-40B4-BE49-F238E27FC236}">
              <a16:creationId xmlns:a16="http://schemas.microsoft.com/office/drawing/2014/main" id="{C58C41E7-F63E-7298-F5E0-6540340522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5" name="Text Box 121">
          <a:extLst>
            <a:ext uri="{FF2B5EF4-FFF2-40B4-BE49-F238E27FC236}">
              <a16:creationId xmlns:a16="http://schemas.microsoft.com/office/drawing/2014/main" id="{D6FCF7FB-E6B4-E5D2-2941-982EA76237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6" name="Text Box 122">
          <a:extLst>
            <a:ext uri="{FF2B5EF4-FFF2-40B4-BE49-F238E27FC236}">
              <a16:creationId xmlns:a16="http://schemas.microsoft.com/office/drawing/2014/main" id="{C6320899-783C-E2B2-ACD8-80A3497CCB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7" name="Text Box 123">
          <a:extLst>
            <a:ext uri="{FF2B5EF4-FFF2-40B4-BE49-F238E27FC236}">
              <a16:creationId xmlns:a16="http://schemas.microsoft.com/office/drawing/2014/main" id="{E0A2FC8E-A1B8-A2C4-8D34-FA0E706E7C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8" name="Text Box 124">
          <a:extLst>
            <a:ext uri="{FF2B5EF4-FFF2-40B4-BE49-F238E27FC236}">
              <a16:creationId xmlns:a16="http://schemas.microsoft.com/office/drawing/2014/main" id="{76AE6658-1D2C-B192-2943-AD2421C954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19" name="Text Box 125">
          <a:extLst>
            <a:ext uri="{FF2B5EF4-FFF2-40B4-BE49-F238E27FC236}">
              <a16:creationId xmlns:a16="http://schemas.microsoft.com/office/drawing/2014/main" id="{FBD83241-FCD3-C04F-7FBB-A5135FAD2F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0" name="Text Box 126">
          <a:extLst>
            <a:ext uri="{FF2B5EF4-FFF2-40B4-BE49-F238E27FC236}">
              <a16:creationId xmlns:a16="http://schemas.microsoft.com/office/drawing/2014/main" id="{673E20DB-52D6-4EC3-04DA-225C2F7D42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1" name="Text Box 127">
          <a:extLst>
            <a:ext uri="{FF2B5EF4-FFF2-40B4-BE49-F238E27FC236}">
              <a16:creationId xmlns:a16="http://schemas.microsoft.com/office/drawing/2014/main" id="{C26F27C1-F7AF-4AC5-8CF5-76EF9E106B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2" name="Text Box 128">
          <a:extLst>
            <a:ext uri="{FF2B5EF4-FFF2-40B4-BE49-F238E27FC236}">
              <a16:creationId xmlns:a16="http://schemas.microsoft.com/office/drawing/2014/main" id="{B634EF20-7D70-C495-BDFA-799D5B4BDA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3" name="Text Box 129">
          <a:extLst>
            <a:ext uri="{FF2B5EF4-FFF2-40B4-BE49-F238E27FC236}">
              <a16:creationId xmlns:a16="http://schemas.microsoft.com/office/drawing/2014/main" id="{9F26B59E-2B03-F2F7-FBA2-E434F46147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4" name="Text Box 130">
          <a:extLst>
            <a:ext uri="{FF2B5EF4-FFF2-40B4-BE49-F238E27FC236}">
              <a16:creationId xmlns:a16="http://schemas.microsoft.com/office/drawing/2014/main" id="{A53F9896-BB13-B45F-0196-FBCC9AD3B7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5" name="Text Box 131">
          <a:extLst>
            <a:ext uri="{FF2B5EF4-FFF2-40B4-BE49-F238E27FC236}">
              <a16:creationId xmlns:a16="http://schemas.microsoft.com/office/drawing/2014/main" id="{0FB9CC41-3003-540D-A150-0E4933ECC9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6" name="Text Box 132">
          <a:extLst>
            <a:ext uri="{FF2B5EF4-FFF2-40B4-BE49-F238E27FC236}">
              <a16:creationId xmlns:a16="http://schemas.microsoft.com/office/drawing/2014/main" id="{7963214C-7F34-EEF9-D695-31F608B30A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7" name="Text Box 133">
          <a:extLst>
            <a:ext uri="{FF2B5EF4-FFF2-40B4-BE49-F238E27FC236}">
              <a16:creationId xmlns:a16="http://schemas.microsoft.com/office/drawing/2014/main" id="{A116BB50-607A-C513-5A7B-CA8F37B98E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8" name="Text Box 134">
          <a:extLst>
            <a:ext uri="{FF2B5EF4-FFF2-40B4-BE49-F238E27FC236}">
              <a16:creationId xmlns:a16="http://schemas.microsoft.com/office/drawing/2014/main" id="{9460737D-D725-E444-95DF-B2EE4F7BB5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29" name="Text Box 135">
          <a:extLst>
            <a:ext uri="{FF2B5EF4-FFF2-40B4-BE49-F238E27FC236}">
              <a16:creationId xmlns:a16="http://schemas.microsoft.com/office/drawing/2014/main" id="{8332FB3F-8539-641E-B843-D8174A342E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0" name="Text Box 136">
          <a:extLst>
            <a:ext uri="{FF2B5EF4-FFF2-40B4-BE49-F238E27FC236}">
              <a16:creationId xmlns:a16="http://schemas.microsoft.com/office/drawing/2014/main" id="{8BCF4048-9DE1-B844-3152-1B7304FE23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1" name="Text Box 137">
          <a:extLst>
            <a:ext uri="{FF2B5EF4-FFF2-40B4-BE49-F238E27FC236}">
              <a16:creationId xmlns:a16="http://schemas.microsoft.com/office/drawing/2014/main" id="{E45B4566-9C2E-5572-BDC8-7B13A2D0A1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2" name="Text Box 138">
          <a:extLst>
            <a:ext uri="{FF2B5EF4-FFF2-40B4-BE49-F238E27FC236}">
              <a16:creationId xmlns:a16="http://schemas.microsoft.com/office/drawing/2014/main" id="{A75A6CAE-A21E-F81C-BCB4-E6A953C0BC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3" name="Text Box 139">
          <a:extLst>
            <a:ext uri="{FF2B5EF4-FFF2-40B4-BE49-F238E27FC236}">
              <a16:creationId xmlns:a16="http://schemas.microsoft.com/office/drawing/2014/main" id="{B33DFF37-C613-5CB6-D755-DAAFBE6863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4" name="Text Box 140">
          <a:extLst>
            <a:ext uri="{FF2B5EF4-FFF2-40B4-BE49-F238E27FC236}">
              <a16:creationId xmlns:a16="http://schemas.microsoft.com/office/drawing/2014/main" id="{F6F1549C-F0E5-5581-EAA9-91E221CD93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5" name="Text Box 141">
          <a:extLst>
            <a:ext uri="{FF2B5EF4-FFF2-40B4-BE49-F238E27FC236}">
              <a16:creationId xmlns:a16="http://schemas.microsoft.com/office/drawing/2014/main" id="{85A20BD7-33D3-C7CD-B6AB-6E57BB0091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6" name="Text Box 142">
          <a:extLst>
            <a:ext uri="{FF2B5EF4-FFF2-40B4-BE49-F238E27FC236}">
              <a16:creationId xmlns:a16="http://schemas.microsoft.com/office/drawing/2014/main" id="{9864D485-97CC-CD03-8670-5725777D91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7" name="Text Box 143">
          <a:extLst>
            <a:ext uri="{FF2B5EF4-FFF2-40B4-BE49-F238E27FC236}">
              <a16:creationId xmlns:a16="http://schemas.microsoft.com/office/drawing/2014/main" id="{DA184CAE-C4F3-52A1-7249-F0949F8B71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8" name="Text Box 144">
          <a:extLst>
            <a:ext uri="{FF2B5EF4-FFF2-40B4-BE49-F238E27FC236}">
              <a16:creationId xmlns:a16="http://schemas.microsoft.com/office/drawing/2014/main" id="{F749337E-31A4-A550-F71D-8A7E0F78BD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39" name="Text Box 145">
          <a:extLst>
            <a:ext uri="{FF2B5EF4-FFF2-40B4-BE49-F238E27FC236}">
              <a16:creationId xmlns:a16="http://schemas.microsoft.com/office/drawing/2014/main" id="{1475235E-D4FD-4A6A-6FC6-74D6D81BEB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0" name="Text Box 146">
          <a:extLst>
            <a:ext uri="{FF2B5EF4-FFF2-40B4-BE49-F238E27FC236}">
              <a16:creationId xmlns:a16="http://schemas.microsoft.com/office/drawing/2014/main" id="{A7B767E0-F87C-7089-93B5-AA21D79A49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1" name="Text Box 147">
          <a:extLst>
            <a:ext uri="{FF2B5EF4-FFF2-40B4-BE49-F238E27FC236}">
              <a16:creationId xmlns:a16="http://schemas.microsoft.com/office/drawing/2014/main" id="{EDA13254-A24C-4BF3-BB94-B192715D9E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2" name="Text Box 148">
          <a:extLst>
            <a:ext uri="{FF2B5EF4-FFF2-40B4-BE49-F238E27FC236}">
              <a16:creationId xmlns:a16="http://schemas.microsoft.com/office/drawing/2014/main" id="{F316272D-112D-1754-EC2D-81A8DFE98D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3" name="Text Box 149">
          <a:extLst>
            <a:ext uri="{FF2B5EF4-FFF2-40B4-BE49-F238E27FC236}">
              <a16:creationId xmlns:a16="http://schemas.microsoft.com/office/drawing/2014/main" id="{5FDFBF51-430D-68DA-1634-093DEDF732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4" name="Text Box 150">
          <a:extLst>
            <a:ext uri="{FF2B5EF4-FFF2-40B4-BE49-F238E27FC236}">
              <a16:creationId xmlns:a16="http://schemas.microsoft.com/office/drawing/2014/main" id="{5B421B3D-B291-00F5-6880-CE4B38C2F2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5" name="Text Box 151">
          <a:extLst>
            <a:ext uri="{FF2B5EF4-FFF2-40B4-BE49-F238E27FC236}">
              <a16:creationId xmlns:a16="http://schemas.microsoft.com/office/drawing/2014/main" id="{C7E3AF26-EEB5-87F8-F3C3-B6986934F5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6" name="Text Box 152">
          <a:extLst>
            <a:ext uri="{FF2B5EF4-FFF2-40B4-BE49-F238E27FC236}">
              <a16:creationId xmlns:a16="http://schemas.microsoft.com/office/drawing/2014/main" id="{005A2DEE-31F1-4805-F4D7-997AED1DB9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7" name="Text Box 153">
          <a:extLst>
            <a:ext uri="{FF2B5EF4-FFF2-40B4-BE49-F238E27FC236}">
              <a16:creationId xmlns:a16="http://schemas.microsoft.com/office/drawing/2014/main" id="{505C6591-331D-7C19-31AA-E03656E8A2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8" name="Text Box 154">
          <a:extLst>
            <a:ext uri="{FF2B5EF4-FFF2-40B4-BE49-F238E27FC236}">
              <a16:creationId xmlns:a16="http://schemas.microsoft.com/office/drawing/2014/main" id="{39B7E048-2BE7-E14A-AEB0-C21883AD7B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49" name="Text Box 155">
          <a:extLst>
            <a:ext uri="{FF2B5EF4-FFF2-40B4-BE49-F238E27FC236}">
              <a16:creationId xmlns:a16="http://schemas.microsoft.com/office/drawing/2014/main" id="{DC6C96DF-D955-1C7B-88BD-1C15F7E26F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0" name="Text Box 156">
          <a:extLst>
            <a:ext uri="{FF2B5EF4-FFF2-40B4-BE49-F238E27FC236}">
              <a16:creationId xmlns:a16="http://schemas.microsoft.com/office/drawing/2014/main" id="{A23E8D84-8C94-4849-2BED-A6E904F751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1" name="Text Box 157">
          <a:extLst>
            <a:ext uri="{FF2B5EF4-FFF2-40B4-BE49-F238E27FC236}">
              <a16:creationId xmlns:a16="http://schemas.microsoft.com/office/drawing/2014/main" id="{A6A9D516-30DC-E197-ECAD-CC330E68FC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2" name="Text Box 158">
          <a:extLst>
            <a:ext uri="{FF2B5EF4-FFF2-40B4-BE49-F238E27FC236}">
              <a16:creationId xmlns:a16="http://schemas.microsoft.com/office/drawing/2014/main" id="{0B73834C-D656-C4B5-E8CF-6957C07C7D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3" name="Text Box 159">
          <a:extLst>
            <a:ext uri="{FF2B5EF4-FFF2-40B4-BE49-F238E27FC236}">
              <a16:creationId xmlns:a16="http://schemas.microsoft.com/office/drawing/2014/main" id="{593659A6-3715-A74C-2A65-5C5BCA1E95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4" name="Text Box 160">
          <a:extLst>
            <a:ext uri="{FF2B5EF4-FFF2-40B4-BE49-F238E27FC236}">
              <a16:creationId xmlns:a16="http://schemas.microsoft.com/office/drawing/2014/main" id="{1DE0B70A-FC43-D1C6-B4B5-654187649C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5" name="Text Box 161">
          <a:extLst>
            <a:ext uri="{FF2B5EF4-FFF2-40B4-BE49-F238E27FC236}">
              <a16:creationId xmlns:a16="http://schemas.microsoft.com/office/drawing/2014/main" id="{FC30803C-FE81-7E86-6561-93257704CE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6" name="Text Box 162">
          <a:extLst>
            <a:ext uri="{FF2B5EF4-FFF2-40B4-BE49-F238E27FC236}">
              <a16:creationId xmlns:a16="http://schemas.microsoft.com/office/drawing/2014/main" id="{10447C6D-5C4F-FFD1-3B66-412573140F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7" name="Text Box 163">
          <a:extLst>
            <a:ext uri="{FF2B5EF4-FFF2-40B4-BE49-F238E27FC236}">
              <a16:creationId xmlns:a16="http://schemas.microsoft.com/office/drawing/2014/main" id="{2409A4D9-83E2-C2C2-EB6A-0A6EB32575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8" name="Text Box 164">
          <a:extLst>
            <a:ext uri="{FF2B5EF4-FFF2-40B4-BE49-F238E27FC236}">
              <a16:creationId xmlns:a16="http://schemas.microsoft.com/office/drawing/2014/main" id="{25B472F5-E04C-651C-CFB1-9114469B30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59" name="Text Box 165">
          <a:extLst>
            <a:ext uri="{FF2B5EF4-FFF2-40B4-BE49-F238E27FC236}">
              <a16:creationId xmlns:a16="http://schemas.microsoft.com/office/drawing/2014/main" id="{ED516FBE-438C-93D5-39A1-D19495BD9C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0" name="Text Box 166">
          <a:extLst>
            <a:ext uri="{FF2B5EF4-FFF2-40B4-BE49-F238E27FC236}">
              <a16:creationId xmlns:a16="http://schemas.microsoft.com/office/drawing/2014/main" id="{29409E5B-7B98-ED55-1167-9F1A7FE734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1" name="Text Box 167">
          <a:extLst>
            <a:ext uri="{FF2B5EF4-FFF2-40B4-BE49-F238E27FC236}">
              <a16:creationId xmlns:a16="http://schemas.microsoft.com/office/drawing/2014/main" id="{64D77A1B-D7ED-3CB9-C787-3CB99CF6C2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2" name="Text Box 168">
          <a:extLst>
            <a:ext uri="{FF2B5EF4-FFF2-40B4-BE49-F238E27FC236}">
              <a16:creationId xmlns:a16="http://schemas.microsoft.com/office/drawing/2014/main" id="{BEA6BF7E-1FD8-1EDE-879F-6954FC9E0E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3" name="Text Box 169">
          <a:extLst>
            <a:ext uri="{FF2B5EF4-FFF2-40B4-BE49-F238E27FC236}">
              <a16:creationId xmlns:a16="http://schemas.microsoft.com/office/drawing/2014/main" id="{BF4EBBEF-A729-3BBC-4501-625B4F9079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4" name="Text Box 170">
          <a:extLst>
            <a:ext uri="{FF2B5EF4-FFF2-40B4-BE49-F238E27FC236}">
              <a16:creationId xmlns:a16="http://schemas.microsoft.com/office/drawing/2014/main" id="{403FAF70-7582-17FD-4302-D530B9AF90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5" name="Text Box 171">
          <a:extLst>
            <a:ext uri="{FF2B5EF4-FFF2-40B4-BE49-F238E27FC236}">
              <a16:creationId xmlns:a16="http://schemas.microsoft.com/office/drawing/2014/main" id="{09B3FA30-288E-CF5C-ACFA-EF3D0E3546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6" name="Text Box 172">
          <a:extLst>
            <a:ext uri="{FF2B5EF4-FFF2-40B4-BE49-F238E27FC236}">
              <a16:creationId xmlns:a16="http://schemas.microsoft.com/office/drawing/2014/main" id="{6A9D644D-7742-EE51-9A4D-2BCAFF8FC3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7" name="Text Box 173">
          <a:extLst>
            <a:ext uri="{FF2B5EF4-FFF2-40B4-BE49-F238E27FC236}">
              <a16:creationId xmlns:a16="http://schemas.microsoft.com/office/drawing/2014/main" id="{FF486847-B873-562A-90B8-6F7ED58B00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8" name="Text Box 174">
          <a:extLst>
            <a:ext uri="{FF2B5EF4-FFF2-40B4-BE49-F238E27FC236}">
              <a16:creationId xmlns:a16="http://schemas.microsoft.com/office/drawing/2014/main" id="{B59DE5D7-067E-5687-96B5-857F6540B9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69" name="Text Box 175">
          <a:extLst>
            <a:ext uri="{FF2B5EF4-FFF2-40B4-BE49-F238E27FC236}">
              <a16:creationId xmlns:a16="http://schemas.microsoft.com/office/drawing/2014/main" id="{D4C420E5-B964-16A6-8E3C-0D44776147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0" name="Text Box 176">
          <a:extLst>
            <a:ext uri="{FF2B5EF4-FFF2-40B4-BE49-F238E27FC236}">
              <a16:creationId xmlns:a16="http://schemas.microsoft.com/office/drawing/2014/main" id="{7074E887-DFF7-E422-1BA8-ABF6B0E654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1" name="Text Box 177">
          <a:extLst>
            <a:ext uri="{FF2B5EF4-FFF2-40B4-BE49-F238E27FC236}">
              <a16:creationId xmlns:a16="http://schemas.microsoft.com/office/drawing/2014/main" id="{39B98E78-DD37-C0A4-53F2-AE640323B1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2" name="Text Box 178">
          <a:extLst>
            <a:ext uri="{FF2B5EF4-FFF2-40B4-BE49-F238E27FC236}">
              <a16:creationId xmlns:a16="http://schemas.microsoft.com/office/drawing/2014/main" id="{62B0E7A8-8D13-7B1E-CC7C-E319834F25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3" name="Text Box 179">
          <a:extLst>
            <a:ext uri="{FF2B5EF4-FFF2-40B4-BE49-F238E27FC236}">
              <a16:creationId xmlns:a16="http://schemas.microsoft.com/office/drawing/2014/main" id="{8F4E15D8-F4EC-6BF3-B318-218E0DBE1B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4" name="Text Box 180">
          <a:extLst>
            <a:ext uri="{FF2B5EF4-FFF2-40B4-BE49-F238E27FC236}">
              <a16:creationId xmlns:a16="http://schemas.microsoft.com/office/drawing/2014/main" id="{5A0603C7-9052-F551-3D19-03FF57B76E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5" name="Text Box 181">
          <a:extLst>
            <a:ext uri="{FF2B5EF4-FFF2-40B4-BE49-F238E27FC236}">
              <a16:creationId xmlns:a16="http://schemas.microsoft.com/office/drawing/2014/main" id="{D7E9C1F0-57BF-CBCD-B0F7-9ACF765825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6" name="Text Box 182">
          <a:extLst>
            <a:ext uri="{FF2B5EF4-FFF2-40B4-BE49-F238E27FC236}">
              <a16:creationId xmlns:a16="http://schemas.microsoft.com/office/drawing/2014/main" id="{F00C6294-2159-FE92-60E5-7E3C63B61F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7" name="Text Box 183">
          <a:extLst>
            <a:ext uri="{FF2B5EF4-FFF2-40B4-BE49-F238E27FC236}">
              <a16:creationId xmlns:a16="http://schemas.microsoft.com/office/drawing/2014/main" id="{0AF10907-1492-8D1D-4FB1-C8830B09D6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8" name="Text Box 184">
          <a:extLst>
            <a:ext uri="{FF2B5EF4-FFF2-40B4-BE49-F238E27FC236}">
              <a16:creationId xmlns:a16="http://schemas.microsoft.com/office/drawing/2014/main" id="{A122F151-39C1-C2C1-12EE-C3013DAC8D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79" name="Text Box 185">
          <a:extLst>
            <a:ext uri="{FF2B5EF4-FFF2-40B4-BE49-F238E27FC236}">
              <a16:creationId xmlns:a16="http://schemas.microsoft.com/office/drawing/2014/main" id="{D4FE1664-24D1-A54E-CBE0-2E4C0FC7E5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0" name="Text Box 186">
          <a:extLst>
            <a:ext uri="{FF2B5EF4-FFF2-40B4-BE49-F238E27FC236}">
              <a16:creationId xmlns:a16="http://schemas.microsoft.com/office/drawing/2014/main" id="{461BFB9D-606B-B911-E9B4-A3D84C2408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1" name="Text Box 187">
          <a:extLst>
            <a:ext uri="{FF2B5EF4-FFF2-40B4-BE49-F238E27FC236}">
              <a16:creationId xmlns:a16="http://schemas.microsoft.com/office/drawing/2014/main" id="{27297859-995A-8524-CCD4-2F1AB7BE4D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2" name="Text Box 188">
          <a:extLst>
            <a:ext uri="{FF2B5EF4-FFF2-40B4-BE49-F238E27FC236}">
              <a16:creationId xmlns:a16="http://schemas.microsoft.com/office/drawing/2014/main" id="{826FACFB-C298-E304-95BD-9C3230DC37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3" name="Text Box 189">
          <a:extLst>
            <a:ext uri="{FF2B5EF4-FFF2-40B4-BE49-F238E27FC236}">
              <a16:creationId xmlns:a16="http://schemas.microsoft.com/office/drawing/2014/main" id="{1E22C465-71F1-CD42-A8AF-8390FE94A7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4" name="Text Box 190">
          <a:extLst>
            <a:ext uri="{FF2B5EF4-FFF2-40B4-BE49-F238E27FC236}">
              <a16:creationId xmlns:a16="http://schemas.microsoft.com/office/drawing/2014/main" id="{78C29CD5-6853-754C-F8C3-55093B761D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5" name="Text Box 191">
          <a:extLst>
            <a:ext uri="{FF2B5EF4-FFF2-40B4-BE49-F238E27FC236}">
              <a16:creationId xmlns:a16="http://schemas.microsoft.com/office/drawing/2014/main" id="{089A7870-D9BF-0AAD-EA9F-3E242FF590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6" name="Text Box 192">
          <a:extLst>
            <a:ext uri="{FF2B5EF4-FFF2-40B4-BE49-F238E27FC236}">
              <a16:creationId xmlns:a16="http://schemas.microsoft.com/office/drawing/2014/main" id="{99AC0A03-9541-660A-A6BA-81205D4073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7" name="Text Box 193">
          <a:extLst>
            <a:ext uri="{FF2B5EF4-FFF2-40B4-BE49-F238E27FC236}">
              <a16:creationId xmlns:a16="http://schemas.microsoft.com/office/drawing/2014/main" id="{9FBB8E78-E096-9AF8-8E86-4EF1BF81E6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8" name="Text Box 194">
          <a:extLst>
            <a:ext uri="{FF2B5EF4-FFF2-40B4-BE49-F238E27FC236}">
              <a16:creationId xmlns:a16="http://schemas.microsoft.com/office/drawing/2014/main" id="{0429609D-0FDD-A824-D650-642634714A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89" name="Text Box 195">
          <a:extLst>
            <a:ext uri="{FF2B5EF4-FFF2-40B4-BE49-F238E27FC236}">
              <a16:creationId xmlns:a16="http://schemas.microsoft.com/office/drawing/2014/main" id="{EB62E628-3442-0531-0B66-903F40BFC5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0" name="Text Box 196">
          <a:extLst>
            <a:ext uri="{FF2B5EF4-FFF2-40B4-BE49-F238E27FC236}">
              <a16:creationId xmlns:a16="http://schemas.microsoft.com/office/drawing/2014/main" id="{F0B4DA3C-C5BE-8F64-3F7F-9429603774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1" name="Text Box 197">
          <a:extLst>
            <a:ext uri="{FF2B5EF4-FFF2-40B4-BE49-F238E27FC236}">
              <a16:creationId xmlns:a16="http://schemas.microsoft.com/office/drawing/2014/main" id="{64E5DEA3-2225-82D5-EC30-787520BE4A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2" name="Text Box 198">
          <a:extLst>
            <a:ext uri="{FF2B5EF4-FFF2-40B4-BE49-F238E27FC236}">
              <a16:creationId xmlns:a16="http://schemas.microsoft.com/office/drawing/2014/main" id="{39442338-492E-BAE0-C254-6B6AA31F5F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3" name="Text Box 199">
          <a:extLst>
            <a:ext uri="{FF2B5EF4-FFF2-40B4-BE49-F238E27FC236}">
              <a16:creationId xmlns:a16="http://schemas.microsoft.com/office/drawing/2014/main" id="{6B0F0FE0-0D51-0E73-6920-82C4538A1A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4" name="Text Box 200">
          <a:extLst>
            <a:ext uri="{FF2B5EF4-FFF2-40B4-BE49-F238E27FC236}">
              <a16:creationId xmlns:a16="http://schemas.microsoft.com/office/drawing/2014/main" id="{1CFB37FF-17AE-086E-D975-95EC8BCA97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5" name="Text Box 201">
          <a:extLst>
            <a:ext uri="{FF2B5EF4-FFF2-40B4-BE49-F238E27FC236}">
              <a16:creationId xmlns:a16="http://schemas.microsoft.com/office/drawing/2014/main" id="{0A605391-0F55-09FC-8DAE-280B0A5CE9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6" name="Text Box 202">
          <a:extLst>
            <a:ext uri="{FF2B5EF4-FFF2-40B4-BE49-F238E27FC236}">
              <a16:creationId xmlns:a16="http://schemas.microsoft.com/office/drawing/2014/main" id="{328EC845-4C14-BAB2-8BF6-DC0DB24FA1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7" name="Text Box 203">
          <a:extLst>
            <a:ext uri="{FF2B5EF4-FFF2-40B4-BE49-F238E27FC236}">
              <a16:creationId xmlns:a16="http://schemas.microsoft.com/office/drawing/2014/main" id="{23A2352C-7A3E-6621-BBBB-5CFFE088E4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8" name="Text Box 204">
          <a:extLst>
            <a:ext uri="{FF2B5EF4-FFF2-40B4-BE49-F238E27FC236}">
              <a16:creationId xmlns:a16="http://schemas.microsoft.com/office/drawing/2014/main" id="{759E4C33-140B-D552-3EEE-9F8CBAAE29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399" name="Text Box 205">
          <a:extLst>
            <a:ext uri="{FF2B5EF4-FFF2-40B4-BE49-F238E27FC236}">
              <a16:creationId xmlns:a16="http://schemas.microsoft.com/office/drawing/2014/main" id="{586C1802-467B-03F8-88C4-A7487BC899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0" name="Text Box 206">
          <a:extLst>
            <a:ext uri="{FF2B5EF4-FFF2-40B4-BE49-F238E27FC236}">
              <a16:creationId xmlns:a16="http://schemas.microsoft.com/office/drawing/2014/main" id="{75202BB8-76B4-F491-124A-BD61DBA897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1" name="Text Box 207">
          <a:extLst>
            <a:ext uri="{FF2B5EF4-FFF2-40B4-BE49-F238E27FC236}">
              <a16:creationId xmlns:a16="http://schemas.microsoft.com/office/drawing/2014/main" id="{0FA2573A-897A-567E-6221-5B7F5BB227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2" name="Text Box 208">
          <a:extLst>
            <a:ext uri="{FF2B5EF4-FFF2-40B4-BE49-F238E27FC236}">
              <a16:creationId xmlns:a16="http://schemas.microsoft.com/office/drawing/2014/main" id="{4C9CA693-DABB-F14A-86FA-192EB81BDB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3" name="Text Box 209">
          <a:extLst>
            <a:ext uri="{FF2B5EF4-FFF2-40B4-BE49-F238E27FC236}">
              <a16:creationId xmlns:a16="http://schemas.microsoft.com/office/drawing/2014/main" id="{E98E42B0-88D0-FF96-C8E7-E9365850A7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4" name="Text Box 210">
          <a:extLst>
            <a:ext uri="{FF2B5EF4-FFF2-40B4-BE49-F238E27FC236}">
              <a16:creationId xmlns:a16="http://schemas.microsoft.com/office/drawing/2014/main" id="{8D4A4093-873A-0ED6-E893-A980CD9FF7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5" name="Text Box 211">
          <a:extLst>
            <a:ext uri="{FF2B5EF4-FFF2-40B4-BE49-F238E27FC236}">
              <a16:creationId xmlns:a16="http://schemas.microsoft.com/office/drawing/2014/main" id="{22D3C4AF-D01E-CAFC-B645-90F40450B5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6" name="Text Box 212">
          <a:extLst>
            <a:ext uri="{FF2B5EF4-FFF2-40B4-BE49-F238E27FC236}">
              <a16:creationId xmlns:a16="http://schemas.microsoft.com/office/drawing/2014/main" id="{2E9E0030-D903-A217-347B-DA8C5237F8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7" name="Text Box 213">
          <a:extLst>
            <a:ext uri="{FF2B5EF4-FFF2-40B4-BE49-F238E27FC236}">
              <a16:creationId xmlns:a16="http://schemas.microsoft.com/office/drawing/2014/main" id="{71CF87FB-2C65-D33D-A441-7CDEFF4AD3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8" name="Text Box 214">
          <a:extLst>
            <a:ext uri="{FF2B5EF4-FFF2-40B4-BE49-F238E27FC236}">
              <a16:creationId xmlns:a16="http://schemas.microsoft.com/office/drawing/2014/main" id="{40A06223-27BA-32CD-3D67-7D3D906EF2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09" name="Text Box 215">
          <a:extLst>
            <a:ext uri="{FF2B5EF4-FFF2-40B4-BE49-F238E27FC236}">
              <a16:creationId xmlns:a16="http://schemas.microsoft.com/office/drawing/2014/main" id="{9CFC0871-5428-604E-2B9E-257CE6EAC2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0" name="Text Box 216">
          <a:extLst>
            <a:ext uri="{FF2B5EF4-FFF2-40B4-BE49-F238E27FC236}">
              <a16:creationId xmlns:a16="http://schemas.microsoft.com/office/drawing/2014/main" id="{8A71FC17-3382-857D-8B6A-9A54A0ABBA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1" name="Text Box 217">
          <a:extLst>
            <a:ext uri="{FF2B5EF4-FFF2-40B4-BE49-F238E27FC236}">
              <a16:creationId xmlns:a16="http://schemas.microsoft.com/office/drawing/2014/main" id="{0136E220-A8CC-8397-05BA-402A914E5C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2" name="Text Box 218">
          <a:extLst>
            <a:ext uri="{FF2B5EF4-FFF2-40B4-BE49-F238E27FC236}">
              <a16:creationId xmlns:a16="http://schemas.microsoft.com/office/drawing/2014/main" id="{BD948703-13AE-1E5E-19ED-B9EB2FF2ED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3" name="Text Box 219">
          <a:extLst>
            <a:ext uri="{FF2B5EF4-FFF2-40B4-BE49-F238E27FC236}">
              <a16:creationId xmlns:a16="http://schemas.microsoft.com/office/drawing/2014/main" id="{B56C412B-B0A7-886F-81D3-1ECE1D485E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4" name="Text Box 220">
          <a:extLst>
            <a:ext uri="{FF2B5EF4-FFF2-40B4-BE49-F238E27FC236}">
              <a16:creationId xmlns:a16="http://schemas.microsoft.com/office/drawing/2014/main" id="{A3F14E1E-2DA4-AACD-7D45-CFDD3E9646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5" name="Text Box 221">
          <a:extLst>
            <a:ext uri="{FF2B5EF4-FFF2-40B4-BE49-F238E27FC236}">
              <a16:creationId xmlns:a16="http://schemas.microsoft.com/office/drawing/2014/main" id="{B0B6A231-583B-FE3F-8E0B-FA890D15C3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6" name="Text Box 222">
          <a:extLst>
            <a:ext uri="{FF2B5EF4-FFF2-40B4-BE49-F238E27FC236}">
              <a16:creationId xmlns:a16="http://schemas.microsoft.com/office/drawing/2014/main" id="{17F22ACD-6C98-A602-21F9-F9018C42F0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7" name="Text Box 223">
          <a:extLst>
            <a:ext uri="{FF2B5EF4-FFF2-40B4-BE49-F238E27FC236}">
              <a16:creationId xmlns:a16="http://schemas.microsoft.com/office/drawing/2014/main" id="{43F80994-4BCD-B736-C8FF-1EA7B5C71F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8" name="Text Box 224">
          <a:extLst>
            <a:ext uri="{FF2B5EF4-FFF2-40B4-BE49-F238E27FC236}">
              <a16:creationId xmlns:a16="http://schemas.microsoft.com/office/drawing/2014/main" id="{B81A9A3C-98BC-7C1E-2966-554D4E834D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19" name="Text Box 225">
          <a:extLst>
            <a:ext uri="{FF2B5EF4-FFF2-40B4-BE49-F238E27FC236}">
              <a16:creationId xmlns:a16="http://schemas.microsoft.com/office/drawing/2014/main" id="{73A67C4F-1066-DE15-2C58-8B7E7370FF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0" name="Text Box 226">
          <a:extLst>
            <a:ext uri="{FF2B5EF4-FFF2-40B4-BE49-F238E27FC236}">
              <a16:creationId xmlns:a16="http://schemas.microsoft.com/office/drawing/2014/main" id="{2D448CEE-6454-81AE-069F-B39AE44E72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1" name="Text Box 227">
          <a:extLst>
            <a:ext uri="{FF2B5EF4-FFF2-40B4-BE49-F238E27FC236}">
              <a16:creationId xmlns:a16="http://schemas.microsoft.com/office/drawing/2014/main" id="{2D2C89E5-3F54-4644-5AFB-BADB325B65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2" name="Text Box 228">
          <a:extLst>
            <a:ext uri="{FF2B5EF4-FFF2-40B4-BE49-F238E27FC236}">
              <a16:creationId xmlns:a16="http://schemas.microsoft.com/office/drawing/2014/main" id="{F91BACEB-D4CF-07FA-C3DD-9B1F2A0608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3" name="Text Box 229">
          <a:extLst>
            <a:ext uri="{FF2B5EF4-FFF2-40B4-BE49-F238E27FC236}">
              <a16:creationId xmlns:a16="http://schemas.microsoft.com/office/drawing/2014/main" id="{1BA90C18-8E04-D215-25FF-FBC525BEE0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4" name="Text Box 230">
          <a:extLst>
            <a:ext uri="{FF2B5EF4-FFF2-40B4-BE49-F238E27FC236}">
              <a16:creationId xmlns:a16="http://schemas.microsoft.com/office/drawing/2014/main" id="{7A1E5F32-9F5A-EE69-5ED6-DC90BA68B7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5" name="Text Box 231">
          <a:extLst>
            <a:ext uri="{FF2B5EF4-FFF2-40B4-BE49-F238E27FC236}">
              <a16:creationId xmlns:a16="http://schemas.microsoft.com/office/drawing/2014/main" id="{242805D9-8AE7-7B18-0E10-DA00D4222D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6" name="Text Box 232">
          <a:extLst>
            <a:ext uri="{FF2B5EF4-FFF2-40B4-BE49-F238E27FC236}">
              <a16:creationId xmlns:a16="http://schemas.microsoft.com/office/drawing/2014/main" id="{812613FB-4C5E-ABDE-9CB4-76CFF78347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7" name="Text Box 233">
          <a:extLst>
            <a:ext uri="{FF2B5EF4-FFF2-40B4-BE49-F238E27FC236}">
              <a16:creationId xmlns:a16="http://schemas.microsoft.com/office/drawing/2014/main" id="{C993A5A7-4799-19C6-9369-E0CDEFA0DB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8" name="Text Box 234">
          <a:extLst>
            <a:ext uri="{FF2B5EF4-FFF2-40B4-BE49-F238E27FC236}">
              <a16:creationId xmlns:a16="http://schemas.microsoft.com/office/drawing/2014/main" id="{9C2082BC-D82B-A2F4-A9A4-30BDCB1C7B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29" name="Text Box 235">
          <a:extLst>
            <a:ext uri="{FF2B5EF4-FFF2-40B4-BE49-F238E27FC236}">
              <a16:creationId xmlns:a16="http://schemas.microsoft.com/office/drawing/2014/main" id="{E035857E-0070-5117-0ADE-63BCECAFCD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0" name="Text Box 236">
          <a:extLst>
            <a:ext uri="{FF2B5EF4-FFF2-40B4-BE49-F238E27FC236}">
              <a16:creationId xmlns:a16="http://schemas.microsoft.com/office/drawing/2014/main" id="{C5C69894-AF94-BCAC-793C-24471B49C8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1" name="Text Box 237">
          <a:extLst>
            <a:ext uri="{FF2B5EF4-FFF2-40B4-BE49-F238E27FC236}">
              <a16:creationId xmlns:a16="http://schemas.microsoft.com/office/drawing/2014/main" id="{3BBED865-6DB7-26C9-797D-C32602735A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2" name="Text Box 238">
          <a:extLst>
            <a:ext uri="{FF2B5EF4-FFF2-40B4-BE49-F238E27FC236}">
              <a16:creationId xmlns:a16="http://schemas.microsoft.com/office/drawing/2014/main" id="{279E8D93-08F4-53C6-A5EF-07B56154DE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3" name="Text Box 239">
          <a:extLst>
            <a:ext uri="{FF2B5EF4-FFF2-40B4-BE49-F238E27FC236}">
              <a16:creationId xmlns:a16="http://schemas.microsoft.com/office/drawing/2014/main" id="{D2B54E69-E7AD-7BED-37DA-ED3CB758A7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4" name="Text Box 240">
          <a:extLst>
            <a:ext uri="{FF2B5EF4-FFF2-40B4-BE49-F238E27FC236}">
              <a16:creationId xmlns:a16="http://schemas.microsoft.com/office/drawing/2014/main" id="{6599A4CF-6F30-6642-6EA9-5467D1BE9C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5" name="Text Box 241">
          <a:extLst>
            <a:ext uri="{FF2B5EF4-FFF2-40B4-BE49-F238E27FC236}">
              <a16:creationId xmlns:a16="http://schemas.microsoft.com/office/drawing/2014/main" id="{D7FB7E8E-8845-BB49-67DF-D0B1F70045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6" name="Text Box 242">
          <a:extLst>
            <a:ext uri="{FF2B5EF4-FFF2-40B4-BE49-F238E27FC236}">
              <a16:creationId xmlns:a16="http://schemas.microsoft.com/office/drawing/2014/main" id="{5A2F90C6-26B2-8399-7763-03439A2F63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7" name="Text Box 243">
          <a:extLst>
            <a:ext uri="{FF2B5EF4-FFF2-40B4-BE49-F238E27FC236}">
              <a16:creationId xmlns:a16="http://schemas.microsoft.com/office/drawing/2014/main" id="{E636A3DC-295E-94CC-0D8F-BA1AA5F50A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8" name="Text Box 244">
          <a:extLst>
            <a:ext uri="{FF2B5EF4-FFF2-40B4-BE49-F238E27FC236}">
              <a16:creationId xmlns:a16="http://schemas.microsoft.com/office/drawing/2014/main" id="{C7F9490A-2F33-4D3E-74B2-F1296ADB81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39" name="Text Box 245">
          <a:extLst>
            <a:ext uri="{FF2B5EF4-FFF2-40B4-BE49-F238E27FC236}">
              <a16:creationId xmlns:a16="http://schemas.microsoft.com/office/drawing/2014/main" id="{F8DFFC08-8A90-EE12-543E-B90303DF79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0" name="Text Box 246">
          <a:extLst>
            <a:ext uri="{FF2B5EF4-FFF2-40B4-BE49-F238E27FC236}">
              <a16:creationId xmlns:a16="http://schemas.microsoft.com/office/drawing/2014/main" id="{0CF51EB7-4821-25FB-2F57-05994ACB0A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1" name="Text Box 247">
          <a:extLst>
            <a:ext uri="{FF2B5EF4-FFF2-40B4-BE49-F238E27FC236}">
              <a16:creationId xmlns:a16="http://schemas.microsoft.com/office/drawing/2014/main" id="{4665BB56-4DDC-91E7-BC1B-0B72CACD0A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2" name="Text Box 248">
          <a:extLst>
            <a:ext uri="{FF2B5EF4-FFF2-40B4-BE49-F238E27FC236}">
              <a16:creationId xmlns:a16="http://schemas.microsoft.com/office/drawing/2014/main" id="{E8C795BC-86E5-2449-025D-4B337862E6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3" name="Text Box 249">
          <a:extLst>
            <a:ext uri="{FF2B5EF4-FFF2-40B4-BE49-F238E27FC236}">
              <a16:creationId xmlns:a16="http://schemas.microsoft.com/office/drawing/2014/main" id="{F2BCEC38-970A-355D-9574-4BD9D36CB2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4" name="Text Box 250">
          <a:extLst>
            <a:ext uri="{FF2B5EF4-FFF2-40B4-BE49-F238E27FC236}">
              <a16:creationId xmlns:a16="http://schemas.microsoft.com/office/drawing/2014/main" id="{88D5AAA0-6768-641A-AA97-DD49C8342E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5" name="Text Box 251">
          <a:extLst>
            <a:ext uri="{FF2B5EF4-FFF2-40B4-BE49-F238E27FC236}">
              <a16:creationId xmlns:a16="http://schemas.microsoft.com/office/drawing/2014/main" id="{0E94FF80-5D11-50F5-57EF-037545EECA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6" name="Text Box 252">
          <a:extLst>
            <a:ext uri="{FF2B5EF4-FFF2-40B4-BE49-F238E27FC236}">
              <a16:creationId xmlns:a16="http://schemas.microsoft.com/office/drawing/2014/main" id="{B113C3BB-DFD0-5E50-591F-BD4929CB3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7" name="Text Box 253">
          <a:extLst>
            <a:ext uri="{FF2B5EF4-FFF2-40B4-BE49-F238E27FC236}">
              <a16:creationId xmlns:a16="http://schemas.microsoft.com/office/drawing/2014/main" id="{57F9DA7A-86AA-F767-5D3D-4C0EDE0EC7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8" name="Text Box 254">
          <a:extLst>
            <a:ext uri="{FF2B5EF4-FFF2-40B4-BE49-F238E27FC236}">
              <a16:creationId xmlns:a16="http://schemas.microsoft.com/office/drawing/2014/main" id="{0175322D-BB70-DEF1-B0B1-0312A5A135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49" name="Text Box 255">
          <a:extLst>
            <a:ext uri="{FF2B5EF4-FFF2-40B4-BE49-F238E27FC236}">
              <a16:creationId xmlns:a16="http://schemas.microsoft.com/office/drawing/2014/main" id="{C6E72185-7BE3-BD31-93D8-1C88E3083D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0" name="Text Box 256">
          <a:extLst>
            <a:ext uri="{FF2B5EF4-FFF2-40B4-BE49-F238E27FC236}">
              <a16:creationId xmlns:a16="http://schemas.microsoft.com/office/drawing/2014/main" id="{730955AA-F36D-4F62-3F53-F9A5431DF5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1" name="Text Box 257">
          <a:extLst>
            <a:ext uri="{FF2B5EF4-FFF2-40B4-BE49-F238E27FC236}">
              <a16:creationId xmlns:a16="http://schemas.microsoft.com/office/drawing/2014/main" id="{1D12FBD4-EAA4-AA5F-97AD-ED2B8C313C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2" name="Text Box 258">
          <a:extLst>
            <a:ext uri="{FF2B5EF4-FFF2-40B4-BE49-F238E27FC236}">
              <a16:creationId xmlns:a16="http://schemas.microsoft.com/office/drawing/2014/main" id="{41B436D7-C5DA-D6F0-CB48-105DE862F6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3" name="Text Box 259">
          <a:extLst>
            <a:ext uri="{FF2B5EF4-FFF2-40B4-BE49-F238E27FC236}">
              <a16:creationId xmlns:a16="http://schemas.microsoft.com/office/drawing/2014/main" id="{81C085FA-785E-FB8F-2FAC-A25BC2781E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4" name="Text Box 260">
          <a:extLst>
            <a:ext uri="{FF2B5EF4-FFF2-40B4-BE49-F238E27FC236}">
              <a16:creationId xmlns:a16="http://schemas.microsoft.com/office/drawing/2014/main" id="{87A09C17-DFC7-59EF-31F7-F8A7B6633D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5" name="Text Box 261">
          <a:extLst>
            <a:ext uri="{FF2B5EF4-FFF2-40B4-BE49-F238E27FC236}">
              <a16:creationId xmlns:a16="http://schemas.microsoft.com/office/drawing/2014/main" id="{44B98121-E20D-7140-7011-DFDE57F1F1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6" name="Text Box 262">
          <a:extLst>
            <a:ext uri="{FF2B5EF4-FFF2-40B4-BE49-F238E27FC236}">
              <a16:creationId xmlns:a16="http://schemas.microsoft.com/office/drawing/2014/main" id="{F5C3F8D6-1E21-8079-56B7-D936400781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7" name="Text Box 263">
          <a:extLst>
            <a:ext uri="{FF2B5EF4-FFF2-40B4-BE49-F238E27FC236}">
              <a16:creationId xmlns:a16="http://schemas.microsoft.com/office/drawing/2014/main" id="{090E978C-365F-37EE-858D-035AF2DA9F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8" name="Text Box 264">
          <a:extLst>
            <a:ext uri="{FF2B5EF4-FFF2-40B4-BE49-F238E27FC236}">
              <a16:creationId xmlns:a16="http://schemas.microsoft.com/office/drawing/2014/main" id="{E1C20EAC-03EB-16FF-751C-C3FEE1190C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59" name="Text Box 265">
          <a:extLst>
            <a:ext uri="{FF2B5EF4-FFF2-40B4-BE49-F238E27FC236}">
              <a16:creationId xmlns:a16="http://schemas.microsoft.com/office/drawing/2014/main" id="{C6C35C57-0E20-BBDC-B06D-E6A0621233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0" name="Text Box 266">
          <a:extLst>
            <a:ext uri="{FF2B5EF4-FFF2-40B4-BE49-F238E27FC236}">
              <a16:creationId xmlns:a16="http://schemas.microsoft.com/office/drawing/2014/main" id="{C5CFB5DE-58C5-D043-666D-701A47452F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1" name="Text Box 267">
          <a:extLst>
            <a:ext uri="{FF2B5EF4-FFF2-40B4-BE49-F238E27FC236}">
              <a16:creationId xmlns:a16="http://schemas.microsoft.com/office/drawing/2014/main" id="{836E3F89-1D1A-52E0-8CEA-AD1F02D64D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2" name="Text Box 268">
          <a:extLst>
            <a:ext uri="{FF2B5EF4-FFF2-40B4-BE49-F238E27FC236}">
              <a16:creationId xmlns:a16="http://schemas.microsoft.com/office/drawing/2014/main" id="{E4A4FFE6-D1D4-2F16-184F-A41281E841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3" name="Text Box 269">
          <a:extLst>
            <a:ext uri="{FF2B5EF4-FFF2-40B4-BE49-F238E27FC236}">
              <a16:creationId xmlns:a16="http://schemas.microsoft.com/office/drawing/2014/main" id="{0E09A6AD-AE9A-67C7-CC74-B3D39F1815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4" name="Text Box 270">
          <a:extLst>
            <a:ext uri="{FF2B5EF4-FFF2-40B4-BE49-F238E27FC236}">
              <a16:creationId xmlns:a16="http://schemas.microsoft.com/office/drawing/2014/main" id="{4F0AF0A7-17BF-7A8D-A606-DE1315E85C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5" name="Text Box 271">
          <a:extLst>
            <a:ext uri="{FF2B5EF4-FFF2-40B4-BE49-F238E27FC236}">
              <a16:creationId xmlns:a16="http://schemas.microsoft.com/office/drawing/2014/main" id="{69EEB4A0-7D93-66E6-AA64-50DA20483A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6" name="Text Box 272">
          <a:extLst>
            <a:ext uri="{FF2B5EF4-FFF2-40B4-BE49-F238E27FC236}">
              <a16:creationId xmlns:a16="http://schemas.microsoft.com/office/drawing/2014/main" id="{9BBCF383-4FB7-8CE8-E34D-56DEF115C3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7" name="Text Box 273">
          <a:extLst>
            <a:ext uri="{FF2B5EF4-FFF2-40B4-BE49-F238E27FC236}">
              <a16:creationId xmlns:a16="http://schemas.microsoft.com/office/drawing/2014/main" id="{73C7D891-1DA6-5FBE-897A-E0F3475749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8" name="Text Box 274">
          <a:extLst>
            <a:ext uri="{FF2B5EF4-FFF2-40B4-BE49-F238E27FC236}">
              <a16:creationId xmlns:a16="http://schemas.microsoft.com/office/drawing/2014/main" id="{AC6B11A8-1A8A-0C05-952C-BCC0806032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69" name="Text Box 275">
          <a:extLst>
            <a:ext uri="{FF2B5EF4-FFF2-40B4-BE49-F238E27FC236}">
              <a16:creationId xmlns:a16="http://schemas.microsoft.com/office/drawing/2014/main" id="{84407621-A4A8-7155-5584-E28FE6D9C6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0" name="Text Box 276">
          <a:extLst>
            <a:ext uri="{FF2B5EF4-FFF2-40B4-BE49-F238E27FC236}">
              <a16:creationId xmlns:a16="http://schemas.microsoft.com/office/drawing/2014/main" id="{FB7352F6-359B-7C99-B3CD-116BD14D41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1" name="Text Box 277">
          <a:extLst>
            <a:ext uri="{FF2B5EF4-FFF2-40B4-BE49-F238E27FC236}">
              <a16:creationId xmlns:a16="http://schemas.microsoft.com/office/drawing/2014/main" id="{6B6240B6-D596-9F5D-3D2A-19F5266717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2" name="Text Box 278">
          <a:extLst>
            <a:ext uri="{FF2B5EF4-FFF2-40B4-BE49-F238E27FC236}">
              <a16:creationId xmlns:a16="http://schemas.microsoft.com/office/drawing/2014/main" id="{4519D02E-8C82-FF26-B18C-72CB39FEB0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3" name="Text Box 279">
          <a:extLst>
            <a:ext uri="{FF2B5EF4-FFF2-40B4-BE49-F238E27FC236}">
              <a16:creationId xmlns:a16="http://schemas.microsoft.com/office/drawing/2014/main" id="{B58B01C7-E8C5-8A6E-9C2D-CF1F6C1828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4" name="Text Box 280">
          <a:extLst>
            <a:ext uri="{FF2B5EF4-FFF2-40B4-BE49-F238E27FC236}">
              <a16:creationId xmlns:a16="http://schemas.microsoft.com/office/drawing/2014/main" id="{FF4BBA8C-27A7-3589-1C43-5214368D00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5" name="Text Box 281">
          <a:extLst>
            <a:ext uri="{FF2B5EF4-FFF2-40B4-BE49-F238E27FC236}">
              <a16:creationId xmlns:a16="http://schemas.microsoft.com/office/drawing/2014/main" id="{4330E423-7D85-5F10-2B47-3893A25115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6" name="Text Box 282">
          <a:extLst>
            <a:ext uri="{FF2B5EF4-FFF2-40B4-BE49-F238E27FC236}">
              <a16:creationId xmlns:a16="http://schemas.microsoft.com/office/drawing/2014/main" id="{4F701C18-CE27-9D17-F366-CCA14C099A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7" name="Text Box 283">
          <a:extLst>
            <a:ext uri="{FF2B5EF4-FFF2-40B4-BE49-F238E27FC236}">
              <a16:creationId xmlns:a16="http://schemas.microsoft.com/office/drawing/2014/main" id="{7DAB604B-F0DF-B799-57A3-9D47F68921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8" name="Text Box 284">
          <a:extLst>
            <a:ext uri="{FF2B5EF4-FFF2-40B4-BE49-F238E27FC236}">
              <a16:creationId xmlns:a16="http://schemas.microsoft.com/office/drawing/2014/main" id="{2B0C5ED0-B290-8FCC-34A0-D92345E601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79" name="Text Box 285">
          <a:extLst>
            <a:ext uri="{FF2B5EF4-FFF2-40B4-BE49-F238E27FC236}">
              <a16:creationId xmlns:a16="http://schemas.microsoft.com/office/drawing/2014/main" id="{CFA5108E-7168-CD58-6A02-A98D65C35C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0" name="Text Box 286">
          <a:extLst>
            <a:ext uri="{FF2B5EF4-FFF2-40B4-BE49-F238E27FC236}">
              <a16:creationId xmlns:a16="http://schemas.microsoft.com/office/drawing/2014/main" id="{63A1D428-F75F-ABC8-80B3-61D65862A8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1" name="Text Box 287">
          <a:extLst>
            <a:ext uri="{FF2B5EF4-FFF2-40B4-BE49-F238E27FC236}">
              <a16:creationId xmlns:a16="http://schemas.microsoft.com/office/drawing/2014/main" id="{FF715806-78B6-D7FA-07F2-78AB715307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2" name="Text Box 288">
          <a:extLst>
            <a:ext uri="{FF2B5EF4-FFF2-40B4-BE49-F238E27FC236}">
              <a16:creationId xmlns:a16="http://schemas.microsoft.com/office/drawing/2014/main" id="{1E698266-7F13-D44F-632C-2E4D24A32F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3" name="Text Box 289">
          <a:extLst>
            <a:ext uri="{FF2B5EF4-FFF2-40B4-BE49-F238E27FC236}">
              <a16:creationId xmlns:a16="http://schemas.microsoft.com/office/drawing/2014/main" id="{833BF32B-B559-AF44-2940-A1C2A9DFF6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4" name="Text Box 290">
          <a:extLst>
            <a:ext uri="{FF2B5EF4-FFF2-40B4-BE49-F238E27FC236}">
              <a16:creationId xmlns:a16="http://schemas.microsoft.com/office/drawing/2014/main" id="{C0C19B7E-98B4-6D4C-AE12-2D0E0B28DA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5" name="Text Box 291">
          <a:extLst>
            <a:ext uri="{FF2B5EF4-FFF2-40B4-BE49-F238E27FC236}">
              <a16:creationId xmlns:a16="http://schemas.microsoft.com/office/drawing/2014/main" id="{A78F6E0D-1C80-75FF-D0AE-7B82DC4AB8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6" name="Text Box 292">
          <a:extLst>
            <a:ext uri="{FF2B5EF4-FFF2-40B4-BE49-F238E27FC236}">
              <a16:creationId xmlns:a16="http://schemas.microsoft.com/office/drawing/2014/main" id="{81B54131-0C23-0BAF-CAEC-28D098F088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7" name="Text Box 293">
          <a:extLst>
            <a:ext uri="{FF2B5EF4-FFF2-40B4-BE49-F238E27FC236}">
              <a16:creationId xmlns:a16="http://schemas.microsoft.com/office/drawing/2014/main" id="{CDD339EF-BFC3-7CAB-20CB-514AAA6BFF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8" name="Text Box 294">
          <a:extLst>
            <a:ext uri="{FF2B5EF4-FFF2-40B4-BE49-F238E27FC236}">
              <a16:creationId xmlns:a16="http://schemas.microsoft.com/office/drawing/2014/main" id="{F0724319-EBE6-74C6-0C07-03FEDC7A1A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89" name="Text Box 295">
          <a:extLst>
            <a:ext uri="{FF2B5EF4-FFF2-40B4-BE49-F238E27FC236}">
              <a16:creationId xmlns:a16="http://schemas.microsoft.com/office/drawing/2014/main" id="{5CBA0320-71A6-6506-CCA5-67D5127B22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0" name="Text Box 296">
          <a:extLst>
            <a:ext uri="{FF2B5EF4-FFF2-40B4-BE49-F238E27FC236}">
              <a16:creationId xmlns:a16="http://schemas.microsoft.com/office/drawing/2014/main" id="{E9BB07B6-03E2-DD5A-1D40-25650D4D83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1" name="Text Box 297">
          <a:extLst>
            <a:ext uri="{FF2B5EF4-FFF2-40B4-BE49-F238E27FC236}">
              <a16:creationId xmlns:a16="http://schemas.microsoft.com/office/drawing/2014/main" id="{7B7A5329-8D73-CB74-0073-A2427E89C6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2" name="Text Box 298">
          <a:extLst>
            <a:ext uri="{FF2B5EF4-FFF2-40B4-BE49-F238E27FC236}">
              <a16:creationId xmlns:a16="http://schemas.microsoft.com/office/drawing/2014/main" id="{4652B5B9-E4AF-6809-8A6E-5E497DD3C4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3" name="Text Box 299">
          <a:extLst>
            <a:ext uri="{FF2B5EF4-FFF2-40B4-BE49-F238E27FC236}">
              <a16:creationId xmlns:a16="http://schemas.microsoft.com/office/drawing/2014/main" id="{0AD3A535-BD67-1F80-0441-78CDF1ED59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4" name="Text Box 300">
          <a:extLst>
            <a:ext uri="{FF2B5EF4-FFF2-40B4-BE49-F238E27FC236}">
              <a16:creationId xmlns:a16="http://schemas.microsoft.com/office/drawing/2014/main" id="{96CBB34B-F363-89F2-214F-17227A0C7C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5" name="Text Box 301">
          <a:extLst>
            <a:ext uri="{FF2B5EF4-FFF2-40B4-BE49-F238E27FC236}">
              <a16:creationId xmlns:a16="http://schemas.microsoft.com/office/drawing/2014/main" id="{72A538EE-A7D0-A566-B594-DE3AFD53B7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6" name="Text Box 302">
          <a:extLst>
            <a:ext uri="{FF2B5EF4-FFF2-40B4-BE49-F238E27FC236}">
              <a16:creationId xmlns:a16="http://schemas.microsoft.com/office/drawing/2014/main" id="{FC668462-BB65-8D72-6582-A9E5777BF7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7" name="Text Box 303">
          <a:extLst>
            <a:ext uri="{FF2B5EF4-FFF2-40B4-BE49-F238E27FC236}">
              <a16:creationId xmlns:a16="http://schemas.microsoft.com/office/drawing/2014/main" id="{12B74196-4AE1-D582-9E34-112BF1F18B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8" name="Text Box 304">
          <a:extLst>
            <a:ext uri="{FF2B5EF4-FFF2-40B4-BE49-F238E27FC236}">
              <a16:creationId xmlns:a16="http://schemas.microsoft.com/office/drawing/2014/main" id="{30B992B8-BF28-5886-6468-E4D4E80CB0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499" name="Text Box 305">
          <a:extLst>
            <a:ext uri="{FF2B5EF4-FFF2-40B4-BE49-F238E27FC236}">
              <a16:creationId xmlns:a16="http://schemas.microsoft.com/office/drawing/2014/main" id="{6EEB3E62-89FB-2B07-CB62-892656F3D3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0" name="Text Box 306">
          <a:extLst>
            <a:ext uri="{FF2B5EF4-FFF2-40B4-BE49-F238E27FC236}">
              <a16:creationId xmlns:a16="http://schemas.microsoft.com/office/drawing/2014/main" id="{B0C0FE4F-4FBC-64A4-92D6-AA05E2A7F8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1" name="Text Box 307">
          <a:extLst>
            <a:ext uri="{FF2B5EF4-FFF2-40B4-BE49-F238E27FC236}">
              <a16:creationId xmlns:a16="http://schemas.microsoft.com/office/drawing/2014/main" id="{BB0AF0DE-762C-32ED-FA07-47B64662D6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2" name="Text Box 308">
          <a:extLst>
            <a:ext uri="{FF2B5EF4-FFF2-40B4-BE49-F238E27FC236}">
              <a16:creationId xmlns:a16="http://schemas.microsoft.com/office/drawing/2014/main" id="{ACC7273C-8E51-4C7A-81C5-9482CD763C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3" name="Text Box 309">
          <a:extLst>
            <a:ext uri="{FF2B5EF4-FFF2-40B4-BE49-F238E27FC236}">
              <a16:creationId xmlns:a16="http://schemas.microsoft.com/office/drawing/2014/main" id="{001B4B2C-6DC6-4025-2762-C944489865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4" name="Text Box 310">
          <a:extLst>
            <a:ext uri="{FF2B5EF4-FFF2-40B4-BE49-F238E27FC236}">
              <a16:creationId xmlns:a16="http://schemas.microsoft.com/office/drawing/2014/main" id="{6AD8C5F9-2448-46D8-4E6B-4A48793B50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5" name="Text Box 311">
          <a:extLst>
            <a:ext uri="{FF2B5EF4-FFF2-40B4-BE49-F238E27FC236}">
              <a16:creationId xmlns:a16="http://schemas.microsoft.com/office/drawing/2014/main" id="{BBD5C67B-A2D9-E38C-BDE8-57FC3EA850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6" name="Text Box 312">
          <a:extLst>
            <a:ext uri="{FF2B5EF4-FFF2-40B4-BE49-F238E27FC236}">
              <a16:creationId xmlns:a16="http://schemas.microsoft.com/office/drawing/2014/main" id="{A5495025-A333-EF4D-4CC0-F9D2BE3A8D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7" name="Text Box 313">
          <a:extLst>
            <a:ext uri="{FF2B5EF4-FFF2-40B4-BE49-F238E27FC236}">
              <a16:creationId xmlns:a16="http://schemas.microsoft.com/office/drawing/2014/main" id="{EBCD52E0-D3AE-72BD-10AF-93192A166C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8" name="Text Box 314">
          <a:extLst>
            <a:ext uri="{FF2B5EF4-FFF2-40B4-BE49-F238E27FC236}">
              <a16:creationId xmlns:a16="http://schemas.microsoft.com/office/drawing/2014/main" id="{3334687A-A072-1A92-0EDC-0644A3F28D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09" name="Text Box 315">
          <a:extLst>
            <a:ext uri="{FF2B5EF4-FFF2-40B4-BE49-F238E27FC236}">
              <a16:creationId xmlns:a16="http://schemas.microsoft.com/office/drawing/2014/main" id="{6C958C54-B99B-09A4-90EF-34D05322ED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0" name="Text Box 316">
          <a:extLst>
            <a:ext uri="{FF2B5EF4-FFF2-40B4-BE49-F238E27FC236}">
              <a16:creationId xmlns:a16="http://schemas.microsoft.com/office/drawing/2014/main" id="{D965AEB1-D9D6-52CD-D93B-1CE615B7A2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1" name="Text Box 317">
          <a:extLst>
            <a:ext uri="{FF2B5EF4-FFF2-40B4-BE49-F238E27FC236}">
              <a16:creationId xmlns:a16="http://schemas.microsoft.com/office/drawing/2014/main" id="{A2498973-8F6E-5FEE-4919-A3A695B39D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2" name="Text Box 318">
          <a:extLst>
            <a:ext uri="{FF2B5EF4-FFF2-40B4-BE49-F238E27FC236}">
              <a16:creationId xmlns:a16="http://schemas.microsoft.com/office/drawing/2014/main" id="{BC8ECA3B-6BE6-4640-5EB0-ACE539C4BC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3" name="Text Box 319">
          <a:extLst>
            <a:ext uri="{FF2B5EF4-FFF2-40B4-BE49-F238E27FC236}">
              <a16:creationId xmlns:a16="http://schemas.microsoft.com/office/drawing/2014/main" id="{6B7B7F99-2086-C04A-7404-A04E19F58D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4" name="Text Box 320">
          <a:extLst>
            <a:ext uri="{FF2B5EF4-FFF2-40B4-BE49-F238E27FC236}">
              <a16:creationId xmlns:a16="http://schemas.microsoft.com/office/drawing/2014/main" id="{E16ED0F8-66A3-31FD-E06D-476490AFD3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5" name="Text Box 321">
          <a:extLst>
            <a:ext uri="{FF2B5EF4-FFF2-40B4-BE49-F238E27FC236}">
              <a16:creationId xmlns:a16="http://schemas.microsoft.com/office/drawing/2014/main" id="{13F0A7D0-888C-A6A3-20E9-3AB4A43C56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6" name="Text Box 322">
          <a:extLst>
            <a:ext uri="{FF2B5EF4-FFF2-40B4-BE49-F238E27FC236}">
              <a16:creationId xmlns:a16="http://schemas.microsoft.com/office/drawing/2014/main" id="{5A4D171E-7F01-CA31-903D-19D7D614E1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7" name="Text Box 323">
          <a:extLst>
            <a:ext uri="{FF2B5EF4-FFF2-40B4-BE49-F238E27FC236}">
              <a16:creationId xmlns:a16="http://schemas.microsoft.com/office/drawing/2014/main" id="{254A217C-E7F7-4FF1-37A7-8ECE52CC3C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8" name="Text Box 324">
          <a:extLst>
            <a:ext uri="{FF2B5EF4-FFF2-40B4-BE49-F238E27FC236}">
              <a16:creationId xmlns:a16="http://schemas.microsoft.com/office/drawing/2014/main" id="{EC9E4BFA-D438-D25B-0943-A9B4C33166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19" name="Text Box 325">
          <a:extLst>
            <a:ext uri="{FF2B5EF4-FFF2-40B4-BE49-F238E27FC236}">
              <a16:creationId xmlns:a16="http://schemas.microsoft.com/office/drawing/2014/main" id="{0844AB6B-6D99-90FA-18AB-1F3E7E32BB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0" name="Text Box 326">
          <a:extLst>
            <a:ext uri="{FF2B5EF4-FFF2-40B4-BE49-F238E27FC236}">
              <a16:creationId xmlns:a16="http://schemas.microsoft.com/office/drawing/2014/main" id="{71B0044B-5CE9-C122-1599-72C63D6743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1" name="Text Box 327">
          <a:extLst>
            <a:ext uri="{FF2B5EF4-FFF2-40B4-BE49-F238E27FC236}">
              <a16:creationId xmlns:a16="http://schemas.microsoft.com/office/drawing/2014/main" id="{4A2E42E6-BDBA-8D18-7A4E-374783944E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2" name="Text Box 328">
          <a:extLst>
            <a:ext uri="{FF2B5EF4-FFF2-40B4-BE49-F238E27FC236}">
              <a16:creationId xmlns:a16="http://schemas.microsoft.com/office/drawing/2014/main" id="{EBC6B3A3-C681-C11E-8D73-3C3FD0AF06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3" name="Text Box 329">
          <a:extLst>
            <a:ext uri="{FF2B5EF4-FFF2-40B4-BE49-F238E27FC236}">
              <a16:creationId xmlns:a16="http://schemas.microsoft.com/office/drawing/2014/main" id="{18BC79EA-A134-1A5F-4BBA-E1DB746C23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4" name="Text Box 330">
          <a:extLst>
            <a:ext uri="{FF2B5EF4-FFF2-40B4-BE49-F238E27FC236}">
              <a16:creationId xmlns:a16="http://schemas.microsoft.com/office/drawing/2014/main" id="{29E46BF8-188D-BCB1-443E-AEAB57720B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5" name="Text Box 331">
          <a:extLst>
            <a:ext uri="{FF2B5EF4-FFF2-40B4-BE49-F238E27FC236}">
              <a16:creationId xmlns:a16="http://schemas.microsoft.com/office/drawing/2014/main" id="{AC9D5E24-3F75-6620-7246-3CE58404EB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6" name="Text Box 332">
          <a:extLst>
            <a:ext uri="{FF2B5EF4-FFF2-40B4-BE49-F238E27FC236}">
              <a16:creationId xmlns:a16="http://schemas.microsoft.com/office/drawing/2014/main" id="{7F61D580-C7D8-0666-AFC9-AF12A39BF3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7" name="Text Box 333">
          <a:extLst>
            <a:ext uri="{FF2B5EF4-FFF2-40B4-BE49-F238E27FC236}">
              <a16:creationId xmlns:a16="http://schemas.microsoft.com/office/drawing/2014/main" id="{324CB1D0-8B2D-F002-CC58-F7497927A4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8" name="Text Box 334">
          <a:extLst>
            <a:ext uri="{FF2B5EF4-FFF2-40B4-BE49-F238E27FC236}">
              <a16:creationId xmlns:a16="http://schemas.microsoft.com/office/drawing/2014/main" id="{4522B9EC-522B-D9F0-431A-9E3F9E03DE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29" name="Text Box 335">
          <a:extLst>
            <a:ext uri="{FF2B5EF4-FFF2-40B4-BE49-F238E27FC236}">
              <a16:creationId xmlns:a16="http://schemas.microsoft.com/office/drawing/2014/main" id="{2AF983CD-8A25-4C65-D39E-7FAB696A9D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0" name="Text Box 336">
          <a:extLst>
            <a:ext uri="{FF2B5EF4-FFF2-40B4-BE49-F238E27FC236}">
              <a16:creationId xmlns:a16="http://schemas.microsoft.com/office/drawing/2014/main" id="{C07032C2-1D14-11F6-47C2-A11794817B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1" name="Text Box 337">
          <a:extLst>
            <a:ext uri="{FF2B5EF4-FFF2-40B4-BE49-F238E27FC236}">
              <a16:creationId xmlns:a16="http://schemas.microsoft.com/office/drawing/2014/main" id="{EB9FB2D2-8B4D-C191-126F-380A195764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2" name="Text Box 338">
          <a:extLst>
            <a:ext uri="{FF2B5EF4-FFF2-40B4-BE49-F238E27FC236}">
              <a16:creationId xmlns:a16="http://schemas.microsoft.com/office/drawing/2014/main" id="{D202CF6D-4169-417A-7D71-2E6408F86C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3" name="Text Box 339">
          <a:extLst>
            <a:ext uri="{FF2B5EF4-FFF2-40B4-BE49-F238E27FC236}">
              <a16:creationId xmlns:a16="http://schemas.microsoft.com/office/drawing/2014/main" id="{9CB26C29-6375-8D1C-9BE4-8738687E70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4" name="Text Box 340">
          <a:extLst>
            <a:ext uri="{FF2B5EF4-FFF2-40B4-BE49-F238E27FC236}">
              <a16:creationId xmlns:a16="http://schemas.microsoft.com/office/drawing/2014/main" id="{1CFE730E-B859-3169-ACD2-A01BDB49B3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5" name="Text Box 341">
          <a:extLst>
            <a:ext uri="{FF2B5EF4-FFF2-40B4-BE49-F238E27FC236}">
              <a16:creationId xmlns:a16="http://schemas.microsoft.com/office/drawing/2014/main" id="{41207D24-FDF9-5216-F122-20F88911B7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6" name="Text Box 342">
          <a:extLst>
            <a:ext uri="{FF2B5EF4-FFF2-40B4-BE49-F238E27FC236}">
              <a16:creationId xmlns:a16="http://schemas.microsoft.com/office/drawing/2014/main" id="{478733C6-3F47-6C54-F51E-57A6C25CA2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7" name="Text Box 343">
          <a:extLst>
            <a:ext uri="{FF2B5EF4-FFF2-40B4-BE49-F238E27FC236}">
              <a16:creationId xmlns:a16="http://schemas.microsoft.com/office/drawing/2014/main" id="{455EABF4-D34F-F08C-34A1-17841DF9E9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8" name="Text Box 344">
          <a:extLst>
            <a:ext uri="{FF2B5EF4-FFF2-40B4-BE49-F238E27FC236}">
              <a16:creationId xmlns:a16="http://schemas.microsoft.com/office/drawing/2014/main" id="{B8682300-667B-B8FC-B9D0-593E2058EB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39" name="Text Box 345">
          <a:extLst>
            <a:ext uri="{FF2B5EF4-FFF2-40B4-BE49-F238E27FC236}">
              <a16:creationId xmlns:a16="http://schemas.microsoft.com/office/drawing/2014/main" id="{12A0C767-16C1-D972-E71C-F58D271E20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0" name="Text Box 346">
          <a:extLst>
            <a:ext uri="{FF2B5EF4-FFF2-40B4-BE49-F238E27FC236}">
              <a16:creationId xmlns:a16="http://schemas.microsoft.com/office/drawing/2014/main" id="{2539C8B3-FC9B-E6CB-E7AF-1DEB2D57F8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1" name="Text Box 347">
          <a:extLst>
            <a:ext uri="{FF2B5EF4-FFF2-40B4-BE49-F238E27FC236}">
              <a16:creationId xmlns:a16="http://schemas.microsoft.com/office/drawing/2014/main" id="{470CC1D0-D682-6415-15AD-8B3947AD61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2" name="Text Box 348">
          <a:extLst>
            <a:ext uri="{FF2B5EF4-FFF2-40B4-BE49-F238E27FC236}">
              <a16:creationId xmlns:a16="http://schemas.microsoft.com/office/drawing/2014/main" id="{D447BFE7-887E-73C0-B06F-96D65E6CD2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3" name="Text Box 349">
          <a:extLst>
            <a:ext uri="{FF2B5EF4-FFF2-40B4-BE49-F238E27FC236}">
              <a16:creationId xmlns:a16="http://schemas.microsoft.com/office/drawing/2014/main" id="{4BCC3BEA-A7C8-8D33-7801-23072E17E4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4" name="Text Box 350">
          <a:extLst>
            <a:ext uri="{FF2B5EF4-FFF2-40B4-BE49-F238E27FC236}">
              <a16:creationId xmlns:a16="http://schemas.microsoft.com/office/drawing/2014/main" id="{2F955067-8CBB-8ABF-82E3-87352C855F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5" name="Text Box 351">
          <a:extLst>
            <a:ext uri="{FF2B5EF4-FFF2-40B4-BE49-F238E27FC236}">
              <a16:creationId xmlns:a16="http://schemas.microsoft.com/office/drawing/2014/main" id="{A934BEAE-9216-18E3-C1A4-2E86F3FE37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6" name="Text Box 352">
          <a:extLst>
            <a:ext uri="{FF2B5EF4-FFF2-40B4-BE49-F238E27FC236}">
              <a16:creationId xmlns:a16="http://schemas.microsoft.com/office/drawing/2014/main" id="{16FE4C22-9F97-4257-392B-E6493285C0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7" name="Text Box 353">
          <a:extLst>
            <a:ext uri="{FF2B5EF4-FFF2-40B4-BE49-F238E27FC236}">
              <a16:creationId xmlns:a16="http://schemas.microsoft.com/office/drawing/2014/main" id="{C47226E4-D1AB-E20C-0F31-30CB2C1231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8" name="Text Box 354">
          <a:extLst>
            <a:ext uri="{FF2B5EF4-FFF2-40B4-BE49-F238E27FC236}">
              <a16:creationId xmlns:a16="http://schemas.microsoft.com/office/drawing/2014/main" id="{08C90860-A94B-EA13-2C70-42311E8651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49" name="Text Box 355">
          <a:extLst>
            <a:ext uri="{FF2B5EF4-FFF2-40B4-BE49-F238E27FC236}">
              <a16:creationId xmlns:a16="http://schemas.microsoft.com/office/drawing/2014/main" id="{2DDA09D5-8312-9481-DB7C-0974950086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0" name="Text Box 356">
          <a:extLst>
            <a:ext uri="{FF2B5EF4-FFF2-40B4-BE49-F238E27FC236}">
              <a16:creationId xmlns:a16="http://schemas.microsoft.com/office/drawing/2014/main" id="{9BC4F723-3030-BBEA-F118-D5F67A5179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1" name="Text Box 357">
          <a:extLst>
            <a:ext uri="{FF2B5EF4-FFF2-40B4-BE49-F238E27FC236}">
              <a16:creationId xmlns:a16="http://schemas.microsoft.com/office/drawing/2014/main" id="{76825CB3-6FEF-AD3F-A011-697DE66F0D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2" name="Text Box 358">
          <a:extLst>
            <a:ext uri="{FF2B5EF4-FFF2-40B4-BE49-F238E27FC236}">
              <a16:creationId xmlns:a16="http://schemas.microsoft.com/office/drawing/2014/main" id="{C7B6C398-A6CD-71F5-14EC-F2632338BF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3" name="Text Box 359">
          <a:extLst>
            <a:ext uri="{FF2B5EF4-FFF2-40B4-BE49-F238E27FC236}">
              <a16:creationId xmlns:a16="http://schemas.microsoft.com/office/drawing/2014/main" id="{F6051AEF-5B71-47C9-0499-7378149FDE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4" name="Text Box 360">
          <a:extLst>
            <a:ext uri="{FF2B5EF4-FFF2-40B4-BE49-F238E27FC236}">
              <a16:creationId xmlns:a16="http://schemas.microsoft.com/office/drawing/2014/main" id="{B433E87B-324A-C106-B4C7-B6B81423BA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5" name="Text Box 361">
          <a:extLst>
            <a:ext uri="{FF2B5EF4-FFF2-40B4-BE49-F238E27FC236}">
              <a16:creationId xmlns:a16="http://schemas.microsoft.com/office/drawing/2014/main" id="{BC94C12A-5B9C-8F72-8238-140C9344B6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6" name="Text Box 362">
          <a:extLst>
            <a:ext uri="{FF2B5EF4-FFF2-40B4-BE49-F238E27FC236}">
              <a16:creationId xmlns:a16="http://schemas.microsoft.com/office/drawing/2014/main" id="{53D011A1-88BB-928F-B353-48F7ABAEBA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7" name="Text Box 363">
          <a:extLst>
            <a:ext uri="{FF2B5EF4-FFF2-40B4-BE49-F238E27FC236}">
              <a16:creationId xmlns:a16="http://schemas.microsoft.com/office/drawing/2014/main" id="{329FF215-9A62-200C-3842-389B8759F4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8" name="Text Box 364">
          <a:extLst>
            <a:ext uri="{FF2B5EF4-FFF2-40B4-BE49-F238E27FC236}">
              <a16:creationId xmlns:a16="http://schemas.microsoft.com/office/drawing/2014/main" id="{097CDDAE-EAE1-83DF-C9FC-3AFFB9A61F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59" name="Text Box 365">
          <a:extLst>
            <a:ext uri="{FF2B5EF4-FFF2-40B4-BE49-F238E27FC236}">
              <a16:creationId xmlns:a16="http://schemas.microsoft.com/office/drawing/2014/main" id="{FB1EA637-BC5D-C4DD-E52A-53F0AC13D8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0" name="Text Box 366">
          <a:extLst>
            <a:ext uri="{FF2B5EF4-FFF2-40B4-BE49-F238E27FC236}">
              <a16:creationId xmlns:a16="http://schemas.microsoft.com/office/drawing/2014/main" id="{CCF132DD-A658-FE84-D2A1-228E7775F6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1" name="Text Box 367">
          <a:extLst>
            <a:ext uri="{FF2B5EF4-FFF2-40B4-BE49-F238E27FC236}">
              <a16:creationId xmlns:a16="http://schemas.microsoft.com/office/drawing/2014/main" id="{602ED3D3-8E1D-86E9-E573-C6E60E1762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2" name="Text Box 368">
          <a:extLst>
            <a:ext uri="{FF2B5EF4-FFF2-40B4-BE49-F238E27FC236}">
              <a16:creationId xmlns:a16="http://schemas.microsoft.com/office/drawing/2014/main" id="{E8F6DE13-8F6D-D383-F4A8-74850C42DF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3" name="Text Box 369">
          <a:extLst>
            <a:ext uri="{FF2B5EF4-FFF2-40B4-BE49-F238E27FC236}">
              <a16:creationId xmlns:a16="http://schemas.microsoft.com/office/drawing/2014/main" id="{C51D86C8-E346-6D9F-3245-E517B1D65B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4" name="Text Box 370">
          <a:extLst>
            <a:ext uri="{FF2B5EF4-FFF2-40B4-BE49-F238E27FC236}">
              <a16:creationId xmlns:a16="http://schemas.microsoft.com/office/drawing/2014/main" id="{BB09CFC7-8932-53A2-35DE-E0571DF9FC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5" name="Text Box 371">
          <a:extLst>
            <a:ext uri="{FF2B5EF4-FFF2-40B4-BE49-F238E27FC236}">
              <a16:creationId xmlns:a16="http://schemas.microsoft.com/office/drawing/2014/main" id="{BFE33579-C789-AD82-E87C-AA4972A707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6" name="Text Box 372">
          <a:extLst>
            <a:ext uri="{FF2B5EF4-FFF2-40B4-BE49-F238E27FC236}">
              <a16:creationId xmlns:a16="http://schemas.microsoft.com/office/drawing/2014/main" id="{AC1BE232-7345-28D5-052B-1A1B15AC22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7" name="Text Box 373">
          <a:extLst>
            <a:ext uri="{FF2B5EF4-FFF2-40B4-BE49-F238E27FC236}">
              <a16:creationId xmlns:a16="http://schemas.microsoft.com/office/drawing/2014/main" id="{5380E9A4-F390-5389-4D20-D1C0FC33E9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8" name="Text Box 374">
          <a:extLst>
            <a:ext uri="{FF2B5EF4-FFF2-40B4-BE49-F238E27FC236}">
              <a16:creationId xmlns:a16="http://schemas.microsoft.com/office/drawing/2014/main" id="{4DE9C098-B614-082A-C5E5-D475A37189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69" name="Text Box 375">
          <a:extLst>
            <a:ext uri="{FF2B5EF4-FFF2-40B4-BE49-F238E27FC236}">
              <a16:creationId xmlns:a16="http://schemas.microsoft.com/office/drawing/2014/main" id="{8D1F8BB5-2506-4802-E4D4-8B86DD5D1D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0" name="Text Box 376">
          <a:extLst>
            <a:ext uri="{FF2B5EF4-FFF2-40B4-BE49-F238E27FC236}">
              <a16:creationId xmlns:a16="http://schemas.microsoft.com/office/drawing/2014/main" id="{80BD743F-1440-CCD6-1D47-05F8EA5553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1" name="Text Box 377">
          <a:extLst>
            <a:ext uri="{FF2B5EF4-FFF2-40B4-BE49-F238E27FC236}">
              <a16:creationId xmlns:a16="http://schemas.microsoft.com/office/drawing/2014/main" id="{389C8A7B-B799-6514-22FA-7AC1E508EA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2" name="Text Box 378">
          <a:extLst>
            <a:ext uri="{FF2B5EF4-FFF2-40B4-BE49-F238E27FC236}">
              <a16:creationId xmlns:a16="http://schemas.microsoft.com/office/drawing/2014/main" id="{821E74BE-B0D2-C27A-A163-70F09BD029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3" name="Text Box 379">
          <a:extLst>
            <a:ext uri="{FF2B5EF4-FFF2-40B4-BE49-F238E27FC236}">
              <a16:creationId xmlns:a16="http://schemas.microsoft.com/office/drawing/2014/main" id="{EF3D327A-2C04-AB90-5BCC-C9A6DB466A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4" name="Text Box 380">
          <a:extLst>
            <a:ext uri="{FF2B5EF4-FFF2-40B4-BE49-F238E27FC236}">
              <a16:creationId xmlns:a16="http://schemas.microsoft.com/office/drawing/2014/main" id="{5C17F95A-E44B-3103-B10E-739F49382A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5" name="Text Box 381">
          <a:extLst>
            <a:ext uri="{FF2B5EF4-FFF2-40B4-BE49-F238E27FC236}">
              <a16:creationId xmlns:a16="http://schemas.microsoft.com/office/drawing/2014/main" id="{BEC909ED-438C-8EE9-1C5D-51CF865E08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6" name="Text Box 382">
          <a:extLst>
            <a:ext uri="{FF2B5EF4-FFF2-40B4-BE49-F238E27FC236}">
              <a16:creationId xmlns:a16="http://schemas.microsoft.com/office/drawing/2014/main" id="{E6D86099-C7AC-46B6-C456-5930AC9553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7" name="Text Box 383">
          <a:extLst>
            <a:ext uri="{FF2B5EF4-FFF2-40B4-BE49-F238E27FC236}">
              <a16:creationId xmlns:a16="http://schemas.microsoft.com/office/drawing/2014/main" id="{455F26B8-122B-35A0-5270-877C1740B2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8" name="Text Box 384">
          <a:extLst>
            <a:ext uri="{FF2B5EF4-FFF2-40B4-BE49-F238E27FC236}">
              <a16:creationId xmlns:a16="http://schemas.microsoft.com/office/drawing/2014/main" id="{F0F17D43-E202-5131-D322-56FF4CCF74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79" name="Text Box 385">
          <a:extLst>
            <a:ext uri="{FF2B5EF4-FFF2-40B4-BE49-F238E27FC236}">
              <a16:creationId xmlns:a16="http://schemas.microsoft.com/office/drawing/2014/main" id="{57197B48-D198-3298-0C74-E86DED8B67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0" name="Text Box 386">
          <a:extLst>
            <a:ext uri="{FF2B5EF4-FFF2-40B4-BE49-F238E27FC236}">
              <a16:creationId xmlns:a16="http://schemas.microsoft.com/office/drawing/2014/main" id="{A460910B-E471-0B32-35FC-8FF116862A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1" name="Text Box 387">
          <a:extLst>
            <a:ext uri="{FF2B5EF4-FFF2-40B4-BE49-F238E27FC236}">
              <a16:creationId xmlns:a16="http://schemas.microsoft.com/office/drawing/2014/main" id="{8E484E65-5016-400D-F355-D08EBEFB24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2" name="Text Box 388">
          <a:extLst>
            <a:ext uri="{FF2B5EF4-FFF2-40B4-BE49-F238E27FC236}">
              <a16:creationId xmlns:a16="http://schemas.microsoft.com/office/drawing/2014/main" id="{F607AF99-C949-5DCC-4279-774732F3CA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3" name="Text Box 389">
          <a:extLst>
            <a:ext uri="{FF2B5EF4-FFF2-40B4-BE49-F238E27FC236}">
              <a16:creationId xmlns:a16="http://schemas.microsoft.com/office/drawing/2014/main" id="{641F7C6F-383B-781B-B56B-1251A34994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4" name="Text Box 390">
          <a:extLst>
            <a:ext uri="{FF2B5EF4-FFF2-40B4-BE49-F238E27FC236}">
              <a16:creationId xmlns:a16="http://schemas.microsoft.com/office/drawing/2014/main" id="{31502994-53EC-69A4-BA91-FB7EFA22DF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5" name="Text Box 391">
          <a:extLst>
            <a:ext uri="{FF2B5EF4-FFF2-40B4-BE49-F238E27FC236}">
              <a16:creationId xmlns:a16="http://schemas.microsoft.com/office/drawing/2014/main" id="{CA4492A3-1413-C0E9-5C33-C20CE318FB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6" name="Text Box 392">
          <a:extLst>
            <a:ext uri="{FF2B5EF4-FFF2-40B4-BE49-F238E27FC236}">
              <a16:creationId xmlns:a16="http://schemas.microsoft.com/office/drawing/2014/main" id="{9353CA52-E48B-AD89-66EB-83F113AADF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7" name="Text Box 393">
          <a:extLst>
            <a:ext uri="{FF2B5EF4-FFF2-40B4-BE49-F238E27FC236}">
              <a16:creationId xmlns:a16="http://schemas.microsoft.com/office/drawing/2014/main" id="{1D3FA9D6-17BD-0107-E8A6-70FF668BCE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8" name="Text Box 394">
          <a:extLst>
            <a:ext uri="{FF2B5EF4-FFF2-40B4-BE49-F238E27FC236}">
              <a16:creationId xmlns:a16="http://schemas.microsoft.com/office/drawing/2014/main" id="{C9251D9D-31FD-E5C1-B6DB-1821BD0A6F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89" name="Text Box 395">
          <a:extLst>
            <a:ext uri="{FF2B5EF4-FFF2-40B4-BE49-F238E27FC236}">
              <a16:creationId xmlns:a16="http://schemas.microsoft.com/office/drawing/2014/main" id="{D38E69B5-9E36-E188-8FDE-7F7D6CBEAB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0" name="Text Box 396">
          <a:extLst>
            <a:ext uri="{FF2B5EF4-FFF2-40B4-BE49-F238E27FC236}">
              <a16:creationId xmlns:a16="http://schemas.microsoft.com/office/drawing/2014/main" id="{33BA258B-C95C-466D-5D00-AD38AB9C11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1" name="Text Box 397">
          <a:extLst>
            <a:ext uri="{FF2B5EF4-FFF2-40B4-BE49-F238E27FC236}">
              <a16:creationId xmlns:a16="http://schemas.microsoft.com/office/drawing/2014/main" id="{A99EDE8A-0A95-812D-DAA2-9A2DD26353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2" name="Text Box 398">
          <a:extLst>
            <a:ext uri="{FF2B5EF4-FFF2-40B4-BE49-F238E27FC236}">
              <a16:creationId xmlns:a16="http://schemas.microsoft.com/office/drawing/2014/main" id="{2DD7E5D9-2855-B9AB-B4FB-000BA33680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3" name="Text Box 399">
          <a:extLst>
            <a:ext uri="{FF2B5EF4-FFF2-40B4-BE49-F238E27FC236}">
              <a16:creationId xmlns:a16="http://schemas.microsoft.com/office/drawing/2014/main" id="{F576E03F-33B7-4ABC-7D4D-70549BF0D1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4" name="Text Box 400">
          <a:extLst>
            <a:ext uri="{FF2B5EF4-FFF2-40B4-BE49-F238E27FC236}">
              <a16:creationId xmlns:a16="http://schemas.microsoft.com/office/drawing/2014/main" id="{47BE465F-ED2E-35E0-61D7-2534394F02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5" name="Text Box 401">
          <a:extLst>
            <a:ext uri="{FF2B5EF4-FFF2-40B4-BE49-F238E27FC236}">
              <a16:creationId xmlns:a16="http://schemas.microsoft.com/office/drawing/2014/main" id="{D71B30D5-CA27-C728-B83D-29B8573E79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6" name="Text Box 402">
          <a:extLst>
            <a:ext uri="{FF2B5EF4-FFF2-40B4-BE49-F238E27FC236}">
              <a16:creationId xmlns:a16="http://schemas.microsoft.com/office/drawing/2014/main" id="{27469F02-7AE1-611D-12FD-A55BE4E677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7" name="Text Box 403">
          <a:extLst>
            <a:ext uri="{FF2B5EF4-FFF2-40B4-BE49-F238E27FC236}">
              <a16:creationId xmlns:a16="http://schemas.microsoft.com/office/drawing/2014/main" id="{AF0C6C00-6FCF-BE27-8ABB-B42B68604B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8" name="Text Box 404">
          <a:extLst>
            <a:ext uri="{FF2B5EF4-FFF2-40B4-BE49-F238E27FC236}">
              <a16:creationId xmlns:a16="http://schemas.microsoft.com/office/drawing/2014/main" id="{068C75B2-2E4E-275B-32E0-C195FA10D1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599" name="Text Box 405">
          <a:extLst>
            <a:ext uri="{FF2B5EF4-FFF2-40B4-BE49-F238E27FC236}">
              <a16:creationId xmlns:a16="http://schemas.microsoft.com/office/drawing/2014/main" id="{57D68378-1DDD-C7A6-15DC-A5B85C62ED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0" name="Text Box 406">
          <a:extLst>
            <a:ext uri="{FF2B5EF4-FFF2-40B4-BE49-F238E27FC236}">
              <a16:creationId xmlns:a16="http://schemas.microsoft.com/office/drawing/2014/main" id="{C6A3940C-328E-FE7F-3721-B899AE3858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1" name="Text Box 407">
          <a:extLst>
            <a:ext uri="{FF2B5EF4-FFF2-40B4-BE49-F238E27FC236}">
              <a16:creationId xmlns:a16="http://schemas.microsoft.com/office/drawing/2014/main" id="{17E80A63-7986-9FBE-12AB-CCA78EA2B7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2" name="Text Box 408">
          <a:extLst>
            <a:ext uri="{FF2B5EF4-FFF2-40B4-BE49-F238E27FC236}">
              <a16:creationId xmlns:a16="http://schemas.microsoft.com/office/drawing/2014/main" id="{F31D0195-BA55-478B-E4C2-500B76088D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3" name="Text Box 409">
          <a:extLst>
            <a:ext uri="{FF2B5EF4-FFF2-40B4-BE49-F238E27FC236}">
              <a16:creationId xmlns:a16="http://schemas.microsoft.com/office/drawing/2014/main" id="{058C40A4-B74C-8C20-A5BB-331E32EF4A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4" name="Text Box 410">
          <a:extLst>
            <a:ext uri="{FF2B5EF4-FFF2-40B4-BE49-F238E27FC236}">
              <a16:creationId xmlns:a16="http://schemas.microsoft.com/office/drawing/2014/main" id="{047A063C-5D76-C898-D634-2C1258DAEA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5" name="Text Box 411">
          <a:extLst>
            <a:ext uri="{FF2B5EF4-FFF2-40B4-BE49-F238E27FC236}">
              <a16:creationId xmlns:a16="http://schemas.microsoft.com/office/drawing/2014/main" id="{5E356D3F-210D-BE46-7E4A-7AA77A66F0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6" name="Text Box 412">
          <a:extLst>
            <a:ext uri="{FF2B5EF4-FFF2-40B4-BE49-F238E27FC236}">
              <a16:creationId xmlns:a16="http://schemas.microsoft.com/office/drawing/2014/main" id="{1AA3B88F-8C3B-487A-ACB1-3BD130B3D5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7" name="Text Box 413">
          <a:extLst>
            <a:ext uri="{FF2B5EF4-FFF2-40B4-BE49-F238E27FC236}">
              <a16:creationId xmlns:a16="http://schemas.microsoft.com/office/drawing/2014/main" id="{47283045-EBB3-E16C-3CDF-6E2D1F1E51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8" name="Text Box 414">
          <a:extLst>
            <a:ext uri="{FF2B5EF4-FFF2-40B4-BE49-F238E27FC236}">
              <a16:creationId xmlns:a16="http://schemas.microsoft.com/office/drawing/2014/main" id="{2F98B4E8-2E66-3C4F-635B-C3E7BAC352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09" name="Text Box 415">
          <a:extLst>
            <a:ext uri="{FF2B5EF4-FFF2-40B4-BE49-F238E27FC236}">
              <a16:creationId xmlns:a16="http://schemas.microsoft.com/office/drawing/2014/main" id="{8EFD7439-899D-1F05-D8AC-FE7E1E5C4D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0" name="Text Box 416">
          <a:extLst>
            <a:ext uri="{FF2B5EF4-FFF2-40B4-BE49-F238E27FC236}">
              <a16:creationId xmlns:a16="http://schemas.microsoft.com/office/drawing/2014/main" id="{6337E82C-F78C-612B-BAFE-5F368C3DFF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1" name="Text Box 417">
          <a:extLst>
            <a:ext uri="{FF2B5EF4-FFF2-40B4-BE49-F238E27FC236}">
              <a16:creationId xmlns:a16="http://schemas.microsoft.com/office/drawing/2014/main" id="{FC618754-3E96-08F1-C5C0-5182C7A4C8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2" name="Text Box 418">
          <a:extLst>
            <a:ext uri="{FF2B5EF4-FFF2-40B4-BE49-F238E27FC236}">
              <a16:creationId xmlns:a16="http://schemas.microsoft.com/office/drawing/2014/main" id="{A53A97B6-02F3-C171-BEB5-1638B253B7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3" name="Text Box 419">
          <a:extLst>
            <a:ext uri="{FF2B5EF4-FFF2-40B4-BE49-F238E27FC236}">
              <a16:creationId xmlns:a16="http://schemas.microsoft.com/office/drawing/2014/main" id="{FD34A396-B0A3-C030-378F-D23BC329D1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4" name="Text Box 420">
          <a:extLst>
            <a:ext uri="{FF2B5EF4-FFF2-40B4-BE49-F238E27FC236}">
              <a16:creationId xmlns:a16="http://schemas.microsoft.com/office/drawing/2014/main" id="{24BF4133-7D38-899D-F057-A3E6327330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5" name="Text Box 421">
          <a:extLst>
            <a:ext uri="{FF2B5EF4-FFF2-40B4-BE49-F238E27FC236}">
              <a16:creationId xmlns:a16="http://schemas.microsoft.com/office/drawing/2014/main" id="{69E602ED-6FEB-F907-0177-082C8BDDBB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6" name="Text Box 422">
          <a:extLst>
            <a:ext uri="{FF2B5EF4-FFF2-40B4-BE49-F238E27FC236}">
              <a16:creationId xmlns:a16="http://schemas.microsoft.com/office/drawing/2014/main" id="{D0A3ED06-8E52-111F-03EB-BA44DDFE3F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7" name="Text Box 423">
          <a:extLst>
            <a:ext uri="{FF2B5EF4-FFF2-40B4-BE49-F238E27FC236}">
              <a16:creationId xmlns:a16="http://schemas.microsoft.com/office/drawing/2014/main" id="{78572A35-116B-65F9-71B7-8F5B83E121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8" name="Text Box 424">
          <a:extLst>
            <a:ext uri="{FF2B5EF4-FFF2-40B4-BE49-F238E27FC236}">
              <a16:creationId xmlns:a16="http://schemas.microsoft.com/office/drawing/2014/main" id="{F2ECDEBD-B1EB-B9F7-612D-03773AF40A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19" name="Text Box 425">
          <a:extLst>
            <a:ext uri="{FF2B5EF4-FFF2-40B4-BE49-F238E27FC236}">
              <a16:creationId xmlns:a16="http://schemas.microsoft.com/office/drawing/2014/main" id="{D65D53CD-47FF-4BD3-927C-920CA949FA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0" name="Text Box 426">
          <a:extLst>
            <a:ext uri="{FF2B5EF4-FFF2-40B4-BE49-F238E27FC236}">
              <a16:creationId xmlns:a16="http://schemas.microsoft.com/office/drawing/2014/main" id="{79373CC5-F69D-75E0-7BE2-A9B940DA90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1" name="Text Box 427">
          <a:extLst>
            <a:ext uri="{FF2B5EF4-FFF2-40B4-BE49-F238E27FC236}">
              <a16:creationId xmlns:a16="http://schemas.microsoft.com/office/drawing/2014/main" id="{5D812FD9-C976-E042-24F5-A783B9868D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2" name="Text Box 428">
          <a:extLst>
            <a:ext uri="{FF2B5EF4-FFF2-40B4-BE49-F238E27FC236}">
              <a16:creationId xmlns:a16="http://schemas.microsoft.com/office/drawing/2014/main" id="{34B9AA1E-8061-F40B-C93D-B8DB943CC0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3" name="Text Box 429">
          <a:extLst>
            <a:ext uri="{FF2B5EF4-FFF2-40B4-BE49-F238E27FC236}">
              <a16:creationId xmlns:a16="http://schemas.microsoft.com/office/drawing/2014/main" id="{19B5A08A-DCD3-FEA5-1516-067B92831F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4" name="Text Box 430">
          <a:extLst>
            <a:ext uri="{FF2B5EF4-FFF2-40B4-BE49-F238E27FC236}">
              <a16:creationId xmlns:a16="http://schemas.microsoft.com/office/drawing/2014/main" id="{ECD27840-2C8C-7D67-B934-6A9EB43151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5" name="Text Box 431">
          <a:extLst>
            <a:ext uri="{FF2B5EF4-FFF2-40B4-BE49-F238E27FC236}">
              <a16:creationId xmlns:a16="http://schemas.microsoft.com/office/drawing/2014/main" id="{5D4D08B7-351A-0832-1D06-057BFA7E9C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6" name="Text Box 432">
          <a:extLst>
            <a:ext uri="{FF2B5EF4-FFF2-40B4-BE49-F238E27FC236}">
              <a16:creationId xmlns:a16="http://schemas.microsoft.com/office/drawing/2014/main" id="{F7EE39A7-5D33-3C9E-AA7F-AB9AAFDB86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7" name="Text Box 433">
          <a:extLst>
            <a:ext uri="{FF2B5EF4-FFF2-40B4-BE49-F238E27FC236}">
              <a16:creationId xmlns:a16="http://schemas.microsoft.com/office/drawing/2014/main" id="{3757575A-A9A7-AF54-0528-E6E3820B1C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8" name="Text Box 434">
          <a:extLst>
            <a:ext uri="{FF2B5EF4-FFF2-40B4-BE49-F238E27FC236}">
              <a16:creationId xmlns:a16="http://schemas.microsoft.com/office/drawing/2014/main" id="{ED6C8ED3-A62C-76D2-56A5-3DC078CD71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29" name="Text Box 435">
          <a:extLst>
            <a:ext uri="{FF2B5EF4-FFF2-40B4-BE49-F238E27FC236}">
              <a16:creationId xmlns:a16="http://schemas.microsoft.com/office/drawing/2014/main" id="{11A583FF-904D-0B33-3149-74890A4A59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0" name="Text Box 436">
          <a:extLst>
            <a:ext uri="{FF2B5EF4-FFF2-40B4-BE49-F238E27FC236}">
              <a16:creationId xmlns:a16="http://schemas.microsoft.com/office/drawing/2014/main" id="{D30A6055-4D48-6A87-0CEB-C8EAA8919A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1" name="Text Box 437">
          <a:extLst>
            <a:ext uri="{FF2B5EF4-FFF2-40B4-BE49-F238E27FC236}">
              <a16:creationId xmlns:a16="http://schemas.microsoft.com/office/drawing/2014/main" id="{3236404F-9AAD-5F75-1AAA-C95057B17E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2" name="Text Box 438">
          <a:extLst>
            <a:ext uri="{FF2B5EF4-FFF2-40B4-BE49-F238E27FC236}">
              <a16:creationId xmlns:a16="http://schemas.microsoft.com/office/drawing/2014/main" id="{1FCAF3D0-5661-81C8-8FB0-C2EE4F5F1A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3" name="Text Box 439">
          <a:extLst>
            <a:ext uri="{FF2B5EF4-FFF2-40B4-BE49-F238E27FC236}">
              <a16:creationId xmlns:a16="http://schemas.microsoft.com/office/drawing/2014/main" id="{746B1467-D18E-89F6-7E84-91625221C6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4" name="Text Box 440">
          <a:extLst>
            <a:ext uri="{FF2B5EF4-FFF2-40B4-BE49-F238E27FC236}">
              <a16:creationId xmlns:a16="http://schemas.microsoft.com/office/drawing/2014/main" id="{58E3EB6C-A885-6EDB-412C-50598628D4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5" name="Text Box 441">
          <a:extLst>
            <a:ext uri="{FF2B5EF4-FFF2-40B4-BE49-F238E27FC236}">
              <a16:creationId xmlns:a16="http://schemas.microsoft.com/office/drawing/2014/main" id="{C8B282FB-C139-2BEB-56E5-9C2F0A458B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6" name="Text Box 442">
          <a:extLst>
            <a:ext uri="{FF2B5EF4-FFF2-40B4-BE49-F238E27FC236}">
              <a16:creationId xmlns:a16="http://schemas.microsoft.com/office/drawing/2014/main" id="{85478C2C-F2F0-480E-ECF9-7A864151CF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7" name="Text Box 443">
          <a:extLst>
            <a:ext uri="{FF2B5EF4-FFF2-40B4-BE49-F238E27FC236}">
              <a16:creationId xmlns:a16="http://schemas.microsoft.com/office/drawing/2014/main" id="{9E6C31D0-A0FB-E037-001E-AE26423A74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8" name="Text Box 444">
          <a:extLst>
            <a:ext uri="{FF2B5EF4-FFF2-40B4-BE49-F238E27FC236}">
              <a16:creationId xmlns:a16="http://schemas.microsoft.com/office/drawing/2014/main" id="{78F6C3BF-62A4-381C-416E-D4CF0C0883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39" name="Text Box 445">
          <a:extLst>
            <a:ext uri="{FF2B5EF4-FFF2-40B4-BE49-F238E27FC236}">
              <a16:creationId xmlns:a16="http://schemas.microsoft.com/office/drawing/2014/main" id="{FB097129-D441-FB3A-5973-F3659E13E0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0" name="Text Box 446">
          <a:extLst>
            <a:ext uri="{FF2B5EF4-FFF2-40B4-BE49-F238E27FC236}">
              <a16:creationId xmlns:a16="http://schemas.microsoft.com/office/drawing/2014/main" id="{2F7FA6DC-5B1C-8B19-7E23-74C62982CE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1" name="Text Box 447">
          <a:extLst>
            <a:ext uri="{FF2B5EF4-FFF2-40B4-BE49-F238E27FC236}">
              <a16:creationId xmlns:a16="http://schemas.microsoft.com/office/drawing/2014/main" id="{93FAB1FE-535E-21A9-5ECD-BA592C1F72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2" name="Text Box 448">
          <a:extLst>
            <a:ext uri="{FF2B5EF4-FFF2-40B4-BE49-F238E27FC236}">
              <a16:creationId xmlns:a16="http://schemas.microsoft.com/office/drawing/2014/main" id="{2414312A-93B2-4C5B-2676-C3CD59EDD5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3" name="Text Box 449">
          <a:extLst>
            <a:ext uri="{FF2B5EF4-FFF2-40B4-BE49-F238E27FC236}">
              <a16:creationId xmlns:a16="http://schemas.microsoft.com/office/drawing/2014/main" id="{26C0EBCC-124E-F688-05FC-6E65ADB744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4" name="Text Box 450">
          <a:extLst>
            <a:ext uri="{FF2B5EF4-FFF2-40B4-BE49-F238E27FC236}">
              <a16:creationId xmlns:a16="http://schemas.microsoft.com/office/drawing/2014/main" id="{C2AEEB99-8FB7-00A4-E691-F576571CC8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5" name="Text Box 451">
          <a:extLst>
            <a:ext uri="{FF2B5EF4-FFF2-40B4-BE49-F238E27FC236}">
              <a16:creationId xmlns:a16="http://schemas.microsoft.com/office/drawing/2014/main" id="{E668B0BC-C035-7D13-0DB4-D089FC73BB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6" name="Text Box 452">
          <a:extLst>
            <a:ext uri="{FF2B5EF4-FFF2-40B4-BE49-F238E27FC236}">
              <a16:creationId xmlns:a16="http://schemas.microsoft.com/office/drawing/2014/main" id="{2F6FE958-D38C-3B3F-9CEB-944D2CF4C5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7" name="Text Box 453">
          <a:extLst>
            <a:ext uri="{FF2B5EF4-FFF2-40B4-BE49-F238E27FC236}">
              <a16:creationId xmlns:a16="http://schemas.microsoft.com/office/drawing/2014/main" id="{7C952278-8201-FA56-CB10-A05F7F53C9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8" name="Text Box 454">
          <a:extLst>
            <a:ext uri="{FF2B5EF4-FFF2-40B4-BE49-F238E27FC236}">
              <a16:creationId xmlns:a16="http://schemas.microsoft.com/office/drawing/2014/main" id="{3E8C6E12-ECC3-5650-49D2-643A07BE16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49" name="Text Box 455">
          <a:extLst>
            <a:ext uri="{FF2B5EF4-FFF2-40B4-BE49-F238E27FC236}">
              <a16:creationId xmlns:a16="http://schemas.microsoft.com/office/drawing/2014/main" id="{F439B5D9-2F4A-C979-926B-63421B2AC0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0" name="Text Box 456">
          <a:extLst>
            <a:ext uri="{FF2B5EF4-FFF2-40B4-BE49-F238E27FC236}">
              <a16:creationId xmlns:a16="http://schemas.microsoft.com/office/drawing/2014/main" id="{E0E923E3-FB4E-4555-FCBD-1961025F6C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1" name="Text Box 457">
          <a:extLst>
            <a:ext uri="{FF2B5EF4-FFF2-40B4-BE49-F238E27FC236}">
              <a16:creationId xmlns:a16="http://schemas.microsoft.com/office/drawing/2014/main" id="{92D21534-2BD6-5F19-27DC-E7F4CD6C10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2" name="Text Box 458">
          <a:extLst>
            <a:ext uri="{FF2B5EF4-FFF2-40B4-BE49-F238E27FC236}">
              <a16:creationId xmlns:a16="http://schemas.microsoft.com/office/drawing/2014/main" id="{62DC5EDF-B265-F15C-DB6B-17A5974090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3" name="Text Box 459">
          <a:extLst>
            <a:ext uri="{FF2B5EF4-FFF2-40B4-BE49-F238E27FC236}">
              <a16:creationId xmlns:a16="http://schemas.microsoft.com/office/drawing/2014/main" id="{2CB07677-B49A-4643-45A0-692A1D04C1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4" name="Text Box 460">
          <a:extLst>
            <a:ext uri="{FF2B5EF4-FFF2-40B4-BE49-F238E27FC236}">
              <a16:creationId xmlns:a16="http://schemas.microsoft.com/office/drawing/2014/main" id="{B4016777-2FF2-E781-96CD-26FA2DAB5F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5" name="Text Box 461">
          <a:extLst>
            <a:ext uri="{FF2B5EF4-FFF2-40B4-BE49-F238E27FC236}">
              <a16:creationId xmlns:a16="http://schemas.microsoft.com/office/drawing/2014/main" id="{AF692C9B-37A9-47F8-271A-500C40C217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6" name="Text Box 462">
          <a:extLst>
            <a:ext uri="{FF2B5EF4-FFF2-40B4-BE49-F238E27FC236}">
              <a16:creationId xmlns:a16="http://schemas.microsoft.com/office/drawing/2014/main" id="{EFC4EB25-4149-353F-A036-5429AA4961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7" name="Text Box 463">
          <a:extLst>
            <a:ext uri="{FF2B5EF4-FFF2-40B4-BE49-F238E27FC236}">
              <a16:creationId xmlns:a16="http://schemas.microsoft.com/office/drawing/2014/main" id="{7EA4EFD8-9A89-B045-9E29-20BA5180A5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8" name="Text Box 464">
          <a:extLst>
            <a:ext uri="{FF2B5EF4-FFF2-40B4-BE49-F238E27FC236}">
              <a16:creationId xmlns:a16="http://schemas.microsoft.com/office/drawing/2014/main" id="{13B61E2B-66EC-0E2C-82A6-EDB84A673C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59" name="Text Box 465">
          <a:extLst>
            <a:ext uri="{FF2B5EF4-FFF2-40B4-BE49-F238E27FC236}">
              <a16:creationId xmlns:a16="http://schemas.microsoft.com/office/drawing/2014/main" id="{3DFBD6A7-9D11-D46E-24D7-40E78FDCC2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0" name="Text Box 466">
          <a:extLst>
            <a:ext uri="{FF2B5EF4-FFF2-40B4-BE49-F238E27FC236}">
              <a16:creationId xmlns:a16="http://schemas.microsoft.com/office/drawing/2014/main" id="{CE36D260-4620-8DAA-77BC-0CF193F5F2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1" name="Text Box 467">
          <a:extLst>
            <a:ext uri="{FF2B5EF4-FFF2-40B4-BE49-F238E27FC236}">
              <a16:creationId xmlns:a16="http://schemas.microsoft.com/office/drawing/2014/main" id="{55901208-D7D9-180C-A937-91DE2EEB9D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2" name="Text Box 468">
          <a:extLst>
            <a:ext uri="{FF2B5EF4-FFF2-40B4-BE49-F238E27FC236}">
              <a16:creationId xmlns:a16="http://schemas.microsoft.com/office/drawing/2014/main" id="{9519E6F3-C041-88A3-9B6D-4CCC2FC6A3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3" name="Text Box 469">
          <a:extLst>
            <a:ext uri="{FF2B5EF4-FFF2-40B4-BE49-F238E27FC236}">
              <a16:creationId xmlns:a16="http://schemas.microsoft.com/office/drawing/2014/main" id="{B21BF3DA-6DC1-0DDE-67C1-6BF339A92F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4" name="Text Box 470">
          <a:extLst>
            <a:ext uri="{FF2B5EF4-FFF2-40B4-BE49-F238E27FC236}">
              <a16:creationId xmlns:a16="http://schemas.microsoft.com/office/drawing/2014/main" id="{12C8D3DF-751B-E7E5-BF63-770E8D1D58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5" name="Text Box 471">
          <a:extLst>
            <a:ext uri="{FF2B5EF4-FFF2-40B4-BE49-F238E27FC236}">
              <a16:creationId xmlns:a16="http://schemas.microsoft.com/office/drawing/2014/main" id="{61A6FE03-4428-E3D1-8EDE-CE8DA2621E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6" name="Text Box 472">
          <a:extLst>
            <a:ext uri="{FF2B5EF4-FFF2-40B4-BE49-F238E27FC236}">
              <a16:creationId xmlns:a16="http://schemas.microsoft.com/office/drawing/2014/main" id="{9C6DCF41-6106-6554-A5EC-E28755DE5F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7" name="Text Box 473">
          <a:extLst>
            <a:ext uri="{FF2B5EF4-FFF2-40B4-BE49-F238E27FC236}">
              <a16:creationId xmlns:a16="http://schemas.microsoft.com/office/drawing/2014/main" id="{02DAB01A-9FE0-AB8C-9ADC-95BEC35E8B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8" name="Text Box 474">
          <a:extLst>
            <a:ext uri="{FF2B5EF4-FFF2-40B4-BE49-F238E27FC236}">
              <a16:creationId xmlns:a16="http://schemas.microsoft.com/office/drawing/2014/main" id="{22228A13-7C9B-CA24-EE1E-2695E283FD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69" name="Text Box 475">
          <a:extLst>
            <a:ext uri="{FF2B5EF4-FFF2-40B4-BE49-F238E27FC236}">
              <a16:creationId xmlns:a16="http://schemas.microsoft.com/office/drawing/2014/main" id="{67BEC7A8-A400-E1C7-69FE-6EC21C3A47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0" name="Text Box 476">
          <a:extLst>
            <a:ext uri="{FF2B5EF4-FFF2-40B4-BE49-F238E27FC236}">
              <a16:creationId xmlns:a16="http://schemas.microsoft.com/office/drawing/2014/main" id="{4F73D83F-2E27-6C4F-49D3-5B635FD36F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1" name="Text Box 477">
          <a:extLst>
            <a:ext uri="{FF2B5EF4-FFF2-40B4-BE49-F238E27FC236}">
              <a16:creationId xmlns:a16="http://schemas.microsoft.com/office/drawing/2014/main" id="{97B75419-1F49-595F-0752-EB5D26DA19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2" name="Text Box 478">
          <a:extLst>
            <a:ext uri="{FF2B5EF4-FFF2-40B4-BE49-F238E27FC236}">
              <a16:creationId xmlns:a16="http://schemas.microsoft.com/office/drawing/2014/main" id="{9B9B01AC-724A-15AD-E1E6-FB4F6985D1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3" name="Text Box 479">
          <a:extLst>
            <a:ext uri="{FF2B5EF4-FFF2-40B4-BE49-F238E27FC236}">
              <a16:creationId xmlns:a16="http://schemas.microsoft.com/office/drawing/2014/main" id="{316361C4-A0CB-DDA9-C648-ABB918B786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4" name="Text Box 480">
          <a:extLst>
            <a:ext uri="{FF2B5EF4-FFF2-40B4-BE49-F238E27FC236}">
              <a16:creationId xmlns:a16="http://schemas.microsoft.com/office/drawing/2014/main" id="{66D42C91-489A-740A-B761-844E2F2BC8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5" name="Text Box 481">
          <a:extLst>
            <a:ext uri="{FF2B5EF4-FFF2-40B4-BE49-F238E27FC236}">
              <a16:creationId xmlns:a16="http://schemas.microsoft.com/office/drawing/2014/main" id="{16F194FB-649A-19F5-DC28-BFF309454D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6" name="Text Box 482">
          <a:extLst>
            <a:ext uri="{FF2B5EF4-FFF2-40B4-BE49-F238E27FC236}">
              <a16:creationId xmlns:a16="http://schemas.microsoft.com/office/drawing/2014/main" id="{F11CB7F0-E72F-78EB-0AA4-6D5F145FE2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7" name="Text Box 483">
          <a:extLst>
            <a:ext uri="{FF2B5EF4-FFF2-40B4-BE49-F238E27FC236}">
              <a16:creationId xmlns:a16="http://schemas.microsoft.com/office/drawing/2014/main" id="{8E222C02-67D2-EE79-8EBF-2B0A4858F9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8" name="Text Box 484">
          <a:extLst>
            <a:ext uri="{FF2B5EF4-FFF2-40B4-BE49-F238E27FC236}">
              <a16:creationId xmlns:a16="http://schemas.microsoft.com/office/drawing/2014/main" id="{C9AD41FC-D239-66A4-0632-DEFDF6D692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79" name="Text Box 485">
          <a:extLst>
            <a:ext uri="{FF2B5EF4-FFF2-40B4-BE49-F238E27FC236}">
              <a16:creationId xmlns:a16="http://schemas.microsoft.com/office/drawing/2014/main" id="{131439AD-9747-6DAE-67EE-04563E9740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0" name="Text Box 486">
          <a:extLst>
            <a:ext uri="{FF2B5EF4-FFF2-40B4-BE49-F238E27FC236}">
              <a16:creationId xmlns:a16="http://schemas.microsoft.com/office/drawing/2014/main" id="{42665C24-8FE3-FFCC-B79A-0F0E4C49D2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1" name="Text Box 487">
          <a:extLst>
            <a:ext uri="{FF2B5EF4-FFF2-40B4-BE49-F238E27FC236}">
              <a16:creationId xmlns:a16="http://schemas.microsoft.com/office/drawing/2014/main" id="{485CAA19-1947-F14A-FA86-B1A431C10B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2" name="Text Box 488">
          <a:extLst>
            <a:ext uri="{FF2B5EF4-FFF2-40B4-BE49-F238E27FC236}">
              <a16:creationId xmlns:a16="http://schemas.microsoft.com/office/drawing/2014/main" id="{6F58C29D-4382-F85C-CA03-3E80FD3BA4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3" name="Text Box 489">
          <a:extLst>
            <a:ext uri="{FF2B5EF4-FFF2-40B4-BE49-F238E27FC236}">
              <a16:creationId xmlns:a16="http://schemas.microsoft.com/office/drawing/2014/main" id="{5F22C247-5DA9-1134-8E20-C7EDDB9D7A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4" name="Text Box 490">
          <a:extLst>
            <a:ext uri="{FF2B5EF4-FFF2-40B4-BE49-F238E27FC236}">
              <a16:creationId xmlns:a16="http://schemas.microsoft.com/office/drawing/2014/main" id="{E2D5169B-7583-CB4E-D648-FE9E3984C0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5" name="Text Box 491">
          <a:extLst>
            <a:ext uri="{FF2B5EF4-FFF2-40B4-BE49-F238E27FC236}">
              <a16:creationId xmlns:a16="http://schemas.microsoft.com/office/drawing/2014/main" id="{AC23BDDB-81D0-583C-43B7-20DFB5716D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6" name="Text Box 492">
          <a:extLst>
            <a:ext uri="{FF2B5EF4-FFF2-40B4-BE49-F238E27FC236}">
              <a16:creationId xmlns:a16="http://schemas.microsoft.com/office/drawing/2014/main" id="{64676C2B-56E2-C151-B19E-4F07B55E44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7" name="Text Box 493">
          <a:extLst>
            <a:ext uri="{FF2B5EF4-FFF2-40B4-BE49-F238E27FC236}">
              <a16:creationId xmlns:a16="http://schemas.microsoft.com/office/drawing/2014/main" id="{CC69952E-0D72-6169-7E62-5DB821E770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8" name="Text Box 494">
          <a:extLst>
            <a:ext uri="{FF2B5EF4-FFF2-40B4-BE49-F238E27FC236}">
              <a16:creationId xmlns:a16="http://schemas.microsoft.com/office/drawing/2014/main" id="{9591AA25-EF17-DA16-8E9B-C4F3787F0E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89" name="Text Box 495">
          <a:extLst>
            <a:ext uri="{FF2B5EF4-FFF2-40B4-BE49-F238E27FC236}">
              <a16:creationId xmlns:a16="http://schemas.microsoft.com/office/drawing/2014/main" id="{82AF99B8-1A9A-74C9-9E87-489533AE5E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0" name="Text Box 496">
          <a:extLst>
            <a:ext uri="{FF2B5EF4-FFF2-40B4-BE49-F238E27FC236}">
              <a16:creationId xmlns:a16="http://schemas.microsoft.com/office/drawing/2014/main" id="{9A0E599C-9523-EEA0-0DEA-E2326B4DB2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1" name="Text Box 497">
          <a:extLst>
            <a:ext uri="{FF2B5EF4-FFF2-40B4-BE49-F238E27FC236}">
              <a16:creationId xmlns:a16="http://schemas.microsoft.com/office/drawing/2014/main" id="{D55C4679-D7F5-ADC8-79B5-C3BB7719B3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2" name="Text Box 498">
          <a:extLst>
            <a:ext uri="{FF2B5EF4-FFF2-40B4-BE49-F238E27FC236}">
              <a16:creationId xmlns:a16="http://schemas.microsoft.com/office/drawing/2014/main" id="{70FE633F-0FEF-10C3-7501-660ACCEAA6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3" name="Text Box 499">
          <a:extLst>
            <a:ext uri="{FF2B5EF4-FFF2-40B4-BE49-F238E27FC236}">
              <a16:creationId xmlns:a16="http://schemas.microsoft.com/office/drawing/2014/main" id="{F7A14963-D0EA-276E-06C7-49BA15F915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4" name="Text Box 500">
          <a:extLst>
            <a:ext uri="{FF2B5EF4-FFF2-40B4-BE49-F238E27FC236}">
              <a16:creationId xmlns:a16="http://schemas.microsoft.com/office/drawing/2014/main" id="{9CA920F7-1125-8E63-38D1-5734C9942D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5" name="Text Box 501">
          <a:extLst>
            <a:ext uri="{FF2B5EF4-FFF2-40B4-BE49-F238E27FC236}">
              <a16:creationId xmlns:a16="http://schemas.microsoft.com/office/drawing/2014/main" id="{31E5AE5D-F735-C8F5-D8F8-3FF801F83B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6" name="Text Box 502">
          <a:extLst>
            <a:ext uri="{FF2B5EF4-FFF2-40B4-BE49-F238E27FC236}">
              <a16:creationId xmlns:a16="http://schemas.microsoft.com/office/drawing/2014/main" id="{2AB24E6A-B799-B3C9-DE4C-950FEC3337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7" name="Text Box 503">
          <a:extLst>
            <a:ext uri="{FF2B5EF4-FFF2-40B4-BE49-F238E27FC236}">
              <a16:creationId xmlns:a16="http://schemas.microsoft.com/office/drawing/2014/main" id="{03711E4A-4410-97DE-AFA6-60BF8EECFA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8" name="Text Box 504">
          <a:extLst>
            <a:ext uri="{FF2B5EF4-FFF2-40B4-BE49-F238E27FC236}">
              <a16:creationId xmlns:a16="http://schemas.microsoft.com/office/drawing/2014/main" id="{2F2D3D85-2F22-2C39-B205-1D98D874D8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699" name="Text Box 505">
          <a:extLst>
            <a:ext uri="{FF2B5EF4-FFF2-40B4-BE49-F238E27FC236}">
              <a16:creationId xmlns:a16="http://schemas.microsoft.com/office/drawing/2014/main" id="{C8AF05D2-C26A-4EBB-C5C8-CF9D16DE2A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0" name="Text Box 506">
          <a:extLst>
            <a:ext uri="{FF2B5EF4-FFF2-40B4-BE49-F238E27FC236}">
              <a16:creationId xmlns:a16="http://schemas.microsoft.com/office/drawing/2014/main" id="{ADB7CDE8-6097-3B13-F020-F28BA15B9F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1" name="Text Box 507">
          <a:extLst>
            <a:ext uri="{FF2B5EF4-FFF2-40B4-BE49-F238E27FC236}">
              <a16:creationId xmlns:a16="http://schemas.microsoft.com/office/drawing/2014/main" id="{AA0D45E8-B779-6225-EE93-441ACFEFA0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2" name="Text Box 508">
          <a:extLst>
            <a:ext uri="{FF2B5EF4-FFF2-40B4-BE49-F238E27FC236}">
              <a16:creationId xmlns:a16="http://schemas.microsoft.com/office/drawing/2014/main" id="{7798D8E1-0697-7015-11EF-689D7F4AF1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3" name="Text Box 509">
          <a:extLst>
            <a:ext uri="{FF2B5EF4-FFF2-40B4-BE49-F238E27FC236}">
              <a16:creationId xmlns:a16="http://schemas.microsoft.com/office/drawing/2014/main" id="{9010EDE2-C1DC-7FB3-78D0-56EFEECFD9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4" name="Text Box 510">
          <a:extLst>
            <a:ext uri="{FF2B5EF4-FFF2-40B4-BE49-F238E27FC236}">
              <a16:creationId xmlns:a16="http://schemas.microsoft.com/office/drawing/2014/main" id="{4405E8E6-B270-5038-2E31-482A300F9C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5" name="Text Box 511">
          <a:extLst>
            <a:ext uri="{FF2B5EF4-FFF2-40B4-BE49-F238E27FC236}">
              <a16:creationId xmlns:a16="http://schemas.microsoft.com/office/drawing/2014/main" id="{79020AE5-1059-2E57-EFB3-AC778FCEC9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6" name="Text Box 512">
          <a:extLst>
            <a:ext uri="{FF2B5EF4-FFF2-40B4-BE49-F238E27FC236}">
              <a16:creationId xmlns:a16="http://schemas.microsoft.com/office/drawing/2014/main" id="{CDD9317A-97C3-1BCA-5714-D2E36F94E0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7" name="Text Box 513">
          <a:extLst>
            <a:ext uri="{FF2B5EF4-FFF2-40B4-BE49-F238E27FC236}">
              <a16:creationId xmlns:a16="http://schemas.microsoft.com/office/drawing/2014/main" id="{A24E2FE2-52FD-8705-46B7-64C83E8DBF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8" name="Text Box 514">
          <a:extLst>
            <a:ext uri="{FF2B5EF4-FFF2-40B4-BE49-F238E27FC236}">
              <a16:creationId xmlns:a16="http://schemas.microsoft.com/office/drawing/2014/main" id="{6692D8BB-37B3-7043-B594-0E8A1FB239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09" name="Text Box 515">
          <a:extLst>
            <a:ext uri="{FF2B5EF4-FFF2-40B4-BE49-F238E27FC236}">
              <a16:creationId xmlns:a16="http://schemas.microsoft.com/office/drawing/2014/main" id="{79BDD0CC-4A72-C84D-93AA-A0B0A85369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0" name="Text Box 516">
          <a:extLst>
            <a:ext uri="{FF2B5EF4-FFF2-40B4-BE49-F238E27FC236}">
              <a16:creationId xmlns:a16="http://schemas.microsoft.com/office/drawing/2014/main" id="{856E9992-00FB-5197-5CFF-277BBC8B18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1" name="Text Box 517">
          <a:extLst>
            <a:ext uri="{FF2B5EF4-FFF2-40B4-BE49-F238E27FC236}">
              <a16:creationId xmlns:a16="http://schemas.microsoft.com/office/drawing/2014/main" id="{702FE0BB-2086-34A9-5EEB-ACD153B38E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2" name="Text Box 518">
          <a:extLst>
            <a:ext uri="{FF2B5EF4-FFF2-40B4-BE49-F238E27FC236}">
              <a16:creationId xmlns:a16="http://schemas.microsoft.com/office/drawing/2014/main" id="{D23C38C4-2F3A-3651-8AD0-316BB0049A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3" name="Text Box 519">
          <a:extLst>
            <a:ext uri="{FF2B5EF4-FFF2-40B4-BE49-F238E27FC236}">
              <a16:creationId xmlns:a16="http://schemas.microsoft.com/office/drawing/2014/main" id="{CB78E9BF-8849-AD6D-A757-EF94D4EF8C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4" name="Text Box 520">
          <a:extLst>
            <a:ext uri="{FF2B5EF4-FFF2-40B4-BE49-F238E27FC236}">
              <a16:creationId xmlns:a16="http://schemas.microsoft.com/office/drawing/2014/main" id="{0EEE0468-34FB-8AEB-21E8-E233E442D8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5" name="Text Box 521">
          <a:extLst>
            <a:ext uri="{FF2B5EF4-FFF2-40B4-BE49-F238E27FC236}">
              <a16:creationId xmlns:a16="http://schemas.microsoft.com/office/drawing/2014/main" id="{115636A3-1AAE-7F35-8579-D5E19DD6FE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6" name="Text Box 522">
          <a:extLst>
            <a:ext uri="{FF2B5EF4-FFF2-40B4-BE49-F238E27FC236}">
              <a16:creationId xmlns:a16="http://schemas.microsoft.com/office/drawing/2014/main" id="{A93E8711-E9BA-2916-EB72-E2CA843FD8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7" name="Text Box 523">
          <a:extLst>
            <a:ext uri="{FF2B5EF4-FFF2-40B4-BE49-F238E27FC236}">
              <a16:creationId xmlns:a16="http://schemas.microsoft.com/office/drawing/2014/main" id="{90F8784B-CCEB-7E0E-1504-4C91E509C4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8" name="Text Box 524">
          <a:extLst>
            <a:ext uri="{FF2B5EF4-FFF2-40B4-BE49-F238E27FC236}">
              <a16:creationId xmlns:a16="http://schemas.microsoft.com/office/drawing/2014/main" id="{96FDAEE2-5FE3-9396-0496-CB845383E5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19" name="Text Box 525">
          <a:extLst>
            <a:ext uri="{FF2B5EF4-FFF2-40B4-BE49-F238E27FC236}">
              <a16:creationId xmlns:a16="http://schemas.microsoft.com/office/drawing/2014/main" id="{E5CAB9B0-1EEF-24DF-4395-BB6CECDA0B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0" name="Text Box 526">
          <a:extLst>
            <a:ext uri="{FF2B5EF4-FFF2-40B4-BE49-F238E27FC236}">
              <a16:creationId xmlns:a16="http://schemas.microsoft.com/office/drawing/2014/main" id="{0DEB7D78-9485-8B2C-F7DF-800A47B046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1" name="Text Box 527">
          <a:extLst>
            <a:ext uri="{FF2B5EF4-FFF2-40B4-BE49-F238E27FC236}">
              <a16:creationId xmlns:a16="http://schemas.microsoft.com/office/drawing/2014/main" id="{A3414492-B5B9-9CF1-C909-5CEF2BD383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2" name="Text Box 528">
          <a:extLst>
            <a:ext uri="{FF2B5EF4-FFF2-40B4-BE49-F238E27FC236}">
              <a16:creationId xmlns:a16="http://schemas.microsoft.com/office/drawing/2014/main" id="{EE83B3E9-E0D4-12C4-EA0D-EEC9C6014A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3" name="Text Box 529">
          <a:extLst>
            <a:ext uri="{FF2B5EF4-FFF2-40B4-BE49-F238E27FC236}">
              <a16:creationId xmlns:a16="http://schemas.microsoft.com/office/drawing/2014/main" id="{FF4EBF7E-2264-DAAC-906A-36E4525B12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4" name="Text Box 530">
          <a:extLst>
            <a:ext uri="{FF2B5EF4-FFF2-40B4-BE49-F238E27FC236}">
              <a16:creationId xmlns:a16="http://schemas.microsoft.com/office/drawing/2014/main" id="{1C17CBF8-2BFC-D49F-7300-9B1A68B10C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5" name="Text Box 531">
          <a:extLst>
            <a:ext uri="{FF2B5EF4-FFF2-40B4-BE49-F238E27FC236}">
              <a16:creationId xmlns:a16="http://schemas.microsoft.com/office/drawing/2014/main" id="{B0877EFA-0B0E-AC74-9B31-DDA8B88C7B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6" name="Text Box 533">
          <a:extLst>
            <a:ext uri="{FF2B5EF4-FFF2-40B4-BE49-F238E27FC236}">
              <a16:creationId xmlns:a16="http://schemas.microsoft.com/office/drawing/2014/main" id="{CDB5CAB6-10AC-4A52-99D3-1E5F112D41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7" name="Text Box 534">
          <a:extLst>
            <a:ext uri="{FF2B5EF4-FFF2-40B4-BE49-F238E27FC236}">
              <a16:creationId xmlns:a16="http://schemas.microsoft.com/office/drawing/2014/main" id="{234D8C4D-C7D5-2F0E-0FE7-7A3A80BE37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8" name="Text Box 535">
          <a:extLst>
            <a:ext uri="{FF2B5EF4-FFF2-40B4-BE49-F238E27FC236}">
              <a16:creationId xmlns:a16="http://schemas.microsoft.com/office/drawing/2014/main" id="{94724F84-7FD4-E566-62E2-F5F7EA1475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29" name="Text Box 536">
          <a:extLst>
            <a:ext uri="{FF2B5EF4-FFF2-40B4-BE49-F238E27FC236}">
              <a16:creationId xmlns:a16="http://schemas.microsoft.com/office/drawing/2014/main" id="{430AAF8B-CA5B-4028-ED6B-639085BE26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0" name="Text Box 537">
          <a:extLst>
            <a:ext uri="{FF2B5EF4-FFF2-40B4-BE49-F238E27FC236}">
              <a16:creationId xmlns:a16="http://schemas.microsoft.com/office/drawing/2014/main" id="{369A9685-62D1-0E88-FA88-FF2CCFDEC7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1" name="Text Box 538">
          <a:extLst>
            <a:ext uri="{FF2B5EF4-FFF2-40B4-BE49-F238E27FC236}">
              <a16:creationId xmlns:a16="http://schemas.microsoft.com/office/drawing/2014/main" id="{BD2CE751-49E4-5265-42B0-CAA794893B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2" name="Text Box 539">
          <a:extLst>
            <a:ext uri="{FF2B5EF4-FFF2-40B4-BE49-F238E27FC236}">
              <a16:creationId xmlns:a16="http://schemas.microsoft.com/office/drawing/2014/main" id="{86CD2BB7-C548-9CF6-9E32-4EE9D639EB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3" name="Text Box 540">
          <a:extLst>
            <a:ext uri="{FF2B5EF4-FFF2-40B4-BE49-F238E27FC236}">
              <a16:creationId xmlns:a16="http://schemas.microsoft.com/office/drawing/2014/main" id="{F43DA7EB-C8D7-FBB4-6B87-48A9B7C9BD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4" name="Text Box 541">
          <a:extLst>
            <a:ext uri="{FF2B5EF4-FFF2-40B4-BE49-F238E27FC236}">
              <a16:creationId xmlns:a16="http://schemas.microsoft.com/office/drawing/2014/main" id="{6AF7004D-E90E-CDAD-10B2-6443822063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5" name="Text Box 542">
          <a:extLst>
            <a:ext uri="{FF2B5EF4-FFF2-40B4-BE49-F238E27FC236}">
              <a16:creationId xmlns:a16="http://schemas.microsoft.com/office/drawing/2014/main" id="{D921DA2C-1083-C303-39D9-18447045F3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6" name="Text Box 543">
          <a:extLst>
            <a:ext uri="{FF2B5EF4-FFF2-40B4-BE49-F238E27FC236}">
              <a16:creationId xmlns:a16="http://schemas.microsoft.com/office/drawing/2014/main" id="{E2C552E8-8450-F98C-0302-05BA1BE666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7" name="Text Box 544">
          <a:extLst>
            <a:ext uri="{FF2B5EF4-FFF2-40B4-BE49-F238E27FC236}">
              <a16:creationId xmlns:a16="http://schemas.microsoft.com/office/drawing/2014/main" id="{47EB93CD-2EF9-C2CA-051A-0D47F85320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8" name="Text Box 545">
          <a:extLst>
            <a:ext uri="{FF2B5EF4-FFF2-40B4-BE49-F238E27FC236}">
              <a16:creationId xmlns:a16="http://schemas.microsoft.com/office/drawing/2014/main" id="{5E05A510-D047-5E52-9F8D-CD1CAE0525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39" name="Text Box 546">
          <a:extLst>
            <a:ext uri="{FF2B5EF4-FFF2-40B4-BE49-F238E27FC236}">
              <a16:creationId xmlns:a16="http://schemas.microsoft.com/office/drawing/2014/main" id="{073BFD81-61FE-F5E2-CAF9-884F4DD10C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0" name="Text Box 547">
          <a:extLst>
            <a:ext uri="{FF2B5EF4-FFF2-40B4-BE49-F238E27FC236}">
              <a16:creationId xmlns:a16="http://schemas.microsoft.com/office/drawing/2014/main" id="{8E01F12D-7F98-3AD3-662C-51723ABA4D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1" name="Text Box 548">
          <a:extLst>
            <a:ext uri="{FF2B5EF4-FFF2-40B4-BE49-F238E27FC236}">
              <a16:creationId xmlns:a16="http://schemas.microsoft.com/office/drawing/2014/main" id="{B2A4EE57-3555-9C6D-6462-197C5C3625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2" name="Text Box 549">
          <a:extLst>
            <a:ext uri="{FF2B5EF4-FFF2-40B4-BE49-F238E27FC236}">
              <a16:creationId xmlns:a16="http://schemas.microsoft.com/office/drawing/2014/main" id="{ACE4DA17-6495-CAB0-9F32-691B9AB3F9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3" name="Text Box 550">
          <a:extLst>
            <a:ext uri="{FF2B5EF4-FFF2-40B4-BE49-F238E27FC236}">
              <a16:creationId xmlns:a16="http://schemas.microsoft.com/office/drawing/2014/main" id="{A9CE707D-E1FC-D65B-8345-C0E5F08052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4" name="Text Box 551">
          <a:extLst>
            <a:ext uri="{FF2B5EF4-FFF2-40B4-BE49-F238E27FC236}">
              <a16:creationId xmlns:a16="http://schemas.microsoft.com/office/drawing/2014/main" id="{5597AF14-7C46-BAE2-10BE-0C49530836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5" name="Text Box 552">
          <a:extLst>
            <a:ext uri="{FF2B5EF4-FFF2-40B4-BE49-F238E27FC236}">
              <a16:creationId xmlns:a16="http://schemas.microsoft.com/office/drawing/2014/main" id="{200DC06A-3F77-B0DD-3C0D-7A6CA4C370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6" name="Text Box 553">
          <a:extLst>
            <a:ext uri="{FF2B5EF4-FFF2-40B4-BE49-F238E27FC236}">
              <a16:creationId xmlns:a16="http://schemas.microsoft.com/office/drawing/2014/main" id="{C6EF1274-966F-FAEB-C960-68603A7CF4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7" name="Text Box 554">
          <a:extLst>
            <a:ext uri="{FF2B5EF4-FFF2-40B4-BE49-F238E27FC236}">
              <a16:creationId xmlns:a16="http://schemas.microsoft.com/office/drawing/2014/main" id="{74D1774C-5AEF-3EDA-9528-DA0B1952A2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8" name="Text Box 555">
          <a:extLst>
            <a:ext uri="{FF2B5EF4-FFF2-40B4-BE49-F238E27FC236}">
              <a16:creationId xmlns:a16="http://schemas.microsoft.com/office/drawing/2014/main" id="{CD6B48CD-D956-5EAE-B838-82B30EAF45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49" name="Text Box 556">
          <a:extLst>
            <a:ext uri="{FF2B5EF4-FFF2-40B4-BE49-F238E27FC236}">
              <a16:creationId xmlns:a16="http://schemas.microsoft.com/office/drawing/2014/main" id="{514C9E01-D8CB-15D8-63EB-66F07AE827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0" name="Text Box 557">
          <a:extLst>
            <a:ext uri="{FF2B5EF4-FFF2-40B4-BE49-F238E27FC236}">
              <a16:creationId xmlns:a16="http://schemas.microsoft.com/office/drawing/2014/main" id="{C4723643-AB27-A810-4087-7863759DD8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1" name="Text Box 558">
          <a:extLst>
            <a:ext uri="{FF2B5EF4-FFF2-40B4-BE49-F238E27FC236}">
              <a16:creationId xmlns:a16="http://schemas.microsoft.com/office/drawing/2014/main" id="{54649C59-9B72-419E-18EB-7B169A1E77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2" name="Text Box 559">
          <a:extLst>
            <a:ext uri="{FF2B5EF4-FFF2-40B4-BE49-F238E27FC236}">
              <a16:creationId xmlns:a16="http://schemas.microsoft.com/office/drawing/2014/main" id="{996A0ADB-C87C-B4AD-AE18-CD94C89DFE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3" name="Text Box 560">
          <a:extLst>
            <a:ext uri="{FF2B5EF4-FFF2-40B4-BE49-F238E27FC236}">
              <a16:creationId xmlns:a16="http://schemas.microsoft.com/office/drawing/2014/main" id="{76D32E2D-C595-E52F-758B-F2D754EDB8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4" name="Text Box 561">
          <a:extLst>
            <a:ext uri="{FF2B5EF4-FFF2-40B4-BE49-F238E27FC236}">
              <a16:creationId xmlns:a16="http://schemas.microsoft.com/office/drawing/2014/main" id="{6B64C5DB-AD88-F01D-4265-61084DD336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5" name="Text Box 562">
          <a:extLst>
            <a:ext uri="{FF2B5EF4-FFF2-40B4-BE49-F238E27FC236}">
              <a16:creationId xmlns:a16="http://schemas.microsoft.com/office/drawing/2014/main" id="{A5208754-61A1-B324-6514-F34EA58D7D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6" name="Text Box 563">
          <a:extLst>
            <a:ext uri="{FF2B5EF4-FFF2-40B4-BE49-F238E27FC236}">
              <a16:creationId xmlns:a16="http://schemas.microsoft.com/office/drawing/2014/main" id="{E056B66C-315B-5D61-E5E4-8AB0D4C297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7" name="Text Box 564">
          <a:extLst>
            <a:ext uri="{FF2B5EF4-FFF2-40B4-BE49-F238E27FC236}">
              <a16:creationId xmlns:a16="http://schemas.microsoft.com/office/drawing/2014/main" id="{6D9316F6-55E8-E509-F641-E1B3CDCAE9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8" name="Text Box 565">
          <a:extLst>
            <a:ext uri="{FF2B5EF4-FFF2-40B4-BE49-F238E27FC236}">
              <a16:creationId xmlns:a16="http://schemas.microsoft.com/office/drawing/2014/main" id="{E6F9E345-E4B3-AD07-221D-DCBFCF3DC5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59" name="Text Box 566">
          <a:extLst>
            <a:ext uri="{FF2B5EF4-FFF2-40B4-BE49-F238E27FC236}">
              <a16:creationId xmlns:a16="http://schemas.microsoft.com/office/drawing/2014/main" id="{92464038-9C00-64CF-78BC-B820FA7CB1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0" name="Text Box 567">
          <a:extLst>
            <a:ext uri="{FF2B5EF4-FFF2-40B4-BE49-F238E27FC236}">
              <a16:creationId xmlns:a16="http://schemas.microsoft.com/office/drawing/2014/main" id="{35875EFA-9AE4-AD49-612A-3ABEA34C72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1" name="Text Box 568">
          <a:extLst>
            <a:ext uri="{FF2B5EF4-FFF2-40B4-BE49-F238E27FC236}">
              <a16:creationId xmlns:a16="http://schemas.microsoft.com/office/drawing/2014/main" id="{6A1C1432-5C44-920B-D3AB-48BED5F9AB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2" name="Text Box 569">
          <a:extLst>
            <a:ext uri="{FF2B5EF4-FFF2-40B4-BE49-F238E27FC236}">
              <a16:creationId xmlns:a16="http://schemas.microsoft.com/office/drawing/2014/main" id="{376EC702-EEEB-A6D5-F43A-1C0CFA53B2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3" name="Text Box 570">
          <a:extLst>
            <a:ext uri="{FF2B5EF4-FFF2-40B4-BE49-F238E27FC236}">
              <a16:creationId xmlns:a16="http://schemas.microsoft.com/office/drawing/2014/main" id="{349E8FBD-70D1-7B5C-0B35-5C6BC1015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4" name="Text Box 571">
          <a:extLst>
            <a:ext uri="{FF2B5EF4-FFF2-40B4-BE49-F238E27FC236}">
              <a16:creationId xmlns:a16="http://schemas.microsoft.com/office/drawing/2014/main" id="{EBC2A1C0-D683-7CD1-2E50-7BB41A9933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5" name="Text Box 572">
          <a:extLst>
            <a:ext uri="{FF2B5EF4-FFF2-40B4-BE49-F238E27FC236}">
              <a16:creationId xmlns:a16="http://schemas.microsoft.com/office/drawing/2014/main" id="{AB369DAB-544E-9592-C916-9C74BE9FFE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6" name="Text Box 573">
          <a:extLst>
            <a:ext uri="{FF2B5EF4-FFF2-40B4-BE49-F238E27FC236}">
              <a16:creationId xmlns:a16="http://schemas.microsoft.com/office/drawing/2014/main" id="{16A486E0-06B0-263C-F0DF-AF67FF5BB9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7" name="Text Box 574">
          <a:extLst>
            <a:ext uri="{FF2B5EF4-FFF2-40B4-BE49-F238E27FC236}">
              <a16:creationId xmlns:a16="http://schemas.microsoft.com/office/drawing/2014/main" id="{FBCFA8D1-F636-E2F5-26D8-DF7EDA8569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8" name="Text Box 575">
          <a:extLst>
            <a:ext uri="{FF2B5EF4-FFF2-40B4-BE49-F238E27FC236}">
              <a16:creationId xmlns:a16="http://schemas.microsoft.com/office/drawing/2014/main" id="{21149ACC-D548-7D53-16D1-028ECBC0B9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69" name="Text Box 576">
          <a:extLst>
            <a:ext uri="{FF2B5EF4-FFF2-40B4-BE49-F238E27FC236}">
              <a16:creationId xmlns:a16="http://schemas.microsoft.com/office/drawing/2014/main" id="{4F5F9CD6-E94F-20CB-4385-227E72F462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0" name="Text Box 577">
          <a:extLst>
            <a:ext uri="{FF2B5EF4-FFF2-40B4-BE49-F238E27FC236}">
              <a16:creationId xmlns:a16="http://schemas.microsoft.com/office/drawing/2014/main" id="{B473BC15-0997-7083-958D-816098F2A8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1" name="Text Box 578">
          <a:extLst>
            <a:ext uri="{FF2B5EF4-FFF2-40B4-BE49-F238E27FC236}">
              <a16:creationId xmlns:a16="http://schemas.microsoft.com/office/drawing/2014/main" id="{638EF7CE-09A3-2E1A-1B11-71B49824A3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2" name="Text Box 579">
          <a:extLst>
            <a:ext uri="{FF2B5EF4-FFF2-40B4-BE49-F238E27FC236}">
              <a16:creationId xmlns:a16="http://schemas.microsoft.com/office/drawing/2014/main" id="{06810C90-B276-E375-AEC6-DC59CD868F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3" name="Text Box 580">
          <a:extLst>
            <a:ext uri="{FF2B5EF4-FFF2-40B4-BE49-F238E27FC236}">
              <a16:creationId xmlns:a16="http://schemas.microsoft.com/office/drawing/2014/main" id="{57FA38DA-7F93-5E62-0DDE-FA41FD719B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4" name="Text Box 581">
          <a:extLst>
            <a:ext uri="{FF2B5EF4-FFF2-40B4-BE49-F238E27FC236}">
              <a16:creationId xmlns:a16="http://schemas.microsoft.com/office/drawing/2014/main" id="{D1F40232-98E1-24B6-69D2-918E1622DA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5" name="Text Box 582">
          <a:extLst>
            <a:ext uri="{FF2B5EF4-FFF2-40B4-BE49-F238E27FC236}">
              <a16:creationId xmlns:a16="http://schemas.microsoft.com/office/drawing/2014/main" id="{6FED2EB6-1423-43E7-DF44-6CFEFF1510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6" name="Text Box 583">
          <a:extLst>
            <a:ext uri="{FF2B5EF4-FFF2-40B4-BE49-F238E27FC236}">
              <a16:creationId xmlns:a16="http://schemas.microsoft.com/office/drawing/2014/main" id="{D0253ADB-FEDE-F796-4686-1D3BF9165F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7" name="Text Box 584">
          <a:extLst>
            <a:ext uri="{FF2B5EF4-FFF2-40B4-BE49-F238E27FC236}">
              <a16:creationId xmlns:a16="http://schemas.microsoft.com/office/drawing/2014/main" id="{D0DB2BA6-C279-B9C5-A5DC-D4845E6174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8" name="Text Box 585">
          <a:extLst>
            <a:ext uri="{FF2B5EF4-FFF2-40B4-BE49-F238E27FC236}">
              <a16:creationId xmlns:a16="http://schemas.microsoft.com/office/drawing/2014/main" id="{A6B1589D-36E8-ABF1-27C7-2982F22DBA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79" name="Text Box 586">
          <a:extLst>
            <a:ext uri="{FF2B5EF4-FFF2-40B4-BE49-F238E27FC236}">
              <a16:creationId xmlns:a16="http://schemas.microsoft.com/office/drawing/2014/main" id="{1FDF2099-5B1C-EB68-94B3-FCD047D132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0" name="Text Box 587">
          <a:extLst>
            <a:ext uri="{FF2B5EF4-FFF2-40B4-BE49-F238E27FC236}">
              <a16:creationId xmlns:a16="http://schemas.microsoft.com/office/drawing/2014/main" id="{174AA20D-AEFD-371F-3D19-E1A8683298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1" name="Text Box 588">
          <a:extLst>
            <a:ext uri="{FF2B5EF4-FFF2-40B4-BE49-F238E27FC236}">
              <a16:creationId xmlns:a16="http://schemas.microsoft.com/office/drawing/2014/main" id="{238D8EC9-6CC8-48C8-536B-F66789ED62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2" name="Text Box 589">
          <a:extLst>
            <a:ext uri="{FF2B5EF4-FFF2-40B4-BE49-F238E27FC236}">
              <a16:creationId xmlns:a16="http://schemas.microsoft.com/office/drawing/2014/main" id="{7F587EFB-F1F1-B04D-AF7E-2E7BBC0FAF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3" name="Text Box 590">
          <a:extLst>
            <a:ext uri="{FF2B5EF4-FFF2-40B4-BE49-F238E27FC236}">
              <a16:creationId xmlns:a16="http://schemas.microsoft.com/office/drawing/2014/main" id="{F542DBF3-726F-EC3D-88AA-D0B3E7EF90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4" name="Text Box 591">
          <a:extLst>
            <a:ext uri="{FF2B5EF4-FFF2-40B4-BE49-F238E27FC236}">
              <a16:creationId xmlns:a16="http://schemas.microsoft.com/office/drawing/2014/main" id="{27BD78C7-42F2-4E8B-20DB-B93FAC2CF1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5" name="Text Box 592">
          <a:extLst>
            <a:ext uri="{FF2B5EF4-FFF2-40B4-BE49-F238E27FC236}">
              <a16:creationId xmlns:a16="http://schemas.microsoft.com/office/drawing/2014/main" id="{4A687AC0-2E15-ECD0-5C44-7B81678DD4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6" name="Text Box 593">
          <a:extLst>
            <a:ext uri="{FF2B5EF4-FFF2-40B4-BE49-F238E27FC236}">
              <a16:creationId xmlns:a16="http://schemas.microsoft.com/office/drawing/2014/main" id="{3448BAC7-F620-9FB3-8528-5D4F2397A7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7" name="Text Box 594">
          <a:extLst>
            <a:ext uri="{FF2B5EF4-FFF2-40B4-BE49-F238E27FC236}">
              <a16:creationId xmlns:a16="http://schemas.microsoft.com/office/drawing/2014/main" id="{27EA3C7E-B28E-726B-CF49-3997A4A914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8" name="Text Box 595">
          <a:extLst>
            <a:ext uri="{FF2B5EF4-FFF2-40B4-BE49-F238E27FC236}">
              <a16:creationId xmlns:a16="http://schemas.microsoft.com/office/drawing/2014/main" id="{B233653E-3CC3-D521-B89C-04E45E677D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89" name="Text Box 596">
          <a:extLst>
            <a:ext uri="{FF2B5EF4-FFF2-40B4-BE49-F238E27FC236}">
              <a16:creationId xmlns:a16="http://schemas.microsoft.com/office/drawing/2014/main" id="{7E64D68C-0CF7-1D94-233A-03FD69CE91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0" name="Text Box 597">
          <a:extLst>
            <a:ext uri="{FF2B5EF4-FFF2-40B4-BE49-F238E27FC236}">
              <a16:creationId xmlns:a16="http://schemas.microsoft.com/office/drawing/2014/main" id="{00F1C571-9D55-67A3-856E-F23BA5C1CC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1" name="Text Box 598">
          <a:extLst>
            <a:ext uri="{FF2B5EF4-FFF2-40B4-BE49-F238E27FC236}">
              <a16:creationId xmlns:a16="http://schemas.microsoft.com/office/drawing/2014/main" id="{FB75DEBE-03BA-0396-40F5-A144374824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2" name="Text Box 599">
          <a:extLst>
            <a:ext uri="{FF2B5EF4-FFF2-40B4-BE49-F238E27FC236}">
              <a16:creationId xmlns:a16="http://schemas.microsoft.com/office/drawing/2014/main" id="{CAE0C39A-51EB-7961-E335-36001489F8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3" name="Text Box 600">
          <a:extLst>
            <a:ext uri="{FF2B5EF4-FFF2-40B4-BE49-F238E27FC236}">
              <a16:creationId xmlns:a16="http://schemas.microsoft.com/office/drawing/2014/main" id="{7E5AADF0-5431-3C20-758E-CACA187F81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4" name="Text Box 601">
          <a:extLst>
            <a:ext uri="{FF2B5EF4-FFF2-40B4-BE49-F238E27FC236}">
              <a16:creationId xmlns:a16="http://schemas.microsoft.com/office/drawing/2014/main" id="{E7809543-17C5-F120-4899-36D3915ED2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5" name="Text Box 602">
          <a:extLst>
            <a:ext uri="{FF2B5EF4-FFF2-40B4-BE49-F238E27FC236}">
              <a16:creationId xmlns:a16="http://schemas.microsoft.com/office/drawing/2014/main" id="{FB3E6843-3B0B-8655-AFA3-5148F93C80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6" name="Text Box 603">
          <a:extLst>
            <a:ext uri="{FF2B5EF4-FFF2-40B4-BE49-F238E27FC236}">
              <a16:creationId xmlns:a16="http://schemas.microsoft.com/office/drawing/2014/main" id="{1AD3BD09-BA7D-2FF3-03DD-A2EFF63FED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7" name="Text Box 604">
          <a:extLst>
            <a:ext uri="{FF2B5EF4-FFF2-40B4-BE49-F238E27FC236}">
              <a16:creationId xmlns:a16="http://schemas.microsoft.com/office/drawing/2014/main" id="{ED6B8464-65AE-6486-A808-9407C99C1C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8" name="Text Box 605">
          <a:extLst>
            <a:ext uri="{FF2B5EF4-FFF2-40B4-BE49-F238E27FC236}">
              <a16:creationId xmlns:a16="http://schemas.microsoft.com/office/drawing/2014/main" id="{FDE93255-8A5A-2666-52E2-472292F92B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799" name="Text Box 606">
          <a:extLst>
            <a:ext uri="{FF2B5EF4-FFF2-40B4-BE49-F238E27FC236}">
              <a16:creationId xmlns:a16="http://schemas.microsoft.com/office/drawing/2014/main" id="{FCA9333D-8895-0B5C-3346-DD66E14E70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0" name="Text Box 607">
          <a:extLst>
            <a:ext uri="{FF2B5EF4-FFF2-40B4-BE49-F238E27FC236}">
              <a16:creationId xmlns:a16="http://schemas.microsoft.com/office/drawing/2014/main" id="{AF3575DC-7DFF-0635-F853-5EEADC4FC1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1" name="Text Box 608">
          <a:extLst>
            <a:ext uri="{FF2B5EF4-FFF2-40B4-BE49-F238E27FC236}">
              <a16:creationId xmlns:a16="http://schemas.microsoft.com/office/drawing/2014/main" id="{AB7EAABF-670B-5064-9E89-214D12DF25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2" name="Text Box 609">
          <a:extLst>
            <a:ext uri="{FF2B5EF4-FFF2-40B4-BE49-F238E27FC236}">
              <a16:creationId xmlns:a16="http://schemas.microsoft.com/office/drawing/2014/main" id="{61A55000-E567-22A9-0543-D6EAA82ABF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3" name="Text Box 610">
          <a:extLst>
            <a:ext uri="{FF2B5EF4-FFF2-40B4-BE49-F238E27FC236}">
              <a16:creationId xmlns:a16="http://schemas.microsoft.com/office/drawing/2014/main" id="{1BB2E1D9-2B82-DF34-7E0F-85BA60985E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4" name="Text Box 611">
          <a:extLst>
            <a:ext uri="{FF2B5EF4-FFF2-40B4-BE49-F238E27FC236}">
              <a16:creationId xmlns:a16="http://schemas.microsoft.com/office/drawing/2014/main" id="{E6F86AF2-AD44-2FF8-FBCE-F13E1C2D1E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5" name="Text Box 612">
          <a:extLst>
            <a:ext uri="{FF2B5EF4-FFF2-40B4-BE49-F238E27FC236}">
              <a16:creationId xmlns:a16="http://schemas.microsoft.com/office/drawing/2014/main" id="{D69F92CA-D3F7-DC02-ECDC-3BD4D70016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6" name="Text Box 613">
          <a:extLst>
            <a:ext uri="{FF2B5EF4-FFF2-40B4-BE49-F238E27FC236}">
              <a16:creationId xmlns:a16="http://schemas.microsoft.com/office/drawing/2014/main" id="{8A72D669-472A-037A-0DC0-7608EAE530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7" name="Text Box 614">
          <a:extLst>
            <a:ext uri="{FF2B5EF4-FFF2-40B4-BE49-F238E27FC236}">
              <a16:creationId xmlns:a16="http://schemas.microsoft.com/office/drawing/2014/main" id="{D2FB9460-B6B6-B08E-E2E8-09134E17AD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8" name="Text Box 615">
          <a:extLst>
            <a:ext uri="{FF2B5EF4-FFF2-40B4-BE49-F238E27FC236}">
              <a16:creationId xmlns:a16="http://schemas.microsoft.com/office/drawing/2014/main" id="{2D7B5FF5-668B-C332-DEED-F59292EA3D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09" name="Text Box 616">
          <a:extLst>
            <a:ext uri="{FF2B5EF4-FFF2-40B4-BE49-F238E27FC236}">
              <a16:creationId xmlns:a16="http://schemas.microsoft.com/office/drawing/2014/main" id="{21789007-D238-E393-802A-C3567158D2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0" name="Text Box 617">
          <a:extLst>
            <a:ext uri="{FF2B5EF4-FFF2-40B4-BE49-F238E27FC236}">
              <a16:creationId xmlns:a16="http://schemas.microsoft.com/office/drawing/2014/main" id="{43ED711F-AAB4-2CF0-9A5E-9A85CF7F65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1" name="Text Box 618">
          <a:extLst>
            <a:ext uri="{FF2B5EF4-FFF2-40B4-BE49-F238E27FC236}">
              <a16:creationId xmlns:a16="http://schemas.microsoft.com/office/drawing/2014/main" id="{82CAA8D7-B06E-7ECD-EDCB-A001FCF0DD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2" name="Text Box 619">
          <a:extLst>
            <a:ext uri="{FF2B5EF4-FFF2-40B4-BE49-F238E27FC236}">
              <a16:creationId xmlns:a16="http://schemas.microsoft.com/office/drawing/2014/main" id="{D0CE1691-7104-6B47-2F35-EE60A0B396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3" name="Text Box 620">
          <a:extLst>
            <a:ext uri="{FF2B5EF4-FFF2-40B4-BE49-F238E27FC236}">
              <a16:creationId xmlns:a16="http://schemas.microsoft.com/office/drawing/2014/main" id="{1BCE1429-F498-13F9-4C6B-0FD86F2F62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4" name="Text Box 621">
          <a:extLst>
            <a:ext uri="{FF2B5EF4-FFF2-40B4-BE49-F238E27FC236}">
              <a16:creationId xmlns:a16="http://schemas.microsoft.com/office/drawing/2014/main" id="{94121138-8684-F50D-9412-FA8C258477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5" name="Text Box 622">
          <a:extLst>
            <a:ext uri="{FF2B5EF4-FFF2-40B4-BE49-F238E27FC236}">
              <a16:creationId xmlns:a16="http://schemas.microsoft.com/office/drawing/2014/main" id="{0835A773-F968-89B1-3EDC-21A5E8002E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6" name="Text Box 623">
          <a:extLst>
            <a:ext uri="{FF2B5EF4-FFF2-40B4-BE49-F238E27FC236}">
              <a16:creationId xmlns:a16="http://schemas.microsoft.com/office/drawing/2014/main" id="{8B3A865D-93B7-F6EB-2F70-1C61BC89C9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7" name="Text Box 624">
          <a:extLst>
            <a:ext uri="{FF2B5EF4-FFF2-40B4-BE49-F238E27FC236}">
              <a16:creationId xmlns:a16="http://schemas.microsoft.com/office/drawing/2014/main" id="{468135CF-85BF-B70B-453D-23A4AE363E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8" name="Text Box 625">
          <a:extLst>
            <a:ext uri="{FF2B5EF4-FFF2-40B4-BE49-F238E27FC236}">
              <a16:creationId xmlns:a16="http://schemas.microsoft.com/office/drawing/2014/main" id="{6780A342-7F25-65F4-6795-D96DD6A7F5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19" name="Text Box 626">
          <a:extLst>
            <a:ext uri="{FF2B5EF4-FFF2-40B4-BE49-F238E27FC236}">
              <a16:creationId xmlns:a16="http://schemas.microsoft.com/office/drawing/2014/main" id="{8F9CB14D-0BAC-2F36-7676-5AC8F25A05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0" name="Text Box 627">
          <a:extLst>
            <a:ext uri="{FF2B5EF4-FFF2-40B4-BE49-F238E27FC236}">
              <a16:creationId xmlns:a16="http://schemas.microsoft.com/office/drawing/2014/main" id="{D18B8E90-D41A-EB45-0579-CC1D571F17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1" name="Text Box 628">
          <a:extLst>
            <a:ext uri="{FF2B5EF4-FFF2-40B4-BE49-F238E27FC236}">
              <a16:creationId xmlns:a16="http://schemas.microsoft.com/office/drawing/2014/main" id="{12E45577-EAF8-4AF4-93A7-73009FB622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2" name="Text Box 629">
          <a:extLst>
            <a:ext uri="{FF2B5EF4-FFF2-40B4-BE49-F238E27FC236}">
              <a16:creationId xmlns:a16="http://schemas.microsoft.com/office/drawing/2014/main" id="{C071E209-3410-2E06-C3C7-8E128852DC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3" name="Text Box 630">
          <a:extLst>
            <a:ext uri="{FF2B5EF4-FFF2-40B4-BE49-F238E27FC236}">
              <a16:creationId xmlns:a16="http://schemas.microsoft.com/office/drawing/2014/main" id="{CDA1D55C-463B-E850-9129-090B388DB8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4" name="Text Box 631">
          <a:extLst>
            <a:ext uri="{FF2B5EF4-FFF2-40B4-BE49-F238E27FC236}">
              <a16:creationId xmlns:a16="http://schemas.microsoft.com/office/drawing/2014/main" id="{76E074FB-447F-E402-C391-108908FFEA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5" name="Text Box 632">
          <a:extLst>
            <a:ext uri="{FF2B5EF4-FFF2-40B4-BE49-F238E27FC236}">
              <a16:creationId xmlns:a16="http://schemas.microsoft.com/office/drawing/2014/main" id="{DCB6BDD3-745A-F5D2-CE0C-63A97EDD41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6" name="Text Box 633">
          <a:extLst>
            <a:ext uri="{FF2B5EF4-FFF2-40B4-BE49-F238E27FC236}">
              <a16:creationId xmlns:a16="http://schemas.microsoft.com/office/drawing/2014/main" id="{4055B10D-82E7-141E-231C-780842D769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7" name="Text Box 634">
          <a:extLst>
            <a:ext uri="{FF2B5EF4-FFF2-40B4-BE49-F238E27FC236}">
              <a16:creationId xmlns:a16="http://schemas.microsoft.com/office/drawing/2014/main" id="{44299C7D-C68B-E321-4104-C4BEC81A5F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8" name="Text Box 635">
          <a:extLst>
            <a:ext uri="{FF2B5EF4-FFF2-40B4-BE49-F238E27FC236}">
              <a16:creationId xmlns:a16="http://schemas.microsoft.com/office/drawing/2014/main" id="{33170627-532E-CD72-61FF-1868A36A6E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29" name="Text Box 636">
          <a:extLst>
            <a:ext uri="{FF2B5EF4-FFF2-40B4-BE49-F238E27FC236}">
              <a16:creationId xmlns:a16="http://schemas.microsoft.com/office/drawing/2014/main" id="{D47ED301-1B31-BD1F-0848-FC81D76D34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0" name="Text Box 637">
          <a:extLst>
            <a:ext uri="{FF2B5EF4-FFF2-40B4-BE49-F238E27FC236}">
              <a16:creationId xmlns:a16="http://schemas.microsoft.com/office/drawing/2014/main" id="{192F7FE1-B16E-8D90-EE9C-0816D32885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1" name="Text Box 638">
          <a:extLst>
            <a:ext uri="{FF2B5EF4-FFF2-40B4-BE49-F238E27FC236}">
              <a16:creationId xmlns:a16="http://schemas.microsoft.com/office/drawing/2014/main" id="{DCC45728-5E88-1B9A-378D-88806829B5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2" name="Text Box 639">
          <a:extLst>
            <a:ext uri="{FF2B5EF4-FFF2-40B4-BE49-F238E27FC236}">
              <a16:creationId xmlns:a16="http://schemas.microsoft.com/office/drawing/2014/main" id="{F1E31B99-7480-AA8F-84C5-A4D5C725C7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3" name="Text Box 640">
          <a:extLst>
            <a:ext uri="{FF2B5EF4-FFF2-40B4-BE49-F238E27FC236}">
              <a16:creationId xmlns:a16="http://schemas.microsoft.com/office/drawing/2014/main" id="{8107D813-830F-892C-DB50-82382E07C3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4" name="Text Box 641">
          <a:extLst>
            <a:ext uri="{FF2B5EF4-FFF2-40B4-BE49-F238E27FC236}">
              <a16:creationId xmlns:a16="http://schemas.microsoft.com/office/drawing/2014/main" id="{897C6298-2D0E-C9F3-2A76-F215F5CD0C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5" name="Text Box 642">
          <a:extLst>
            <a:ext uri="{FF2B5EF4-FFF2-40B4-BE49-F238E27FC236}">
              <a16:creationId xmlns:a16="http://schemas.microsoft.com/office/drawing/2014/main" id="{06A813FC-BA2B-4293-E21E-3A75FBAB2D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6" name="Text Box 643">
          <a:extLst>
            <a:ext uri="{FF2B5EF4-FFF2-40B4-BE49-F238E27FC236}">
              <a16:creationId xmlns:a16="http://schemas.microsoft.com/office/drawing/2014/main" id="{17FD3F9B-254A-0F8B-894B-E43555C598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7" name="Text Box 644">
          <a:extLst>
            <a:ext uri="{FF2B5EF4-FFF2-40B4-BE49-F238E27FC236}">
              <a16:creationId xmlns:a16="http://schemas.microsoft.com/office/drawing/2014/main" id="{F9737DC4-15A2-8B01-A1AE-95A317350F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8" name="Text Box 645">
          <a:extLst>
            <a:ext uri="{FF2B5EF4-FFF2-40B4-BE49-F238E27FC236}">
              <a16:creationId xmlns:a16="http://schemas.microsoft.com/office/drawing/2014/main" id="{047DCAE1-8D40-C8C2-2431-50E07DE8F7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39" name="Text Box 646">
          <a:extLst>
            <a:ext uri="{FF2B5EF4-FFF2-40B4-BE49-F238E27FC236}">
              <a16:creationId xmlns:a16="http://schemas.microsoft.com/office/drawing/2014/main" id="{293E1C91-BCB8-5F7A-B069-35B2217AF5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0" name="Text Box 647">
          <a:extLst>
            <a:ext uri="{FF2B5EF4-FFF2-40B4-BE49-F238E27FC236}">
              <a16:creationId xmlns:a16="http://schemas.microsoft.com/office/drawing/2014/main" id="{5736E6FF-131C-7DDA-AFD1-B7839EABDA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1" name="Text Box 648">
          <a:extLst>
            <a:ext uri="{FF2B5EF4-FFF2-40B4-BE49-F238E27FC236}">
              <a16:creationId xmlns:a16="http://schemas.microsoft.com/office/drawing/2014/main" id="{2013F8C1-262F-FC88-3681-D068C883B7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2" name="Text Box 649">
          <a:extLst>
            <a:ext uri="{FF2B5EF4-FFF2-40B4-BE49-F238E27FC236}">
              <a16:creationId xmlns:a16="http://schemas.microsoft.com/office/drawing/2014/main" id="{21B8A9E2-6AFA-7396-7FDE-48BE8AF5F9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3" name="Text Box 650">
          <a:extLst>
            <a:ext uri="{FF2B5EF4-FFF2-40B4-BE49-F238E27FC236}">
              <a16:creationId xmlns:a16="http://schemas.microsoft.com/office/drawing/2014/main" id="{C7E42ECD-3226-6100-94BB-8688B0C912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4" name="Text Box 651">
          <a:extLst>
            <a:ext uri="{FF2B5EF4-FFF2-40B4-BE49-F238E27FC236}">
              <a16:creationId xmlns:a16="http://schemas.microsoft.com/office/drawing/2014/main" id="{579D6F18-33C5-37B9-DBBE-92425A07F2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5" name="Text Box 652">
          <a:extLst>
            <a:ext uri="{FF2B5EF4-FFF2-40B4-BE49-F238E27FC236}">
              <a16:creationId xmlns:a16="http://schemas.microsoft.com/office/drawing/2014/main" id="{39A3691E-63F0-59F4-2443-F0B33215AF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6" name="Text Box 653">
          <a:extLst>
            <a:ext uri="{FF2B5EF4-FFF2-40B4-BE49-F238E27FC236}">
              <a16:creationId xmlns:a16="http://schemas.microsoft.com/office/drawing/2014/main" id="{E7878DE2-F7B5-8853-F9D9-781019A15A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7" name="Text Box 654">
          <a:extLst>
            <a:ext uri="{FF2B5EF4-FFF2-40B4-BE49-F238E27FC236}">
              <a16:creationId xmlns:a16="http://schemas.microsoft.com/office/drawing/2014/main" id="{BE5047A3-29FB-A686-8815-B992DBAB82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8" name="Text Box 655">
          <a:extLst>
            <a:ext uri="{FF2B5EF4-FFF2-40B4-BE49-F238E27FC236}">
              <a16:creationId xmlns:a16="http://schemas.microsoft.com/office/drawing/2014/main" id="{F8521F07-A5E9-1AB3-3CED-2E14391123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49" name="Text Box 656">
          <a:extLst>
            <a:ext uri="{FF2B5EF4-FFF2-40B4-BE49-F238E27FC236}">
              <a16:creationId xmlns:a16="http://schemas.microsoft.com/office/drawing/2014/main" id="{C6F679A2-7B6F-2FFC-2AA2-0D7A4395AE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0" name="Text Box 657">
          <a:extLst>
            <a:ext uri="{FF2B5EF4-FFF2-40B4-BE49-F238E27FC236}">
              <a16:creationId xmlns:a16="http://schemas.microsoft.com/office/drawing/2014/main" id="{DEDFA8DE-35A4-1500-BE37-06BA317D16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1" name="Text Box 658">
          <a:extLst>
            <a:ext uri="{FF2B5EF4-FFF2-40B4-BE49-F238E27FC236}">
              <a16:creationId xmlns:a16="http://schemas.microsoft.com/office/drawing/2014/main" id="{5C9E626A-E870-66FD-9F2E-AEFC8721DF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2" name="Text Box 659">
          <a:extLst>
            <a:ext uri="{FF2B5EF4-FFF2-40B4-BE49-F238E27FC236}">
              <a16:creationId xmlns:a16="http://schemas.microsoft.com/office/drawing/2014/main" id="{DE10E775-C3EB-895E-840B-F7667AE0F9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3" name="Text Box 660">
          <a:extLst>
            <a:ext uri="{FF2B5EF4-FFF2-40B4-BE49-F238E27FC236}">
              <a16:creationId xmlns:a16="http://schemas.microsoft.com/office/drawing/2014/main" id="{45C7873F-0AE9-CE2C-278C-C317E4B49E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4" name="Text Box 661">
          <a:extLst>
            <a:ext uri="{FF2B5EF4-FFF2-40B4-BE49-F238E27FC236}">
              <a16:creationId xmlns:a16="http://schemas.microsoft.com/office/drawing/2014/main" id="{587F6814-CD0B-C6B2-3056-1C6D485402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5" name="Text Box 662">
          <a:extLst>
            <a:ext uri="{FF2B5EF4-FFF2-40B4-BE49-F238E27FC236}">
              <a16:creationId xmlns:a16="http://schemas.microsoft.com/office/drawing/2014/main" id="{C7BD7004-76F5-BAFC-44A8-A32F902C8E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6" name="Text Box 663">
          <a:extLst>
            <a:ext uri="{FF2B5EF4-FFF2-40B4-BE49-F238E27FC236}">
              <a16:creationId xmlns:a16="http://schemas.microsoft.com/office/drawing/2014/main" id="{382914EE-9D6F-7A0A-24CA-D60FE1FEE9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7" name="Text Box 664">
          <a:extLst>
            <a:ext uri="{FF2B5EF4-FFF2-40B4-BE49-F238E27FC236}">
              <a16:creationId xmlns:a16="http://schemas.microsoft.com/office/drawing/2014/main" id="{D6813C8B-F553-B0B3-39EB-560AED9E76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8" name="Text Box 665">
          <a:extLst>
            <a:ext uri="{FF2B5EF4-FFF2-40B4-BE49-F238E27FC236}">
              <a16:creationId xmlns:a16="http://schemas.microsoft.com/office/drawing/2014/main" id="{12EAE40A-5078-9CA0-7E92-540E02F555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59" name="Text Box 666">
          <a:extLst>
            <a:ext uri="{FF2B5EF4-FFF2-40B4-BE49-F238E27FC236}">
              <a16:creationId xmlns:a16="http://schemas.microsoft.com/office/drawing/2014/main" id="{049672B0-CA0D-A47D-131B-823216E387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0" name="Text Box 667">
          <a:extLst>
            <a:ext uri="{FF2B5EF4-FFF2-40B4-BE49-F238E27FC236}">
              <a16:creationId xmlns:a16="http://schemas.microsoft.com/office/drawing/2014/main" id="{D709F6D8-4AFF-E4F3-EAAB-4914577F2D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1" name="Text Box 668">
          <a:extLst>
            <a:ext uri="{FF2B5EF4-FFF2-40B4-BE49-F238E27FC236}">
              <a16:creationId xmlns:a16="http://schemas.microsoft.com/office/drawing/2014/main" id="{CAB02B03-DB48-214E-A37F-B859E70B46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2" name="Text Box 669">
          <a:extLst>
            <a:ext uri="{FF2B5EF4-FFF2-40B4-BE49-F238E27FC236}">
              <a16:creationId xmlns:a16="http://schemas.microsoft.com/office/drawing/2014/main" id="{8BD47AA2-E0A9-0520-2B90-CB0CF59AE9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3" name="Text Box 670">
          <a:extLst>
            <a:ext uri="{FF2B5EF4-FFF2-40B4-BE49-F238E27FC236}">
              <a16:creationId xmlns:a16="http://schemas.microsoft.com/office/drawing/2014/main" id="{FF5033FA-6AFF-13D8-7A0F-BF843157B0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4" name="Text Box 671">
          <a:extLst>
            <a:ext uri="{FF2B5EF4-FFF2-40B4-BE49-F238E27FC236}">
              <a16:creationId xmlns:a16="http://schemas.microsoft.com/office/drawing/2014/main" id="{7B1F4956-CFB2-7046-C778-F60A10727D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5" name="Text Box 672">
          <a:extLst>
            <a:ext uri="{FF2B5EF4-FFF2-40B4-BE49-F238E27FC236}">
              <a16:creationId xmlns:a16="http://schemas.microsoft.com/office/drawing/2014/main" id="{0103C3BD-8C1F-8FCD-A927-A6AD5179D1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6" name="Text Box 673">
          <a:extLst>
            <a:ext uri="{FF2B5EF4-FFF2-40B4-BE49-F238E27FC236}">
              <a16:creationId xmlns:a16="http://schemas.microsoft.com/office/drawing/2014/main" id="{4479D7E7-7051-7C07-2113-3D12E76371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7" name="Text Box 674">
          <a:extLst>
            <a:ext uri="{FF2B5EF4-FFF2-40B4-BE49-F238E27FC236}">
              <a16:creationId xmlns:a16="http://schemas.microsoft.com/office/drawing/2014/main" id="{0398AE40-43E4-8A41-4952-30B1F06E07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8" name="Text Box 675">
          <a:extLst>
            <a:ext uri="{FF2B5EF4-FFF2-40B4-BE49-F238E27FC236}">
              <a16:creationId xmlns:a16="http://schemas.microsoft.com/office/drawing/2014/main" id="{5452AF88-3DAB-4050-2ECC-1D819F4560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69" name="Text Box 676">
          <a:extLst>
            <a:ext uri="{FF2B5EF4-FFF2-40B4-BE49-F238E27FC236}">
              <a16:creationId xmlns:a16="http://schemas.microsoft.com/office/drawing/2014/main" id="{BB20BB00-BEAC-512F-7E3F-E32C918318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0" name="Text Box 677">
          <a:extLst>
            <a:ext uri="{FF2B5EF4-FFF2-40B4-BE49-F238E27FC236}">
              <a16:creationId xmlns:a16="http://schemas.microsoft.com/office/drawing/2014/main" id="{8CC527FE-0FE3-6BDA-2B27-A594C8B63C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1" name="Text Box 678">
          <a:extLst>
            <a:ext uri="{FF2B5EF4-FFF2-40B4-BE49-F238E27FC236}">
              <a16:creationId xmlns:a16="http://schemas.microsoft.com/office/drawing/2014/main" id="{07F48F88-1DCD-47F0-8388-82B889252C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2" name="Text Box 679">
          <a:extLst>
            <a:ext uri="{FF2B5EF4-FFF2-40B4-BE49-F238E27FC236}">
              <a16:creationId xmlns:a16="http://schemas.microsoft.com/office/drawing/2014/main" id="{D5704CA6-D3A0-59C3-907E-0ED18D978B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3" name="Text Box 680">
          <a:extLst>
            <a:ext uri="{FF2B5EF4-FFF2-40B4-BE49-F238E27FC236}">
              <a16:creationId xmlns:a16="http://schemas.microsoft.com/office/drawing/2014/main" id="{B658D08F-7C83-77AE-005A-B16407253C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4" name="Text Box 681">
          <a:extLst>
            <a:ext uri="{FF2B5EF4-FFF2-40B4-BE49-F238E27FC236}">
              <a16:creationId xmlns:a16="http://schemas.microsoft.com/office/drawing/2014/main" id="{91072B21-7D21-231A-5F31-A376A363F9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5" name="Text Box 682">
          <a:extLst>
            <a:ext uri="{FF2B5EF4-FFF2-40B4-BE49-F238E27FC236}">
              <a16:creationId xmlns:a16="http://schemas.microsoft.com/office/drawing/2014/main" id="{DFD54F9E-9FFB-6CA7-D237-B12D7F6749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6" name="Text Box 683">
          <a:extLst>
            <a:ext uri="{FF2B5EF4-FFF2-40B4-BE49-F238E27FC236}">
              <a16:creationId xmlns:a16="http://schemas.microsoft.com/office/drawing/2014/main" id="{6EC5928C-B58E-059B-11B4-C5F60ACD00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7" name="Text Box 684">
          <a:extLst>
            <a:ext uri="{FF2B5EF4-FFF2-40B4-BE49-F238E27FC236}">
              <a16:creationId xmlns:a16="http://schemas.microsoft.com/office/drawing/2014/main" id="{ED140323-1CC8-E79A-FA80-AAEEE55705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8" name="Text Box 685">
          <a:extLst>
            <a:ext uri="{FF2B5EF4-FFF2-40B4-BE49-F238E27FC236}">
              <a16:creationId xmlns:a16="http://schemas.microsoft.com/office/drawing/2014/main" id="{4E0C5DF0-AEF0-5CFB-0A49-D3F3975162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79" name="Text Box 686">
          <a:extLst>
            <a:ext uri="{FF2B5EF4-FFF2-40B4-BE49-F238E27FC236}">
              <a16:creationId xmlns:a16="http://schemas.microsoft.com/office/drawing/2014/main" id="{3D7066A4-19D1-FEF0-0D4E-52A69681E1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0" name="Text Box 687">
          <a:extLst>
            <a:ext uri="{FF2B5EF4-FFF2-40B4-BE49-F238E27FC236}">
              <a16:creationId xmlns:a16="http://schemas.microsoft.com/office/drawing/2014/main" id="{03B8D105-3CCC-4C96-9483-A2DD73AD33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1" name="Text Box 688">
          <a:extLst>
            <a:ext uri="{FF2B5EF4-FFF2-40B4-BE49-F238E27FC236}">
              <a16:creationId xmlns:a16="http://schemas.microsoft.com/office/drawing/2014/main" id="{7F9D4F55-AE85-46A7-C463-D720DD4AE2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2" name="Text Box 689">
          <a:extLst>
            <a:ext uri="{FF2B5EF4-FFF2-40B4-BE49-F238E27FC236}">
              <a16:creationId xmlns:a16="http://schemas.microsoft.com/office/drawing/2014/main" id="{176D53C8-2E56-26AC-A811-0431E3FD59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3" name="Text Box 690">
          <a:extLst>
            <a:ext uri="{FF2B5EF4-FFF2-40B4-BE49-F238E27FC236}">
              <a16:creationId xmlns:a16="http://schemas.microsoft.com/office/drawing/2014/main" id="{37B817FF-B94C-3F48-77A3-E76C079FE6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4" name="Text Box 691">
          <a:extLst>
            <a:ext uri="{FF2B5EF4-FFF2-40B4-BE49-F238E27FC236}">
              <a16:creationId xmlns:a16="http://schemas.microsoft.com/office/drawing/2014/main" id="{F5B490CE-AA75-1E2C-340B-D0FA198452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5" name="Text Box 692">
          <a:extLst>
            <a:ext uri="{FF2B5EF4-FFF2-40B4-BE49-F238E27FC236}">
              <a16:creationId xmlns:a16="http://schemas.microsoft.com/office/drawing/2014/main" id="{EBC1FBF0-3785-FEB2-4C52-C33A7A51C6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6" name="Text Box 693">
          <a:extLst>
            <a:ext uri="{FF2B5EF4-FFF2-40B4-BE49-F238E27FC236}">
              <a16:creationId xmlns:a16="http://schemas.microsoft.com/office/drawing/2014/main" id="{4542EC09-CAE5-B836-8143-FC1D2336AF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7" name="Text Box 694">
          <a:extLst>
            <a:ext uri="{FF2B5EF4-FFF2-40B4-BE49-F238E27FC236}">
              <a16:creationId xmlns:a16="http://schemas.microsoft.com/office/drawing/2014/main" id="{716DDB98-F843-572A-6C83-2B824E48E1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8" name="Text Box 695">
          <a:extLst>
            <a:ext uri="{FF2B5EF4-FFF2-40B4-BE49-F238E27FC236}">
              <a16:creationId xmlns:a16="http://schemas.microsoft.com/office/drawing/2014/main" id="{6B38D88D-892F-B79F-0789-C8D4142EDF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89" name="Text Box 696">
          <a:extLst>
            <a:ext uri="{FF2B5EF4-FFF2-40B4-BE49-F238E27FC236}">
              <a16:creationId xmlns:a16="http://schemas.microsoft.com/office/drawing/2014/main" id="{711C5216-F176-C7ED-E40E-4789D1879D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0" name="Text Box 697">
          <a:extLst>
            <a:ext uri="{FF2B5EF4-FFF2-40B4-BE49-F238E27FC236}">
              <a16:creationId xmlns:a16="http://schemas.microsoft.com/office/drawing/2014/main" id="{9F848092-43AD-386D-CB0E-071A3ECE2E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1" name="Text Box 698">
          <a:extLst>
            <a:ext uri="{FF2B5EF4-FFF2-40B4-BE49-F238E27FC236}">
              <a16:creationId xmlns:a16="http://schemas.microsoft.com/office/drawing/2014/main" id="{0B81412A-D50A-2A6F-8425-F73FFA6806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2" name="Text Box 699">
          <a:extLst>
            <a:ext uri="{FF2B5EF4-FFF2-40B4-BE49-F238E27FC236}">
              <a16:creationId xmlns:a16="http://schemas.microsoft.com/office/drawing/2014/main" id="{470A3407-B9C1-CE7D-63F9-C2CF519BFA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3" name="Text Box 700">
          <a:extLst>
            <a:ext uri="{FF2B5EF4-FFF2-40B4-BE49-F238E27FC236}">
              <a16:creationId xmlns:a16="http://schemas.microsoft.com/office/drawing/2014/main" id="{02A8F272-C958-1D2D-1F17-DC8ACDF115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4" name="Text Box 701">
          <a:extLst>
            <a:ext uri="{FF2B5EF4-FFF2-40B4-BE49-F238E27FC236}">
              <a16:creationId xmlns:a16="http://schemas.microsoft.com/office/drawing/2014/main" id="{2BE9A7B7-6F2D-39E3-4F77-9510379103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5" name="Text Box 702">
          <a:extLst>
            <a:ext uri="{FF2B5EF4-FFF2-40B4-BE49-F238E27FC236}">
              <a16:creationId xmlns:a16="http://schemas.microsoft.com/office/drawing/2014/main" id="{8189F473-C745-DF12-2F7F-323AD05460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6" name="Text Box 703">
          <a:extLst>
            <a:ext uri="{FF2B5EF4-FFF2-40B4-BE49-F238E27FC236}">
              <a16:creationId xmlns:a16="http://schemas.microsoft.com/office/drawing/2014/main" id="{9BF31589-22DF-1B50-240A-8005E7057B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7" name="Text Box 704">
          <a:extLst>
            <a:ext uri="{FF2B5EF4-FFF2-40B4-BE49-F238E27FC236}">
              <a16:creationId xmlns:a16="http://schemas.microsoft.com/office/drawing/2014/main" id="{C7D2C3E5-F355-5D8E-6751-C19A21CC6A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8" name="Text Box 705">
          <a:extLst>
            <a:ext uri="{FF2B5EF4-FFF2-40B4-BE49-F238E27FC236}">
              <a16:creationId xmlns:a16="http://schemas.microsoft.com/office/drawing/2014/main" id="{17A81ADE-1289-30BF-7D57-BE6B643C9C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899" name="Text Box 706">
          <a:extLst>
            <a:ext uri="{FF2B5EF4-FFF2-40B4-BE49-F238E27FC236}">
              <a16:creationId xmlns:a16="http://schemas.microsoft.com/office/drawing/2014/main" id="{A0D25956-02F9-D06A-BA0A-5656351EDF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0" name="Text Box 707">
          <a:extLst>
            <a:ext uri="{FF2B5EF4-FFF2-40B4-BE49-F238E27FC236}">
              <a16:creationId xmlns:a16="http://schemas.microsoft.com/office/drawing/2014/main" id="{07A2F667-8260-5C15-54D3-4BC36DEAC2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1" name="Text Box 708">
          <a:extLst>
            <a:ext uri="{FF2B5EF4-FFF2-40B4-BE49-F238E27FC236}">
              <a16:creationId xmlns:a16="http://schemas.microsoft.com/office/drawing/2014/main" id="{06622115-D5C1-B5FC-3173-582C68BDA1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2" name="Text Box 709">
          <a:extLst>
            <a:ext uri="{FF2B5EF4-FFF2-40B4-BE49-F238E27FC236}">
              <a16:creationId xmlns:a16="http://schemas.microsoft.com/office/drawing/2014/main" id="{95D889A0-060C-F9E1-0F87-1D86FC273B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3" name="Text Box 710">
          <a:extLst>
            <a:ext uri="{FF2B5EF4-FFF2-40B4-BE49-F238E27FC236}">
              <a16:creationId xmlns:a16="http://schemas.microsoft.com/office/drawing/2014/main" id="{A4A90DEC-1428-26D6-425E-A7D9DCCB31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4" name="Text Box 711">
          <a:extLst>
            <a:ext uri="{FF2B5EF4-FFF2-40B4-BE49-F238E27FC236}">
              <a16:creationId xmlns:a16="http://schemas.microsoft.com/office/drawing/2014/main" id="{E7E5DC81-E6E2-DCBC-A8DA-0A3A226177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5" name="Text Box 713">
          <a:extLst>
            <a:ext uri="{FF2B5EF4-FFF2-40B4-BE49-F238E27FC236}">
              <a16:creationId xmlns:a16="http://schemas.microsoft.com/office/drawing/2014/main" id="{C00360A0-1B56-C07F-015A-4FAACCDBBD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6" name="Text Box 715">
          <a:extLst>
            <a:ext uri="{FF2B5EF4-FFF2-40B4-BE49-F238E27FC236}">
              <a16:creationId xmlns:a16="http://schemas.microsoft.com/office/drawing/2014/main" id="{7C7F697B-C0A1-7BBD-75EE-F8A401C7CF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7" name="Text Box 716">
          <a:extLst>
            <a:ext uri="{FF2B5EF4-FFF2-40B4-BE49-F238E27FC236}">
              <a16:creationId xmlns:a16="http://schemas.microsoft.com/office/drawing/2014/main" id="{45ECC21D-DC8D-5BBF-4D96-E0C4B0987E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8" name="Text Box 717">
          <a:extLst>
            <a:ext uri="{FF2B5EF4-FFF2-40B4-BE49-F238E27FC236}">
              <a16:creationId xmlns:a16="http://schemas.microsoft.com/office/drawing/2014/main" id="{2E906871-2D47-C37D-DF17-70976A1A8F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09" name="Text Box 718">
          <a:extLst>
            <a:ext uri="{FF2B5EF4-FFF2-40B4-BE49-F238E27FC236}">
              <a16:creationId xmlns:a16="http://schemas.microsoft.com/office/drawing/2014/main" id="{1864FE38-1579-7CFB-A5FB-025297BA48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0" name="Text Box 719">
          <a:extLst>
            <a:ext uri="{FF2B5EF4-FFF2-40B4-BE49-F238E27FC236}">
              <a16:creationId xmlns:a16="http://schemas.microsoft.com/office/drawing/2014/main" id="{7F383863-C86A-D204-A99A-F0BEC87256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1" name="Text Box 720">
          <a:extLst>
            <a:ext uri="{FF2B5EF4-FFF2-40B4-BE49-F238E27FC236}">
              <a16:creationId xmlns:a16="http://schemas.microsoft.com/office/drawing/2014/main" id="{B2327A9B-4298-C3A9-471F-89DFD9225A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2" name="Text Box 721">
          <a:extLst>
            <a:ext uri="{FF2B5EF4-FFF2-40B4-BE49-F238E27FC236}">
              <a16:creationId xmlns:a16="http://schemas.microsoft.com/office/drawing/2014/main" id="{279CB889-4026-A205-452B-9F2C802968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3" name="Text Box 722">
          <a:extLst>
            <a:ext uri="{FF2B5EF4-FFF2-40B4-BE49-F238E27FC236}">
              <a16:creationId xmlns:a16="http://schemas.microsoft.com/office/drawing/2014/main" id="{E42341FB-8401-EC4D-D2DF-72603DE2E9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4" name="Text Box 723">
          <a:extLst>
            <a:ext uri="{FF2B5EF4-FFF2-40B4-BE49-F238E27FC236}">
              <a16:creationId xmlns:a16="http://schemas.microsoft.com/office/drawing/2014/main" id="{DE6ACE3E-D857-58BC-7EF8-AD4F9BB519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5" name="Text Box 724">
          <a:extLst>
            <a:ext uri="{FF2B5EF4-FFF2-40B4-BE49-F238E27FC236}">
              <a16:creationId xmlns:a16="http://schemas.microsoft.com/office/drawing/2014/main" id="{7042FF79-D540-4F92-C3C2-6B9F437223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6" name="Text Box 725">
          <a:extLst>
            <a:ext uri="{FF2B5EF4-FFF2-40B4-BE49-F238E27FC236}">
              <a16:creationId xmlns:a16="http://schemas.microsoft.com/office/drawing/2014/main" id="{56D9A430-C464-A0EE-DB5E-FAD720327E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7" name="Text Box 726">
          <a:extLst>
            <a:ext uri="{FF2B5EF4-FFF2-40B4-BE49-F238E27FC236}">
              <a16:creationId xmlns:a16="http://schemas.microsoft.com/office/drawing/2014/main" id="{24D705E2-20DF-FE6E-03B5-3656CFD186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8" name="Text Box 727">
          <a:extLst>
            <a:ext uri="{FF2B5EF4-FFF2-40B4-BE49-F238E27FC236}">
              <a16:creationId xmlns:a16="http://schemas.microsoft.com/office/drawing/2014/main" id="{CA711906-55B6-CEC2-1462-7678C74560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19" name="Text Box 728">
          <a:extLst>
            <a:ext uri="{FF2B5EF4-FFF2-40B4-BE49-F238E27FC236}">
              <a16:creationId xmlns:a16="http://schemas.microsoft.com/office/drawing/2014/main" id="{0D475A5E-5135-A4A4-84B8-B480708068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0" name="Text Box 729">
          <a:extLst>
            <a:ext uri="{FF2B5EF4-FFF2-40B4-BE49-F238E27FC236}">
              <a16:creationId xmlns:a16="http://schemas.microsoft.com/office/drawing/2014/main" id="{A5D66191-2F4A-3995-CAE2-CC5182B1FF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1" name="Text Box 730">
          <a:extLst>
            <a:ext uri="{FF2B5EF4-FFF2-40B4-BE49-F238E27FC236}">
              <a16:creationId xmlns:a16="http://schemas.microsoft.com/office/drawing/2014/main" id="{A018CC6A-7D58-120C-2749-8858028994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2" name="Text Box 731">
          <a:extLst>
            <a:ext uri="{FF2B5EF4-FFF2-40B4-BE49-F238E27FC236}">
              <a16:creationId xmlns:a16="http://schemas.microsoft.com/office/drawing/2014/main" id="{774AA59A-08EC-7588-092E-7D14CC9EC6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3" name="Text Box 732">
          <a:extLst>
            <a:ext uri="{FF2B5EF4-FFF2-40B4-BE49-F238E27FC236}">
              <a16:creationId xmlns:a16="http://schemas.microsoft.com/office/drawing/2014/main" id="{04EA9F36-23E0-3A74-B1E0-B58212A4FB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4" name="Text Box 733">
          <a:extLst>
            <a:ext uri="{FF2B5EF4-FFF2-40B4-BE49-F238E27FC236}">
              <a16:creationId xmlns:a16="http://schemas.microsoft.com/office/drawing/2014/main" id="{6144412E-B285-54AE-33DF-D9D7FBB1D0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5" name="Text Box 734">
          <a:extLst>
            <a:ext uri="{FF2B5EF4-FFF2-40B4-BE49-F238E27FC236}">
              <a16:creationId xmlns:a16="http://schemas.microsoft.com/office/drawing/2014/main" id="{5A74B5C6-940A-4511-7E6D-9F01C74EBF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6" name="Text Box 735">
          <a:extLst>
            <a:ext uri="{FF2B5EF4-FFF2-40B4-BE49-F238E27FC236}">
              <a16:creationId xmlns:a16="http://schemas.microsoft.com/office/drawing/2014/main" id="{1199E490-0B47-9192-86E2-417C5F22EA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7" name="Text Box 736">
          <a:extLst>
            <a:ext uri="{FF2B5EF4-FFF2-40B4-BE49-F238E27FC236}">
              <a16:creationId xmlns:a16="http://schemas.microsoft.com/office/drawing/2014/main" id="{896E01DA-9D78-BA49-5265-ACC64822A4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8" name="Text Box 737">
          <a:extLst>
            <a:ext uri="{FF2B5EF4-FFF2-40B4-BE49-F238E27FC236}">
              <a16:creationId xmlns:a16="http://schemas.microsoft.com/office/drawing/2014/main" id="{6A783294-FE6F-DE52-AAB7-F6ED0FF15A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29" name="Text Box 738">
          <a:extLst>
            <a:ext uri="{FF2B5EF4-FFF2-40B4-BE49-F238E27FC236}">
              <a16:creationId xmlns:a16="http://schemas.microsoft.com/office/drawing/2014/main" id="{A7CC80B4-9BFF-6F5D-C3F7-0FD89F59F0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0" name="Text Box 739">
          <a:extLst>
            <a:ext uri="{FF2B5EF4-FFF2-40B4-BE49-F238E27FC236}">
              <a16:creationId xmlns:a16="http://schemas.microsoft.com/office/drawing/2014/main" id="{82BB8357-E8EB-84FE-5363-B0C6793B45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1" name="Text Box 740">
          <a:extLst>
            <a:ext uri="{FF2B5EF4-FFF2-40B4-BE49-F238E27FC236}">
              <a16:creationId xmlns:a16="http://schemas.microsoft.com/office/drawing/2014/main" id="{C692EBFE-B171-AAAF-C16F-99EB2F5AAA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2" name="Text Box 741">
          <a:extLst>
            <a:ext uri="{FF2B5EF4-FFF2-40B4-BE49-F238E27FC236}">
              <a16:creationId xmlns:a16="http://schemas.microsoft.com/office/drawing/2014/main" id="{1D548361-8BDE-E8BB-A910-08037D11A4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3" name="Text Box 742">
          <a:extLst>
            <a:ext uri="{FF2B5EF4-FFF2-40B4-BE49-F238E27FC236}">
              <a16:creationId xmlns:a16="http://schemas.microsoft.com/office/drawing/2014/main" id="{E176B1C3-EC87-45C3-F2C1-BC0018397B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4" name="Text Box 743">
          <a:extLst>
            <a:ext uri="{FF2B5EF4-FFF2-40B4-BE49-F238E27FC236}">
              <a16:creationId xmlns:a16="http://schemas.microsoft.com/office/drawing/2014/main" id="{B6331A0E-E0F2-0067-ADE5-67C7DCC04E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5" name="Text Box 744">
          <a:extLst>
            <a:ext uri="{FF2B5EF4-FFF2-40B4-BE49-F238E27FC236}">
              <a16:creationId xmlns:a16="http://schemas.microsoft.com/office/drawing/2014/main" id="{4D5B132F-7036-F654-A722-1543417648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6" name="Text Box 745">
          <a:extLst>
            <a:ext uri="{FF2B5EF4-FFF2-40B4-BE49-F238E27FC236}">
              <a16:creationId xmlns:a16="http://schemas.microsoft.com/office/drawing/2014/main" id="{E411F285-D284-02B4-6712-F7B0FC82A0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7" name="Text Box 746">
          <a:extLst>
            <a:ext uri="{FF2B5EF4-FFF2-40B4-BE49-F238E27FC236}">
              <a16:creationId xmlns:a16="http://schemas.microsoft.com/office/drawing/2014/main" id="{40385BCC-2F21-CB3C-E3B3-5E202936B1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8" name="Text Box 747">
          <a:extLst>
            <a:ext uri="{FF2B5EF4-FFF2-40B4-BE49-F238E27FC236}">
              <a16:creationId xmlns:a16="http://schemas.microsoft.com/office/drawing/2014/main" id="{01625F56-6C85-9F27-F975-E50C6C33CA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39" name="Text Box 748">
          <a:extLst>
            <a:ext uri="{FF2B5EF4-FFF2-40B4-BE49-F238E27FC236}">
              <a16:creationId xmlns:a16="http://schemas.microsoft.com/office/drawing/2014/main" id="{5B1476DE-73D6-161B-78C3-C1E01DA45B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0" name="Text Box 749">
          <a:extLst>
            <a:ext uri="{FF2B5EF4-FFF2-40B4-BE49-F238E27FC236}">
              <a16:creationId xmlns:a16="http://schemas.microsoft.com/office/drawing/2014/main" id="{1D1A10DF-11F9-0484-037E-601EB4793A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1" name="Text Box 750">
          <a:extLst>
            <a:ext uri="{FF2B5EF4-FFF2-40B4-BE49-F238E27FC236}">
              <a16:creationId xmlns:a16="http://schemas.microsoft.com/office/drawing/2014/main" id="{88D13C04-7C4E-772D-4820-600BD8C23A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2" name="Text Box 751">
          <a:extLst>
            <a:ext uri="{FF2B5EF4-FFF2-40B4-BE49-F238E27FC236}">
              <a16:creationId xmlns:a16="http://schemas.microsoft.com/office/drawing/2014/main" id="{BE36F190-4387-9CF9-A49F-B34889AB23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3" name="Text Box 752">
          <a:extLst>
            <a:ext uri="{FF2B5EF4-FFF2-40B4-BE49-F238E27FC236}">
              <a16:creationId xmlns:a16="http://schemas.microsoft.com/office/drawing/2014/main" id="{5129175C-6F00-1E6E-2055-F61B51C851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4" name="Text Box 753">
          <a:extLst>
            <a:ext uri="{FF2B5EF4-FFF2-40B4-BE49-F238E27FC236}">
              <a16:creationId xmlns:a16="http://schemas.microsoft.com/office/drawing/2014/main" id="{BA63846B-E2A1-5532-D2CA-DDAD8066D2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5" name="Text Box 754">
          <a:extLst>
            <a:ext uri="{FF2B5EF4-FFF2-40B4-BE49-F238E27FC236}">
              <a16:creationId xmlns:a16="http://schemas.microsoft.com/office/drawing/2014/main" id="{A6213C83-6463-8541-3AAE-C61AAE1AC6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6" name="Text Box 755">
          <a:extLst>
            <a:ext uri="{FF2B5EF4-FFF2-40B4-BE49-F238E27FC236}">
              <a16:creationId xmlns:a16="http://schemas.microsoft.com/office/drawing/2014/main" id="{631D42BE-16A0-111B-66B0-080E58281A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7" name="Text Box 756">
          <a:extLst>
            <a:ext uri="{FF2B5EF4-FFF2-40B4-BE49-F238E27FC236}">
              <a16:creationId xmlns:a16="http://schemas.microsoft.com/office/drawing/2014/main" id="{3E098969-EAD3-55C1-A6C0-FD46D990C4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8" name="Text Box 757">
          <a:extLst>
            <a:ext uri="{FF2B5EF4-FFF2-40B4-BE49-F238E27FC236}">
              <a16:creationId xmlns:a16="http://schemas.microsoft.com/office/drawing/2014/main" id="{DDB40436-50B1-58D3-DC2E-09124DA790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49" name="Text Box 758">
          <a:extLst>
            <a:ext uri="{FF2B5EF4-FFF2-40B4-BE49-F238E27FC236}">
              <a16:creationId xmlns:a16="http://schemas.microsoft.com/office/drawing/2014/main" id="{24D7B5CE-9B81-D097-25EC-0D1EB06CB3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0" name="Text Box 759">
          <a:extLst>
            <a:ext uri="{FF2B5EF4-FFF2-40B4-BE49-F238E27FC236}">
              <a16:creationId xmlns:a16="http://schemas.microsoft.com/office/drawing/2014/main" id="{E940C5D6-09F8-12A2-3286-D8DD5B8793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1" name="Text Box 760">
          <a:extLst>
            <a:ext uri="{FF2B5EF4-FFF2-40B4-BE49-F238E27FC236}">
              <a16:creationId xmlns:a16="http://schemas.microsoft.com/office/drawing/2014/main" id="{7A60FF3E-E9FE-5721-B137-EEBDF3E5E0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2" name="Text Box 761">
          <a:extLst>
            <a:ext uri="{FF2B5EF4-FFF2-40B4-BE49-F238E27FC236}">
              <a16:creationId xmlns:a16="http://schemas.microsoft.com/office/drawing/2014/main" id="{DE7F1B70-8C80-602E-4D19-4752FF5D0B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3" name="Text Box 762">
          <a:extLst>
            <a:ext uri="{FF2B5EF4-FFF2-40B4-BE49-F238E27FC236}">
              <a16:creationId xmlns:a16="http://schemas.microsoft.com/office/drawing/2014/main" id="{80C1AE05-7482-5960-D400-2FC56C9816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4" name="Text Box 763">
          <a:extLst>
            <a:ext uri="{FF2B5EF4-FFF2-40B4-BE49-F238E27FC236}">
              <a16:creationId xmlns:a16="http://schemas.microsoft.com/office/drawing/2014/main" id="{D4022F71-E8D2-EE4E-A607-922BEA5F4B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5" name="Text Box 764">
          <a:extLst>
            <a:ext uri="{FF2B5EF4-FFF2-40B4-BE49-F238E27FC236}">
              <a16:creationId xmlns:a16="http://schemas.microsoft.com/office/drawing/2014/main" id="{67A4DFF9-CD89-D636-D89C-2253AB7EEE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6" name="Text Box 765">
          <a:extLst>
            <a:ext uri="{FF2B5EF4-FFF2-40B4-BE49-F238E27FC236}">
              <a16:creationId xmlns:a16="http://schemas.microsoft.com/office/drawing/2014/main" id="{A5FC377E-D809-5497-19EA-63E051EA23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7" name="Text Box 766">
          <a:extLst>
            <a:ext uri="{FF2B5EF4-FFF2-40B4-BE49-F238E27FC236}">
              <a16:creationId xmlns:a16="http://schemas.microsoft.com/office/drawing/2014/main" id="{931556EE-8ED4-33A0-9A0F-8730AA5E3B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8" name="Text Box 767">
          <a:extLst>
            <a:ext uri="{FF2B5EF4-FFF2-40B4-BE49-F238E27FC236}">
              <a16:creationId xmlns:a16="http://schemas.microsoft.com/office/drawing/2014/main" id="{60FC92E7-E38D-3CB0-93EB-087FFD14D2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59" name="Text Box 768">
          <a:extLst>
            <a:ext uri="{FF2B5EF4-FFF2-40B4-BE49-F238E27FC236}">
              <a16:creationId xmlns:a16="http://schemas.microsoft.com/office/drawing/2014/main" id="{7CC62837-DD7E-6938-5067-68DCDBDC17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0" name="Text Box 769">
          <a:extLst>
            <a:ext uri="{FF2B5EF4-FFF2-40B4-BE49-F238E27FC236}">
              <a16:creationId xmlns:a16="http://schemas.microsoft.com/office/drawing/2014/main" id="{325C73CF-1F0E-0F86-0997-AE1F495C25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1" name="Text Box 770">
          <a:extLst>
            <a:ext uri="{FF2B5EF4-FFF2-40B4-BE49-F238E27FC236}">
              <a16:creationId xmlns:a16="http://schemas.microsoft.com/office/drawing/2014/main" id="{DFD09BA3-2264-8E7F-D785-D355690FA7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2" name="Text Box 771">
          <a:extLst>
            <a:ext uri="{FF2B5EF4-FFF2-40B4-BE49-F238E27FC236}">
              <a16:creationId xmlns:a16="http://schemas.microsoft.com/office/drawing/2014/main" id="{8B275DE0-3BF6-BF81-3754-EB53AEA6C5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3" name="Text Box 772">
          <a:extLst>
            <a:ext uri="{FF2B5EF4-FFF2-40B4-BE49-F238E27FC236}">
              <a16:creationId xmlns:a16="http://schemas.microsoft.com/office/drawing/2014/main" id="{83769CF5-06D2-B022-3C1C-736B44ACD7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4" name="Text Box 773">
          <a:extLst>
            <a:ext uri="{FF2B5EF4-FFF2-40B4-BE49-F238E27FC236}">
              <a16:creationId xmlns:a16="http://schemas.microsoft.com/office/drawing/2014/main" id="{B8C5E8EF-165D-55EE-FD98-321A328DB4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5" name="Text Box 774">
          <a:extLst>
            <a:ext uri="{FF2B5EF4-FFF2-40B4-BE49-F238E27FC236}">
              <a16:creationId xmlns:a16="http://schemas.microsoft.com/office/drawing/2014/main" id="{280CEC0E-BA4C-6741-87AB-94DD60B46B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6" name="Text Box 775">
          <a:extLst>
            <a:ext uri="{FF2B5EF4-FFF2-40B4-BE49-F238E27FC236}">
              <a16:creationId xmlns:a16="http://schemas.microsoft.com/office/drawing/2014/main" id="{0A527A04-31CB-B95B-7590-B23D85E13E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7" name="Text Box 776">
          <a:extLst>
            <a:ext uri="{FF2B5EF4-FFF2-40B4-BE49-F238E27FC236}">
              <a16:creationId xmlns:a16="http://schemas.microsoft.com/office/drawing/2014/main" id="{9025772D-5D88-FB2C-9D69-E9426B004C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8" name="Text Box 777">
          <a:extLst>
            <a:ext uri="{FF2B5EF4-FFF2-40B4-BE49-F238E27FC236}">
              <a16:creationId xmlns:a16="http://schemas.microsoft.com/office/drawing/2014/main" id="{FD0BD744-7B52-A173-E4AC-693FFFE890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69" name="Text Box 778">
          <a:extLst>
            <a:ext uri="{FF2B5EF4-FFF2-40B4-BE49-F238E27FC236}">
              <a16:creationId xmlns:a16="http://schemas.microsoft.com/office/drawing/2014/main" id="{0FFBFCBB-D4BD-C0F0-476F-D3F8789DC8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0" name="Text Box 779">
          <a:extLst>
            <a:ext uri="{FF2B5EF4-FFF2-40B4-BE49-F238E27FC236}">
              <a16:creationId xmlns:a16="http://schemas.microsoft.com/office/drawing/2014/main" id="{C729DAF2-C536-6183-FB10-D82479F22C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1" name="Text Box 780">
          <a:extLst>
            <a:ext uri="{FF2B5EF4-FFF2-40B4-BE49-F238E27FC236}">
              <a16:creationId xmlns:a16="http://schemas.microsoft.com/office/drawing/2014/main" id="{8A53E8D1-F84A-9D65-5D7F-E796315C91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2" name="Text Box 781">
          <a:extLst>
            <a:ext uri="{FF2B5EF4-FFF2-40B4-BE49-F238E27FC236}">
              <a16:creationId xmlns:a16="http://schemas.microsoft.com/office/drawing/2014/main" id="{9DBD226F-E378-F5F5-0E47-BC9818E44B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3" name="Text Box 782">
          <a:extLst>
            <a:ext uri="{FF2B5EF4-FFF2-40B4-BE49-F238E27FC236}">
              <a16:creationId xmlns:a16="http://schemas.microsoft.com/office/drawing/2014/main" id="{A268BEB0-7852-0460-99BA-3AA0B71B8A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4" name="Text Box 783">
          <a:extLst>
            <a:ext uri="{FF2B5EF4-FFF2-40B4-BE49-F238E27FC236}">
              <a16:creationId xmlns:a16="http://schemas.microsoft.com/office/drawing/2014/main" id="{3D59FD19-A996-B876-6B39-43514A7400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5" name="Text Box 784">
          <a:extLst>
            <a:ext uri="{FF2B5EF4-FFF2-40B4-BE49-F238E27FC236}">
              <a16:creationId xmlns:a16="http://schemas.microsoft.com/office/drawing/2014/main" id="{996A16C7-6A2D-90CC-3B30-CF8B8D62BF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6" name="Text Box 785">
          <a:extLst>
            <a:ext uri="{FF2B5EF4-FFF2-40B4-BE49-F238E27FC236}">
              <a16:creationId xmlns:a16="http://schemas.microsoft.com/office/drawing/2014/main" id="{0B85B103-D56E-60E4-621A-946DAE9469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7" name="Text Box 786">
          <a:extLst>
            <a:ext uri="{FF2B5EF4-FFF2-40B4-BE49-F238E27FC236}">
              <a16:creationId xmlns:a16="http://schemas.microsoft.com/office/drawing/2014/main" id="{EE0440C4-F23F-46FB-7C10-CAB1D11EDE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8" name="Text Box 787">
          <a:extLst>
            <a:ext uri="{FF2B5EF4-FFF2-40B4-BE49-F238E27FC236}">
              <a16:creationId xmlns:a16="http://schemas.microsoft.com/office/drawing/2014/main" id="{4C202F60-541C-25F0-D445-3B4D455F57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79" name="Text Box 788">
          <a:extLst>
            <a:ext uri="{FF2B5EF4-FFF2-40B4-BE49-F238E27FC236}">
              <a16:creationId xmlns:a16="http://schemas.microsoft.com/office/drawing/2014/main" id="{2E522517-E0F1-B27E-98AE-79DAE81729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0" name="Text Box 789">
          <a:extLst>
            <a:ext uri="{FF2B5EF4-FFF2-40B4-BE49-F238E27FC236}">
              <a16:creationId xmlns:a16="http://schemas.microsoft.com/office/drawing/2014/main" id="{453EB7A5-9437-2577-6BB1-080B1A95AC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1" name="Text Box 790">
          <a:extLst>
            <a:ext uri="{FF2B5EF4-FFF2-40B4-BE49-F238E27FC236}">
              <a16:creationId xmlns:a16="http://schemas.microsoft.com/office/drawing/2014/main" id="{77F9C04A-0EDA-3769-4EAB-BC3875FBD9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2" name="Text Box 791">
          <a:extLst>
            <a:ext uri="{FF2B5EF4-FFF2-40B4-BE49-F238E27FC236}">
              <a16:creationId xmlns:a16="http://schemas.microsoft.com/office/drawing/2014/main" id="{5B85EC09-BEA1-D481-2C9D-1DA4957E8F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3" name="Text Box 792">
          <a:extLst>
            <a:ext uri="{FF2B5EF4-FFF2-40B4-BE49-F238E27FC236}">
              <a16:creationId xmlns:a16="http://schemas.microsoft.com/office/drawing/2014/main" id="{DA000043-60A3-12FD-CAB4-9B4384CE17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4" name="Text Box 793">
          <a:extLst>
            <a:ext uri="{FF2B5EF4-FFF2-40B4-BE49-F238E27FC236}">
              <a16:creationId xmlns:a16="http://schemas.microsoft.com/office/drawing/2014/main" id="{AAF50315-21AE-F91F-066A-7FF09F9401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5" name="Text Box 794">
          <a:extLst>
            <a:ext uri="{FF2B5EF4-FFF2-40B4-BE49-F238E27FC236}">
              <a16:creationId xmlns:a16="http://schemas.microsoft.com/office/drawing/2014/main" id="{EF9154AF-A011-49BC-AD1B-D6B604C66A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6" name="Text Box 795">
          <a:extLst>
            <a:ext uri="{FF2B5EF4-FFF2-40B4-BE49-F238E27FC236}">
              <a16:creationId xmlns:a16="http://schemas.microsoft.com/office/drawing/2014/main" id="{6D8A9E0D-EDAF-09E2-3FF5-2A47D99123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7" name="Text Box 796">
          <a:extLst>
            <a:ext uri="{FF2B5EF4-FFF2-40B4-BE49-F238E27FC236}">
              <a16:creationId xmlns:a16="http://schemas.microsoft.com/office/drawing/2014/main" id="{F190734C-B0CF-908A-57E2-E84ABDCFB8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8" name="Text Box 797">
          <a:extLst>
            <a:ext uri="{FF2B5EF4-FFF2-40B4-BE49-F238E27FC236}">
              <a16:creationId xmlns:a16="http://schemas.microsoft.com/office/drawing/2014/main" id="{F693AC4A-B20C-050A-EF19-D7C6719E82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89" name="Text Box 798">
          <a:extLst>
            <a:ext uri="{FF2B5EF4-FFF2-40B4-BE49-F238E27FC236}">
              <a16:creationId xmlns:a16="http://schemas.microsoft.com/office/drawing/2014/main" id="{4A61E2A8-0828-CD28-D21D-5AE143D805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0" name="Text Box 799">
          <a:extLst>
            <a:ext uri="{FF2B5EF4-FFF2-40B4-BE49-F238E27FC236}">
              <a16:creationId xmlns:a16="http://schemas.microsoft.com/office/drawing/2014/main" id="{339D7E44-F2E3-F866-1F2E-61FB015F70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1" name="Text Box 800">
          <a:extLst>
            <a:ext uri="{FF2B5EF4-FFF2-40B4-BE49-F238E27FC236}">
              <a16:creationId xmlns:a16="http://schemas.microsoft.com/office/drawing/2014/main" id="{03F452EC-99AD-4922-D260-BCF5688F97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2" name="Text Box 801">
          <a:extLst>
            <a:ext uri="{FF2B5EF4-FFF2-40B4-BE49-F238E27FC236}">
              <a16:creationId xmlns:a16="http://schemas.microsoft.com/office/drawing/2014/main" id="{856B9DED-2492-FB7E-C9D7-0AADC416A3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3" name="Text Box 802">
          <a:extLst>
            <a:ext uri="{FF2B5EF4-FFF2-40B4-BE49-F238E27FC236}">
              <a16:creationId xmlns:a16="http://schemas.microsoft.com/office/drawing/2014/main" id="{1997322F-0557-77F2-92DD-F2FD1E3F28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4" name="Text Box 803">
          <a:extLst>
            <a:ext uri="{FF2B5EF4-FFF2-40B4-BE49-F238E27FC236}">
              <a16:creationId xmlns:a16="http://schemas.microsoft.com/office/drawing/2014/main" id="{04965E09-913A-5EB0-F362-01BF7DD10E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5" name="Text Box 804">
          <a:extLst>
            <a:ext uri="{FF2B5EF4-FFF2-40B4-BE49-F238E27FC236}">
              <a16:creationId xmlns:a16="http://schemas.microsoft.com/office/drawing/2014/main" id="{C431B253-266A-D6FC-9C44-B2ACAD2752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6" name="Text Box 805">
          <a:extLst>
            <a:ext uri="{FF2B5EF4-FFF2-40B4-BE49-F238E27FC236}">
              <a16:creationId xmlns:a16="http://schemas.microsoft.com/office/drawing/2014/main" id="{BD9EBB05-BE9B-B560-5E35-2B0685F0FE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7" name="Text Box 806">
          <a:extLst>
            <a:ext uri="{FF2B5EF4-FFF2-40B4-BE49-F238E27FC236}">
              <a16:creationId xmlns:a16="http://schemas.microsoft.com/office/drawing/2014/main" id="{51270B44-824A-C3B6-B482-3AF8F666D19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8" name="Text Box 807">
          <a:extLst>
            <a:ext uri="{FF2B5EF4-FFF2-40B4-BE49-F238E27FC236}">
              <a16:creationId xmlns:a16="http://schemas.microsoft.com/office/drawing/2014/main" id="{480D41DE-038D-0CD3-8DB9-B4419FFBB2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0999" name="Text Box 808">
          <a:extLst>
            <a:ext uri="{FF2B5EF4-FFF2-40B4-BE49-F238E27FC236}">
              <a16:creationId xmlns:a16="http://schemas.microsoft.com/office/drawing/2014/main" id="{41CCEDA3-BF4D-2239-C0E9-A1043DC92F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0" name="Text Box 809">
          <a:extLst>
            <a:ext uri="{FF2B5EF4-FFF2-40B4-BE49-F238E27FC236}">
              <a16:creationId xmlns:a16="http://schemas.microsoft.com/office/drawing/2014/main" id="{C630822C-53E0-5540-6B74-DD458A6A83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1" name="Text Box 810">
          <a:extLst>
            <a:ext uri="{FF2B5EF4-FFF2-40B4-BE49-F238E27FC236}">
              <a16:creationId xmlns:a16="http://schemas.microsoft.com/office/drawing/2014/main" id="{F8FB2DD4-7957-A6E9-FFF9-4FBDB6C20D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2" name="Text Box 811">
          <a:extLst>
            <a:ext uri="{FF2B5EF4-FFF2-40B4-BE49-F238E27FC236}">
              <a16:creationId xmlns:a16="http://schemas.microsoft.com/office/drawing/2014/main" id="{33FB7909-8F58-87FB-3D03-D7E65C1DA7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3" name="Text Box 812">
          <a:extLst>
            <a:ext uri="{FF2B5EF4-FFF2-40B4-BE49-F238E27FC236}">
              <a16:creationId xmlns:a16="http://schemas.microsoft.com/office/drawing/2014/main" id="{26A42B80-6247-D4E5-7908-D1076116AA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4" name="Text Box 813">
          <a:extLst>
            <a:ext uri="{FF2B5EF4-FFF2-40B4-BE49-F238E27FC236}">
              <a16:creationId xmlns:a16="http://schemas.microsoft.com/office/drawing/2014/main" id="{E05E05BC-1A6B-6FC6-5DA4-FB6844A050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5" name="Text Box 814">
          <a:extLst>
            <a:ext uri="{FF2B5EF4-FFF2-40B4-BE49-F238E27FC236}">
              <a16:creationId xmlns:a16="http://schemas.microsoft.com/office/drawing/2014/main" id="{6FB1ABC8-D244-F756-F486-6145AB9B50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6" name="Text Box 815">
          <a:extLst>
            <a:ext uri="{FF2B5EF4-FFF2-40B4-BE49-F238E27FC236}">
              <a16:creationId xmlns:a16="http://schemas.microsoft.com/office/drawing/2014/main" id="{AF3BFE9E-4368-7601-25EF-F252109137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7" name="Text Box 816">
          <a:extLst>
            <a:ext uri="{FF2B5EF4-FFF2-40B4-BE49-F238E27FC236}">
              <a16:creationId xmlns:a16="http://schemas.microsoft.com/office/drawing/2014/main" id="{301B85DD-9ADD-1715-0259-7D102C4F44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8" name="Text Box 817">
          <a:extLst>
            <a:ext uri="{FF2B5EF4-FFF2-40B4-BE49-F238E27FC236}">
              <a16:creationId xmlns:a16="http://schemas.microsoft.com/office/drawing/2014/main" id="{19382E3F-EFC0-A7AA-5EFB-5460F49023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09" name="Text Box 818">
          <a:extLst>
            <a:ext uri="{FF2B5EF4-FFF2-40B4-BE49-F238E27FC236}">
              <a16:creationId xmlns:a16="http://schemas.microsoft.com/office/drawing/2014/main" id="{C3A48B54-2C72-C07C-371F-C93B1C5B89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0" name="Text Box 819">
          <a:extLst>
            <a:ext uri="{FF2B5EF4-FFF2-40B4-BE49-F238E27FC236}">
              <a16:creationId xmlns:a16="http://schemas.microsoft.com/office/drawing/2014/main" id="{7E5A7D6B-9855-42FB-207D-9F9D169289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1" name="Text Box 820">
          <a:extLst>
            <a:ext uri="{FF2B5EF4-FFF2-40B4-BE49-F238E27FC236}">
              <a16:creationId xmlns:a16="http://schemas.microsoft.com/office/drawing/2014/main" id="{F3F7BBE4-E0BF-ADB1-8BC6-5FD2B41111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2" name="Text Box 821">
          <a:extLst>
            <a:ext uri="{FF2B5EF4-FFF2-40B4-BE49-F238E27FC236}">
              <a16:creationId xmlns:a16="http://schemas.microsoft.com/office/drawing/2014/main" id="{DC034FDB-C363-1460-8FAB-B2C21AC977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3" name="Text Box 822">
          <a:extLst>
            <a:ext uri="{FF2B5EF4-FFF2-40B4-BE49-F238E27FC236}">
              <a16:creationId xmlns:a16="http://schemas.microsoft.com/office/drawing/2014/main" id="{5D16C069-D498-A839-7E10-C87FF9AF02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4" name="Text Box 823">
          <a:extLst>
            <a:ext uri="{FF2B5EF4-FFF2-40B4-BE49-F238E27FC236}">
              <a16:creationId xmlns:a16="http://schemas.microsoft.com/office/drawing/2014/main" id="{C3E89346-CFA5-6209-006A-D83E9111CD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5" name="Text Box 824">
          <a:extLst>
            <a:ext uri="{FF2B5EF4-FFF2-40B4-BE49-F238E27FC236}">
              <a16:creationId xmlns:a16="http://schemas.microsoft.com/office/drawing/2014/main" id="{F76A3DF5-30C1-D5F8-2FD1-A604FA54AB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6" name="Text Box 825">
          <a:extLst>
            <a:ext uri="{FF2B5EF4-FFF2-40B4-BE49-F238E27FC236}">
              <a16:creationId xmlns:a16="http://schemas.microsoft.com/office/drawing/2014/main" id="{A13B1444-11F0-F825-2C68-D8A18FDD75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7" name="Text Box 826">
          <a:extLst>
            <a:ext uri="{FF2B5EF4-FFF2-40B4-BE49-F238E27FC236}">
              <a16:creationId xmlns:a16="http://schemas.microsoft.com/office/drawing/2014/main" id="{305A8036-51D6-FB65-6E84-5B3745663C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8" name="Text Box 827">
          <a:extLst>
            <a:ext uri="{FF2B5EF4-FFF2-40B4-BE49-F238E27FC236}">
              <a16:creationId xmlns:a16="http://schemas.microsoft.com/office/drawing/2014/main" id="{1DB9A437-9CC3-E6FD-15A8-D2398F983D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19" name="Text Box 828">
          <a:extLst>
            <a:ext uri="{FF2B5EF4-FFF2-40B4-BE49-F238E27FC236}">
              <a16:creationId xmlns:a16="http://schemas.microsoft.com/office/drawing/2014/main" id="{3723D5EF-B472-7B95-52AA-2CC728D11E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0" name="Text Box 829">
          <a:extLst>
            <a:ext uri="{FF2B5EF4-FFF2-40B4-BE49-F238E27FC236}">
              <a16:creationId xmlns:a16="http://schemas.microsoft.com/office/drawing/2014/main" id="{1CC3C16C-18D4-4E21-688F-BA23F00FF8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1" name="Text Box 830">
          <a:extLst>
            <a:ext uri="{FF2B5EF4-FFF2-40B4-BE49-F238E27FC236}">
              <a16:creationId xmlns:a16="http://schemas.microsoft.com/office/drawing/2014/main" id="{B91C6612-F1EC-AAB8-CA27-41188F6C4E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2" name="Text Box 831">
          <a:extLst>
            <a:ext uri="{FF2B5EF4-FFF2-40B4-BE49-F238E27FC236}">
              <a16:creationId xmlns:a16="http://schemas.microsoft.com/office/drawing/2014/main" id="{D3D29929-FA5E-E4E3-1351-752F08B704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3" name="Text Box 832">
          <a:extLst>
            <a:ext uri="{FF2B5EF4-FFF2-40B4-BE49-F238E27FC236}">
              <a16:creationId xmlns:a16="http://schemas.microsoft.com/office/drawing/2014/main" id="{9E026F1F-0613-22BC-5104-E451A51DCA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4" name="Text Box 833">
          <a:extLst>
            <a:ext uri="{FF2B5EF4-FFF2-40B4-BE49-F238E27FC236}">
              <a16:creationId xmlns:a16="http://schemas.microsoft.com/office/drawing/2014/main" id="{0573C075-774B-6A7E-7770-3C9C4A3E12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5" name="Text Box 834">
          <a:extLst>
            <a:ext uri="{FF2B5EF4-FFF2-40B4-BE49-F238E27FC236}">
              <a16:creationId xmlns:a16="http://schemas.microsoft.com/office/drawing/2014/main" id="{405A63A2-993D-F5A6-A10F-5496D69CBC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6" name="Text Box 835">
          <a:extLst>
            <a:ext uri="{FF2B5EF4-FFF2-40B4-BE49-F238E27FC236}">
              <a16:creationId xmlns:a16="http://schemas.microsoft.com/office/drawing/2014/main" id="{E523835C-9F42-A450-461A-1A74C0258C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7" name="Text Box 836">
          <a:extLst>
            <a:ext uri="{FF2B5EF4-FFF2-40B4-BE49-F238E27FC236}">
              <a16:creationId xmlns:a16="http://schemas.microsoft.com/office/drawing/2014/main" id="{8DFA5E5B-6A79-D5CD-9F48-EE188FCB2E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8" name="Text Box 837">
          <a:extLst>
            <a:ext uri="{FF2B5EF4-FFF2-40B4-BE49-F238E27FC236}">
              <a16:creationId xmlns:a16="http://schemas.microsoft.com/office/drawing/2014/main" id="{9DA33F4F-A5BC-6454-1F3E-BDE43FEAC2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29" name="Text Box 838">
          <a:extLst>
            <a:ext uri="{FF2B5EF4-FFF2-40B4-BE49-F238E27FC236}">
              <a16:creationId xmlns:a16="http://schemas.microsoft.com/office/drawing/2014/main" id="{254CEB72-1662-3FAB-B153-321741F42E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0" name="Text Box 839">
          <a:extLst>
            <a:ext uri="{FF2B5EF4-FFF2-40B4-BE49-F238E27FC236}">
              <a16:creationId xmlns:a16="http://schemas.microsoft.com/office/drawing/2014/main" id="{A1FCD2FA-2031-4398-29A3-11D85EEB02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1" name="Text Box 840">
          <a:extLst>
            <a:ext uri="{FF2B5EF4-FFF2-40B4-BE49-F238E27FC236}">
              <a16:creationId xmlns:a16="http://schemas.microsoft.com/office/drawing/2014/main" id="{9FBE1E15-09F2-9066-E150-702ACF384D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2" name="Text Box 841">
          <a:extLst>
            <a:ext uri="{FF2B5EF4-FFF2-40B4-BE49-F238E27FC236}">
              <a16:creationId xmlns:a16="http://schemas.microsoft.com/office/drawing/2014/main" id="{DA402CD5-40E3-230C-D3A2-8EDD293576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3" name="Text Box 842">
          <a:extLst>
            <a:ext uri="{FF2B5EF4-FFF2-40B4-BE49-F238E27FC236}">
              <a16:creationId xmlns:a16="http://schemas.microsoft.com/office/drawing/2014/main" id="{AE347814-F834-6A3B-D0B3-3B85081BAA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4" name="Text Box 843">
          <a:extLst>
            <a:ext uri="{FF2B5EF4-FFF2-40B4-BE49-F238E27FC236}">
              <a16:creationId xmlns:a16="http://schemas.microsoft.com/office/drawing/2014/main" id="{17539297-EEF8-BFFD-BBF2-54ADECB6CE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5" name="Text Box 844">
          <a:extLst>
            <a:ext uri="{FF2B5EF4-FFF2-40B4-BE49-F238E27FC236}">
              <a16:creationId xmlns:a16="http://schemas.microsoft.com/office/drawing/2014/main" id="{A9314DF1-AFCC-C981-B353-AD0E20E991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6" name="Text Box 845">
          <a:extLst>
            <a:ext uri="{FF2B5EF4-FFF2-40B4-BE49-F238E27FC236}">
              <a16:creationId xmlns:a16="http://schemas.microsoft.com/office/drawing/2014/main" id="{D8BF4543-38D6-CBA0-0D5C-59B825C98A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7" name="Text Box 846">
          <a:extLst>
            <a:ext uri="{FF2B5EF4-FFF2-40B4-BE49-F238E27FC236}">
              <a16:creationId xmlns:a16="http://schemas.microsoft.com/office/drawing/2014/main" id="{3EC69E6E-70BF-C98F-A224-A767A3086F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8" name="Text Box 847">
          <a:extLst>
            <a:ext uri="{FF2B5EF4-FFF2-40B4-BE49-F238E27FC236}">
              <a16:creationId xmlns:a16="http://schemas.microsoft.com/office/drawing/2014/main" id="{F61E8CA5-5C4C-5F58-0EDB-144D532B88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39" name="Text Box 848">
          <a:extLst>
            <a:ext uri="{FF2B5EF4-FFF2-40B4-BE49-F238E27FC236}">
              <a16:creationId xmlns:a16="http://schemas.microsoft.com/office/drawing/2014/main" id="{BC1A10B0-9969-DC6F-BA65-D392ABCF51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0" name="Text Box 849">
          <a:extLst>
            <a:ext uri="{FF2B5EF4-FFF2-40B4-BE49-F238E27FC236}">
              <a16:creationId xmlns:a16="http://schemas.microsoft.com/office/drawing/2014/main" id="{A6C27D68-9A96-B7CB-57D5-13F71F9932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1" name="Text Box 850">
          <a:extLst>
            <a:ext uri="{FF2B5EF4-FFF2-40B4-BE49-F238E27FC236}">
              <a16:creationId xmlns:a16="http://schemas.microsoft.com/office/drawing/2014/main" id="{D754B209-4177-16B3-1DD8-FD3AB579D5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2" name="Text Box 851">
          <a:extLst>
            <a:ext uri="{FF2B5EF4-FFF2-40B4-BE49-F238E27FC236}">
              <a16:creationId xmlns:a16="http://schemas.microsoft.com/office/drawing/2014/main" id="{2300ABF3-97AA-4BA4-51D9-256B398704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3" name="Text Box 852">
          <a:extLst>
            <a:ext uri="{FF2B5EF4-FFF2-40B4-BE49-F238E27FC236}">
              <a16:creationId xmlns:a16="http://schemas.microsoft.com/office/drawing/2014/main" id="{9576CBC1-CD52-490D-17E2-CD4074A94E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4" name="Text Box 853">
          <a:extLst>
            <a:ext uri="{FF2B5EF4-FFF2-40B4-BE49-F238E27FC236}">
              <a16:creationId xmlns:a16="http://schemas.microsoft.com/office/drawing/2014/main" id="{E089E9F2-10CB-FE2F-8A68-D2E4F85568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5" name="Text Box 854">
          <a:extLst>
            <a:ext uri="{FF2B5EF4-FFF2-40B4-BE49-F238E27FC236}">
              <a16:creationId xmlns:a16="http://schemas.microsoft.com/office/drawing/2014/main" id="{BCD8578A-E2AC-298A-5424-0EF6D888D9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6" name="Text Box 855">
          <a:extLst>
            <a:ext uri="{FF2B5EF4-FFF2-40B4-BE49-F238E27FC236}">
              <a16:creationId xmlns:a16="http://schemas.microsoft.com/office/drawing/2014/main" id="{3CC640AB-C432-0AE1-1652-8FA1A8F0DF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7" name="Text Box 856">
          <a:extLst>
            <a:ext uri="{FF2B5EF4-FFF2-40B4-BE49-F238E27FC236}">
              <a16:creationId xmlns:a16="http://schemas.microsoft.com/office/drawing/2014/main" id="{7BC30290-8632-879A-4C32-3E58B4DAEF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8" name="Text Box 857">
          <a:extLst>
            <a:ext uri="{FF2B5EF4-FFF2-40B4-BE49-F238E27FC236}">
              <a16:creationId xmlns:a16="http://schemas.microsoft.com/office/drawing/2014/main" id="{15036DCD-0978-6A13-66CB-7B12DE17DA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49" name="Text Box 858">
          <a:extLst>
            <a:ext uri="{FF2B5EF4-FFF2-40B4-BE49-F238E27FC236}">
              <a16:creationId xmlns:a16="http://schemas.microsoft.com/office/drawing/2014/main" id="{BAFBEB30-4318-5E26-02B1-7828A0FD56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0" name="Text Box 859">
          <a:extLst>
            <a:ext uri="{FF2B5EF4-FFF2-40B4-BE49-F238E27FC236}">
              <a16:creationId xmlns:a16="http://schemas.microsoft.com/office/drawing/2014/main" id="{417F2219-7FE2-5289-DB50-AB99AB5247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1" name="Text Box 860">
          <a:extLst>
            <a:ext uri="{FF2B5EF4-FFF2-40B4-BE49-F238E27FC236}">
              <a16:creationId xmlns:a16="http://schemas.microsoft.com/office/drawing/2014/main" id="{6B62D052-C63D-9BE3-333D-198DA5546B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2" name="Text Box 861">
          <a:extLst>
            <a:ext uri="{FF2B5EF4-FFF2-40B4-BE49-F238E27FC236}">
              <a16:creationId xmlns:a16="http://schemas.microsoft.com/office/drawing/2014/main" id="{9163F8D8-E93B-3D47-8006-1A106C0203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3" name="Text Box 862">
          <a:extLst>
            <a:ext uri="{FF2B5EF4-FFF2-40B4-BE49-F238E27FC236}">
              <a16:creationId xmlns:a16="http://schemas.microsoft.com/office/drawing/2014/main" id="{0F0007D5-3972-8C06-08B0-BC46C14504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4" name="Text Box 863">
          <a:extLst>
            <a:ext uri="{FF2B5EF4-FFF2-40B4-BE49-F238E27FC236}">
              <a16:creationId xmlns:a16="http://schemas.microsoft.com/office/drawing/2014/main" id="{A30B307E-5402-1857-EB8E-DF8931307F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5" name="Text Box 864">
          <a:extLst>
            <a:ext uri="{FF2B5EF4-FFF2-40B4-BE49-F238E27FC236}">
              <a16:creationId xmlns:a16="http://schemas.microsoft.com/office/drawing/2014/main" id="{222B3132-A823-1688-75E8-D4A9605D40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6" name="Text Box 865">
          <a:extLst>
            <a:ext uri="{FF2B5EF4-FFF2-40B4-BE49-F238E27FC236}">
              <a16:creationId xmlns:a16="http://schemas.microsoft.com/office/drawing/2014/main" id="{41ADFC77-864E-DEC4-0F6D-23291518C7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7" name="Text Box 866">
          <a:extLst>
            <a:ext uri="{FF2B5EF4-FFF2-40B4-BE49-F238E27FC236}">
              <a16:creationId xmlns:a16="http://schemas.microsoft.com/office/drawing/2014/main" id="{A8514F0B-BD2D-1F17-3470-D44ECBBB62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8" name="Text Box 867">
          <a:extLst>
            <a:ext uri="{FF2B5EF4-FFF2-40B4-BE49-F238E27FC236}">
              <a16:creationId xmlns:a16="http://schemas.microsoft.com/office/drawing/2014/main" id="{7E88EE32-3282-57F7-2760-2E59D76283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59" name="Text Box 868">
          <a:extLst>
            <a:ext uri="{FF2B5EF4-FFF2-40B4-BE49-F238E27FC236}">
              <a16:creationId xmlns:a16="http://schemas.microsoft.com/office/drawing/2014/main" id="{190578FE-87C3-1F97-94C3-696EA311BF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0" name="Text Box 869">
          <a:extLst>
            <a:ext uri="{FF2B5EF4-FFF2-40B4-BE49-F238E27FC236}">
              <a16:creationId xmlns:a16="http://schemas.microsoft.com/office/drawing/2014/main" id="{847AA40F-38FE-9E30-DA4F-E173634584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1" name="Text Box 870">
          <a:extLst>
            <a:ext uri="{FF2B5EF4-FFF2-40B4-BE49-F238E27FC236}">
              <a16:creationId xmlns:a16="http://schemas.microsoft.com/office/drawing/2014/main" id="{0FB40F44-CD12-C827-195B-AC3D592276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2" name="Text Box 871">
          <a:extLst>
            <a:ext uri="{FF2B5EF4-FFF2-40B4-BE49-F238E27FC236}">
              <a16:creationId xmlns:a16="http://schemas.microsoft.com/office/drawing/2014/main" id="{3E313E23-9778-ED8B-49D5-761BE85AE9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3" name="Text Box 872">
          <a:extLst>
            <a:ext uri="{FF2B5EF4-FFF2-40B4-BE49-F238E27FC236}">
              <a16:creationId xmlns:a16="http://schemas.microsoft.com/office/drawing/2014/main" id="{05D39CCB-BE03-B227-019A-1AEF4C648C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4" name="Text Box 873">
          <a:extLst>
            <a:ext uri="{FF2B5EF4-FFF2-40B4-BE49-F238E27FC236}">
              <a16:creationId xmlns:a16="http://schemas.microsoft.com/office/drawing/2014/main" id="{1ECEEC7D-CFEC-0AE7-6D37-E44EB34EE8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5" name="Text Box 874">
          <a:extLst>
            <a:ext uri="{FF2B5EF4-FFF2-40B4-BE49-F238E27FC236}">
              <a16:creationId xmlns:a16="http://schemas.microsoft.com/office/drawing/2014/main" id="{2417F135-54CC-D971-AB97-40A2104D6C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6" name="Text Box 875">
          <a:extLst>
            <a:ext uri="{FF2B5EF4-FFF2-40B4-BE49-F238E27FC236}">
              <a16:creationId xmlns:a16="http://schemas.microsoft.com/office/drawing/2014/main" id="{ABBEC0D2-1D2D-E412-FF43-39E6298A46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7" name="Text Box 876">
          <a:extLst>
            <a:ext uri="{FF2B5EF4-FFF2-40B4-BE49-F238E27FC236}">
              <a16:creationId xmlns:a16="http://schemas.microsoft.com/office/drawing/2014/main" id="{FDE9D02F-F098-F551-4821-9A60266478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8" name="Text Box 877">
          <a:extLst>
            <a:ext uri="{FF2B5EF4-FFF2-40B4-BE49-F238E27FC236}">
              <a16:creationId xmlns:a16="http://schemas.microsoft.com/office/drawing/2014/main" id="{7736DD73-64D1-0F7E-8772-753A8C9813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69" name="Text Box 878">
          <a:extLst>
            <a:ext uri="{FF2B5EF4-FFF2-40B4-BE49-F238E27FC236}">
              <a16:creationId xmlns:a16="http://schemas.microsoft.com/office/drawing/2014/main" id="{3024F7FF-6E58-EFB7-15B4-8E2222F417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0" name="Text Box 879">
          <a:extLst>
            <a:ext uri="{FF2B5EF4-FFF2-40B4-BE49-F238E27FC236}">
              <a16:creationId xmlns:a16="http://schemas.microsoft.com/office/drawing/2014/main" id="{1567287E-6182-EF3D-2D17-5F34C5100B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1" name="Text Box 880">
          <a:extLst>
            <a:ext uri="{FF2B5EF4-FFF2-40B4-BE49-F238E27FC236}">
              <a16:creationId xmlns:a16="http://schemas.microsoft.com/office/drawing/2014/main" id="{B99C5C59-1E77-FF85-7A60-FC788B89C4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2" name="Text Box 881">
          <a:extLst>
            <a:ext uri="{FF2B5EF4-FFF2-40B4-BE49-F238E27FC236}">
              <a16:creationId xmlns:a16="http://schemas.microsoft.com/office/drawing/2014/main" id="{5143EC1E-34F4-B4F6-61D2-B7AC4D52BB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3" name="Text Box 882">
          <a:extLst>
            <a:ext uri="{FF2B5EF4-FFF2-40B4-BE49-F238E27FC236}">
              <a16:creationId xmlns:a16="http://schemas.microsoft.com/office/drawing/2014/main" id="{E99A07FF-0D9F-7375-CE5C-AC7D56A3B5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4" name="Text Box 883">
          <a:extLst>
            <a:ext uri="{FF2B5EF4-FFF2-40B4-BE49-F238E27FC236}">
              <a16:creationId xmlns:a16="http://schemas.microsoft.com/office/drawing/2014/main" id="{8B198204-4321-2B71-8404-6B1BE67C94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5" name="Text Box 884">
          <a:extLst>
            <a:ext uri="{FF2B5EF4-FFF2-40B4-BE49-F238E27FC236}">
              <a16:creationId xmlns:a16="http://schemas.microsoft.com/office/drawing/2014/main" id="{10B7FC79-2ED2-9F16-CEF7-C98434A60C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6" name="Text Box 885">
          <a:extLst>
            <a:ext uri="{FF2B5EF4-FFF2-40B4-BE49-F238E27FC236}">
              <a16:creationId xmlns:a16="http://schemas.microsoft.com/office/drawing/2014/main" id="{5E463B18-E967-9728-6D90-9586BD8B45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7" name="Text Box 886">
          <a:extLst>
            <a:ext uri="{FF2B5EF4-FFF2-40B4-BE49-F238E27FC236}">
              <a16:creationId xmlns:a16="http://schemas.microsoft.com/office/drawing/2014/main" id="{DEA20215-0388-AE6A-A448-E368BA2A0D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8" name="Text Box 887">
          <a:extLst>
            <a:ext uri="{FF2B5EF4-FFF2-40B4-BE49-F238E27FC236}">
              <a16:creationId xmlns:a16="http://schemas.microsoft.com/office/drawing/2014/main" id="{9A070FE2-CCA4-872F-D60B-2150C6B0A3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79" name="Text Box 888">
          <a:extLst>
            <a:ext uri="{FF2B5EF4-FFF2-40B4-BE49-F238E27FC236}">
              <a16:creationId xmlns:a16="http://schemas.microsoft.com/office/drawing/2014/main" id="{D8899E43-DAD8-CBBB-DBD9-A116360AD0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0" name="Text Box 889">
          <a:extLst>
            <a:ext uri="{FF2B5EF4-FFF2-40B4-BE49-F238E27FC236}">
              <a16:creationId xmlns:a16="http://schemas.microsoft.com/office/drawing/2014/main" id="{1ED01628-A691-1340-A990-79E37A8924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1" name="Text Box 890">
          <a:extLst>
            <a:ext uri="{FF2B5EF4-FFF2-40B4-BE49-F238E27FC236}">
              <a16:creationId xmlns:a16="http://schemas.microsoft.com/office/drawing/2014/main" id="{9D3549D9-5FDE-E177-A53A-FF80081D44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2" name="Text Box 891">
          <a:extLst>
            <a:ext uri="{FF2B5EF4-FFF2-40B4-BE49-F238E27FC236}">
              <a16:creationId xmlns:a16="http://schemas.microsoft.com/office/drawing/2014/main" id="{758249D6-321B-9B4A-CA9B-490510595F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3" name="Text Box 892">
          <a:extLst>
            <a:ext uri="{FF2B5EF4-FFF2-40B4-BE49-F238E27FC236}">
              <a16:creationId xmlns:a16="http://schemas.microsoft.com/office/drawing/2014/main" id="{84C0A91F-4CE3-1022-1C2A-A8B294B011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4" name="Text Box 893">
          <a:extLst>
            <a:ext uri="{FF2B5EF4-FFF2-40B4-BE49-F238E27FC236}">
              <a16:creationId xmlns:a16="http://schemas.microsoft.com/office/drawing/2014/main" id="{D58312E9-93CD-C455-24C6-E7FAC22FD1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5" name="Text Box 894">
          <a:extLst>
            <a:ext uri="{FF2B5EF4-FFF2-40B4-BE49-F238E27FC236}">
              <a16:creationId xmlns:a16="http://schemas.microsoft.com/office/drawing/2014/main" id="{98D4476B-E81E-FEEB-056D-FCB1D6B0D8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6" name="Text Box 895">
          <a:extLst>
            <a:ext uri="{FF2B5EF4-FFF2-40B4-BE49-F238E27FC236}">
              <a16:creationId xmlns:a16="http://schemas.microsoft.com/office/drawing/2014/main" id="{862D8178-4199-1316-3204-E33D338528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7" name="Text Box 896">
          <a:extLst>
            <a:ext uri="{FF2B5EF4-FFF2-40B4-BE49-F238E27FC236}">
              <a16:creationId xmlns:a16="http://schemas.microsoft.com/office/drawing/2014/main" id="{9CB42772-1372-60D1-26C4-7C99078BCC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8" name="Text Box 897">
          <a:extLst>
            <a:ext uri="{FF2B5EF4-FFF2-40B4-BE49-F238E27FC236}">
              <a16:creationId xmlns:a16="http://schemas.microsoft.com/office/drawing/2014/main" id="{DF89F2A0-57C3-9DC3-54E4-290E41725C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89" name="Text Box 898">
          <a:extLst>
            <a:ext uri="{FF2B5EF4-FFF2-40B4-BE49-F238E27FC236}">
              <a16:creationId xmlns:a16="http://schemas.microsoft.com/office/drawing/2014/main" id="{D2E600B2-FC08-AF49-00C4-6E201BCEE8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0" name="Text Box 899">
          <a:extLst>
            <a:ext uri="{FF2B5EF4-FFF2-40B4-BE49-F238E27FC236}">
              <a16:creationId xmlns:a16="http://schemas.microsoft.com/office/drawing/2014/main" id="{E45B670B-D5E8-7420-B50A-C01C6250D5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1" name="Text Box 900">
          <a:extLst>
            <a:ext uri="{FF2B5EF4-FFF2-40B4-BE49-F238E27FC236}">
              <a16:creationId xmlns:a16="http://schemas.microsoft.com/office/drawing/2014/main" id="{44B064E0-4C0F-2EB9-DE67-36AE637E3E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2" name="Text Box 712">
          <a:extLst>
            <a:ext uri="{FF2B5EF4-FFF2-40B4-BE49-F238E27FC236}">
              <a16:creationId xmlns:a16="http://schemas.microsoft.com/office/drawing/2014/main" id="{45266B14-749E-1601-01FE-1301192B75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3" name="Text Box 714">
          <a:extLst>
            <a:ext uri="{FF2B5EF4-FFF2-40B4-BE49-F238E27FC236}">
              <a16:creationId xmlns:a16="http://schemas.microsoft.com/office/drawing/2014/main" id="{BB6A29BB-93E8-45EA-5BC0-4B113F1054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4" name="Text Box 532">
          <a:extLst>
            <a:ext uri="{FF2B5EF4-FFF2-40B4-BE49-F238E27FC236}">
              <a16:creationId xmlns:a16="http://schemas.microsoft.com/office/drawing/2014/main" id="{343E7356-C2C0-6A94-A7D7-0593A74600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5" name="Text Box 725">
          <a:extLst>
            <a:ext uri="{FF2B5EF4-FFF2-40B4-BE49-F238E27FC236}">
              <a16:creationId xmlns:a16="http://schemas.microsoft.com/office/drawing/2014/main" id="{BD4B53AA-10B9-2592-FBB8-02367F5AA1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6" name="Text Box 726">
          <a:extLst>
            <a:ext uri="{FF2B5EF4-FFF2-40B4-BE49-F238E27FC236}">
              <a16:creationId xmlns:a16="http://schemas.microsoft.com/office/drawing/2014/main" id="{A2A3E90E-9136-3E90-2C23-89D9CB6086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7" name="Text Box 1">
          <a:extLst>
            <a:ext uri="{FF2B5EF4-FFF2-40B4-BE49-F238E27FC236}">
              <a16:creationId xmlns:a16="http://schemas.microsoft.com/office/drawing/2014/main" id="{9A85EEC4-45EC-7BCF-DA8E-A2DC711CFB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8" name="Text Box 2">
          <a:extLst>
            <a:ext uri="{FF2B5EF4-FFF2-40B4-BE49-F238E27FC236}">
              <a16:creationId xmlns:a16="http://schemas.microsoft.com/office/drawing/2014/main" id="{338E93F4-F067-7E6C-0B51-643B578F1D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099" name="Text Box 3">
          <a:extLst>
            <a:ext uri="{FF2B5EF4-FFF2-40B4-BE49-F238E27FC236}">
              <a16:creationId xmlns:a16="http://schemas.microsoft.com/office/drawing/2014/main" id="{98D31B6E-163D-F28B-F022-70D3D570D9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0" name="Text Box 4">
          <a:extLst>
            <a:ext uri="{FF2B5EF4-FFF2-40B4-BE49-F238E27FC236}">
              <a16:creationId xmlns:a16="http://schemas.microsoft.com/office/drawing/2014/main" id="{5E6CA38C-3E48-2798-D107-4378BD3AB1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1" name="Text Box 5">
          <a:extLst>
            <a:ext uri="{FF2B5EF4-FFF2-40B4-BE49-F238E27FC236}">
              <a16:creationId xmlns:a16="http://schemas.microsoft.com/office/drawing/2014/main" id="{4E350A12-481A-8240-343F-EC426DB23E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2" name="Text Box 6">
          <a:extLst>
            <a:ext uri="{FF2B5EF4-FFF2-40B4-BE49-F238E27FC236}">
              <a16:creationId xmlns:a16="http://schemas.microsoft.com/office/drawing/2014/main" id="{43E7AAFC-66F5-692E-98A8-2A9348EF96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3" name="Text Box 7">
          <a:extLst>
            <a:ext uri="{FF2B5EF4-FFF2-40B4-BE49-F238E27FC236}">
              <a16:creationId xmlns:a16="http://schemas.microsoft.com/office/drawing/2014/main" id="{7373837C-8F63-D903-C36D-0481126CF3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4" name="Text Box 8">
          <a:extLst>
            <a:ext uri="{FF2B5EF4-FFF2-40B4-BE49-F238E27FC236}">
              <a16:creationId xmlns:a16="http://schemas.microsoft.com/office/drawing/2014/main" id="{EE783DC9-C7D6-D5CF-2A16-1D90A3F5C4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5" name="Text Box 9">
          <a:extLst>
            <a:ext uri="{FF2B5EF4-FFF2-40B4-BE49-F238E27FC236}">
              <a16:creationId xmlns:a16="http://schemas.microsoft.com/office/drawing/2014/main" id="{C3B3FA80-546C-9785-98F7-79AEFC87EE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6" name="Text Box 10">
          <a:extLst>
            <a:ext uri="{FF2B5EF4-FFF2-40B4-BE49-F238E27FC236}">
              <a16:creationId xmlns:a16="http://schemas.microsoft.com/office/drawing/2014/main" id="{1C36C3BF-3684-13F1-51AF-B0BB37EC27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7" name="Text Box 11">
          <a:extLst>
            <a:ext uri="{FF2B5EF4-FFF2-40B4-BE49-F238E27FC236}">
              <a16:creationId xmlns:a16="http://schemas.microsoft.com/office/drawing/2014/main" id="{FC172773-F804-8A70-6944-1491CD9048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8" name="Text Box 12">
          <a:extLst>
            <a:ext uri="{FF2B5EF4-FFF2-40B4-BE49-F238E27FC236}">
              <a16:creationId xmlns:a16="http://schemas.microsoft.com/office/drawing/2014/main" id="{D9C5AAF0-B8C3-FFB5-B271-FDDD1CAED3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09" name="Text Box 13">
          <a:extLst>
            <a:ext uri="{FF2B5EF4-FFF2-40B4-BE49-F238E27FC236}">
              <a16:creationId xmlns:a16="http://schemas.microsoft.com/office/drawing/2014/main" id="{5EC9B6EA-0F34-5924-6BE1-6E55ABDDBB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0" name="Text Box 14">
          <a:extLst>
            <a:ext uri="{FF2B5EF4-FFF2-40B4-BE49-F238E27FC236}">
              <a16:creationId xmlns:a16="http://schemas.microsoft.com/office/drawing/2014/main" id="{0FC6EBEB-0EEB-7E24-25DC-0AC41CB10F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1" name="Text Box 15">
          <a:extLst>
            <a:ext uri="{FF2B5EF4-FFF2-40B4-BE49-F238E27FC236}">
              <a16:creationId xmlns:a16="http://schemas.microsoft.com/office/drawing/2014/main" id="{D6530DDD-BBF1-B788-2D86-8D3E845F45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2" name="Text Box 16">
          <a:extLst>
            <a:ext uri="{FF2B5EF4-FFF2-40B4-BE49-F238E27FC236}">
              <a16:creationId xmlns:a16="http://schemas.microsoft.com/office/drawing/2014/main" id="{BEA11653-94FB-EF4D-7F9C-506707A399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3" name="Text Box 17">
          <a:extLst>
            <a:ext uri="{FF2B5EF4-FFF2-40B4-BE49-F238E27FC236}">
              <a16:creationId xmlns:a16="http://schemas.microsoft.com/office/drawing/2014/main" id="{9E697FBA-B514-A7F6-8CE2-80025CED2E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4" name="Text Box 18">
          <a:extLst>
            <a:ext uri="{FF2B5EF4-FFF2-40B4-BE49-F238E27FC236}">
              <a16:creationId xmlns:a16="http://schemas.microsoft.com/office/drawing/2014/main" id="{A3CC2E01-F585-040C-9A85-D750EF8991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5" name="Text Box 19">
          <a:extLst>
            <a:ext uri="{FF2B5EF4-FFF2-40B4-BE49-F238E27FC236}">
              <a16:creationId xmlns:a16="http://schemas.microsoft.com/office/drawing/2014/main" id="{78F398C8-5AEB-CA3C-D2A4-F1B86487D6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6" name="Text Box 20">
          <a:extLst>
            <a:ext uri="{FF2B5EF4-FFF2-40B4-BE49-F238E27FC236}">
              <a16:creationId xmlns:a16="http://schemas.microsoft.com/office/drawing/2014/main" id="{C1A414BF-1258-54E9-80C0-E5197B37B9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7" name="Text Box 21">
          <a:extLst>
            <a:ext uri="{FF2B5EF4-FFF2-40B4-BE49-F238E27FC236}">
              <a16:creationId xmlns:a16="http://schemas.microsoft.com/office/drawing/2014/main" id="{1A801CF8-5FEE-E595-0DE3-3D3C3D18CB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8" name="Text Box 22">
          <a:extLst>
            <a:ext uri="{FF2B5EF4-FFF2-40B4-BE49-F238E27FC236}">
              <a16:creationId xmlns:a16="http://schemas.microsoft.com/office/drawing/2014/main" id="{398A825B-E72E-B8BC-E02B-94C08D0D35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19" name="Text Box 23">
          <a:extLst>
            <a:ext uri="{FF2B5EF4-FFF2-40B4-BE49-F238E27FC236}">
              <a16:creationId xmlns:a16="http://schemas.microsoft.com/office/drawing/2014/main" id="{EE4A69D1-38C4-E6B1-12E8-D344F77242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0" name="Text Box 24">
          <a:extLst>
            <a:ext uri="{FF2B5EF4-FFF2-40B4-BE49-F238E27FC236}">
              <a16:creationId xmlns:a16="http://schemas.microsoft.com/office/drawing/2014/main" id="{756E9402-7AAB-5325-63E9-8891228AE5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1" name="Text Box 25">
          <a:extLst>
            <a:ext uri="{FF2B5EF4-FFF2-40B4-BE49-F238E27FC236}">
              <a16:creationId xmlns:a16="http://schemas.microsoft.com/office/drawing/2014/main" id="{48FC14B6-1E64-4127-F1DA-7E1E2B5309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2" name="Text Box 26">
          <a:extLst>
            <a:ext uri="{FF2B5EF4-FFF2-40B4-BE49-F238E27FC236}">
              <a16:creationId xmlns:a16="http://schemas.microsoft.com/office/drawing/2014/main" id="{D8926803-D825-4875-1CD9-0100E96B7C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3" name="Text Box 27">
          <a:extLst>
            <a:ext uri="{FF2B5EF4-FFF2-40B4-BE49-F238E27FC236}">
              <a16:creationId xmlns:a16="http://schemas.microsoft.com/office/drawing/2014/main" id="{B3C4F961-B6BC-87CE-21E0-33E2047C8A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4" name="Text Box 28">
          <a:extLst>
            <a:ext uri="{FF2B5EF4-FFF2-40B4-BE49-F238E27FC236}">
              <a16:creationId xmlns:a16="http://schemas.microsoft.com/office/drawing/2014/main" id="{94717372-10C9-AF26-2715-9562C55BDA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5" name="Text Box 29">
          <a:extLst>
            <a:ext uri="{FF2B5EF4-FFF2-40B4-BE49-F238E27FC236}">
              <a16:creationId xmlns:a16="http://schemas.microsoft.com/office/drawing/2014/main" id="{786999B1-24AD-08D1-F03A-1FB2EDE69C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6" name="Text Box 30">
          <a:extLst>
            <a:ext uri="{FF2B5EF4-FFF2-40B4-BE49-F238E27FC236}">
              <a16:creationId xmlns:a16="http://schemas.microsoft.com/office/drawing/2014/main" id="{147A7222-2D38-F94C-E88B-CC4CDDFE24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7" name="Text Box 31">
          <a:extLst>
            <a:ext uri="{FF2B5EF4-FFF2-40B4-BE49-F238E27FC236}">
              <a16:creationId xmlns:a16="http://schemas.microsoft.com/office/drawing/2014/main" id="{0786443C-6AA6-9AAF-CE7B-1EB152E401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8" name="Text Box 32">
          <a:extLst>
            <a:ext uri="{FF2B5EF4-FFF2-40B4-BE49-F238E27FC236}">
              <a16:creationId xmlns:a16="http://schemas.microsoft.com/office/drawing/2014/main" id="{E00BBB36-C575-F078-FA6F-F9B3D96890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29" name="Text Box 33">
          <a:extLst>
            <a:ext uri="{FF2B5EF4-FFF2-40B4-BE49-F238E27FC236}">
              <a16:creationId xmlns:a16="http://schemas.microsoft.com/office/drawing/2014/main" id="{7A4178B1-B6BB-DCCC-3573-59C61624D4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0" name="Text Box 34">
          <a:extLst>
            <a:ext uri="{FF2B5EF4-FFF2-40B4-BE49-F238E27FC236}">
              <a16:creationId xmlns:a16="http://schemas.microsoft.com/office/drawing/2014/main" id="{C5164A18-A345-6BF6-8ABF-63A4B07D36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1" name="Text Box 35">
          <a:extLst>
            <a:ext uri="{FF2B5EF4-FFF2-40B4-BE49-F238E27FC236}">
              <a16:creationId xmlns:a16="http://schemas.microsoft.com/office/drawing/2014/main" id="{CD41B83C-BA21-C7AB-8BAA-6C550011A7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2" name="Text Box 36">
          <a:extLst>
            <a:ext uri="{FF2B5EF4-FFF2-40B4-BE49-F238E27FC236}">
              <a16:creationId xmlns:a16="http://schemas.microsoft.com/office/drawing/2014/main" id="{154DC0BA-75EF-4E92-224D-842605D25A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3" name="Text Box 37">
          <a:extLst>
            <a:ext uri="{FF2B5EF4-FFF2-40B4-BE49-F238E27FC236}">
              <a16:creationId xmlns:a16="http://schemas.microsoft.com/office/drawing/2014/main" id="{233F8095-C822-C8DE-A5B7-DBCB22A352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4" name="Text Box 38">
          <a:extLst>
            <a:ext uri="{FF2B5EF4-FFF2-40B4-BE49-F238E27FC236}">
              <a16:creationId xmlns:a16="http://schemas.microsoft.com/office/drawing/2014/main" id="{CA8F7A6D-016A-73A5-2301-EEDA71E51C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5" name="Text Box 39">
          <a:extLst>
            <a:ext uri="{FF2B5EF4-FFF2-40B4-BE49-F238E27FC236}">
              <a16:creationId xmlns:a16="http://schemas.microsoft.com/office/drawing/2014/main" id="{D1778B90-25DB-18E2-A26C-56D11511EB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6" name="Text Box 40">
          <a:extLst>
            <a:ext uri="{FF2B5EF4-FFF2-40B4-BE49-F238E27FC236}">
              <a16:creationId xmlns:a16="http://schemas.microsoft.com/office/drawing/2014/main" id="{93AAF724-C6D1-18D2-A066-F79C27530E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7" name="Text Box 41">
          <a:extLst>
            <a:ext uri="{FF2B5EF4-FFF2-40B4-BE49-F238E27FC236}">
              <a16:creationId xmlns:a16="http://schemas.microsoft.com/office/drawing/2014/main" id="{1DFFFDD1-78E8-77E6-EF53-916598C5A3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8" name="Text Box 42">
          <a:extLst>
            <a:ext uri="{FF2B5EF4-FFF2-40B4-BE49-F238E27FC236}">
              <a16:creationId xmlns:a16="http://schemas.microsoft.com/office/drawing/2014/main" id="{C3772AE1-99DA-D6EF-A4FB-AF451346B6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39" name="Text Box 43">
          <a:extLst>
            <a:ext uri="{FF2B5EF4-FFF2-40B4-BE49-F238E27FC236}">
              <a16:creationId xmlns:a16="http://schemas.microsoft.com/office/drawing/2014/main" id="{C3B28CB0-5878-934E-F1E4-9E100CC55E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0" name="Text Box 44">
          <a:extLst>
            <a:ext uri="{FF2B5EF4-FFF2-40B4-BE49-F238E27FC236}">
              <a16:creationId xmlns:a16="http://schemas.microsoft.com/office/drawing/2014/main" id="{AEEBB458-D3B6-4D37-F688-44FDB766B2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1" name="Text Box 45">
          <a:extLst>
            <a:ext uri="{FF2B5EF4-FFF2-40B4-BE49-F238E27FC236}">
              <a16:creationId xmlns:a16="http://schemas.microsoft.com/office/drawing/2014/main" id="{F8D7388E-F709-3F04-4162-E8E00F1005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2" name="Text Box 46">
          <a:extLst>
            <a:ext uri="{FF2B5EF4-FFF2-40B4-BE49-F238E27FC236}">
              <a16:creationId xmlns:a16="http://schemas.microsoft.com/office/drawing/2014/main" id="{07D58807-4519-84A4-9D89-00A905D7EA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3" name="Text Box 47">
          <a:extLst>
            <a:ext uri="{FF2B5EF4-FFF2-40B4-BE49-F238E27FC236}">
              <a16:creationId xmlns:a16="http://schemas.microsoft.com/office/drawing/2014/main" id="{71B7A77D-CEDB-4685-1D53-B0A3F2A247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4" name="Text Box 48">
          <a:extLst>
            <a:ext uri="{FF2B5EF4-FFF2-40B4-BE49-F238E27FC236}">
              <a16:creationId xmlns:a16="http://schemas.microsoft.com/office/drawing/2014/main" id="{2FE4D33B-A46A-C200-3E46-E45CC9413B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5" name="Text Box 49">
          <a:extLst>
            <a:ext uri="{FF2B5EF4-FFF2-40B4-BE49-F238E27FC236}">
              <a16:creationId xmlns:a16="http://schemas.microsoft.com/office/drawing/2014/main" id="{9A75F63D-28D7-35DE-9F27-27CC7EC4D7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6" name="Text Box 50">
          <a:extLst>
            <a:ext uri="{FF2B5EF4-FFF2-40B4-BE49-F238E27FC236}">
              <a16:creationId xmlns:a16="http://schemas.microsoft.com/office/drawing/2014/main" id="{7A798B21-8968-92D6-B7D0-F8B4BA32DF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7" name="Text Box 51">
          <a:extLst>
            <a:ext uri="{FF2B5EF4-FFF2-40B4-BE49-F238E27FC236}">
              <a16:creationId xmlns:a16="http://schemas.microsoft.com/office/drawing/2014/main" id="{4B282F34-FCAF-A552-95EB-8136149EE2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8" name="Text Box 52">
          <a:extLst>
            <a:ext uri="{FF2B5EF4-FFF2-40B4-BE49-F238E27FC236}">
              <a16:creationId xmlns:a16="http://schemas.microsoft.com/office/drawing/2014/main" id="{8A29A875-0449-F6D4-AC03-AE53BB5F58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49" name="Text Box 53">
          <a:extLst>
            <a:ext uri="{FF2B5EF4-FFF2-40B4-BE49-F238E27FC236}">
              <a16:creationId xmlns:a16="http://schemas.microsoft.com/office/drawing/2014/main" id="{E990958D-C813-DB7A-ED26-2F915286D1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0" name="Text Box 54">
          <a:extLst>
            <a:ext uri="{FF2B5EF4-FFF2-40B4-BE49-F238E27FC236}">
              <a16:creationId xmlns:a16="http://schemas.microsoft.com/office/drawing/2014/main" id="{8D471ADD-1A66-9F5F-0731-A19E2655D3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1" name="Text Box 55">
          <a:extLst>
            <a:ext uri="{FF2B5EF4-FFF2-40B4-BE49-F238E27FC236}">
              <a16:creationId xmlns:a16="http://schemas.microsoft.com/office/drawing/2014/main" id="{A1C15C71-F965-A832-36B2-4350568727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2" name="Text Box 56">
          <a:extLst>
            <a:ext uri="{FF2B5EF4-FFF2-40B4-BE49-F238E27FC236}">
              <a16:creationId xmlns:a16="http://schemas.microsoft.com/office/drawing/2014/main" id="{39BE0873-A5AE-A0E8-8FE4-062AF16472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3" name="Text Box 57">
          <a:extLst>
            <a:ext uri="{FF2B5EF4-FFF2-40B4-BE49-F238E27FC236}">
              <a16:creationId xmlns:a16="http://schemas.microsoft.com/office/drawing/2014/main" id="{41CC3933-4FB2-5392-D115-2B3845783A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4" name="Text Box 58">
          <a:extLst>
            <a:ext uri="{FF2B5EF4-FFF2-40B4-BE49-F238E27FC236}">
              <a16:creationId xmlns:a16="http://schemas.microsoft.com/office/drawing/2014/main" id="{40BD27EE-B56F-EDCC-785C-B77F52AB3F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5" name="Text Box 59">
          <a:extLst>
            <a:ext uri="{FF2B5EF4-FFF2-40B4-BE49-F238E27FC236}">
              <a16:creationId xmlns:a16="http://schemas.microsoft.com/office/drawing/2014/main" id="{403DF3F4-09D1-7D5A-602F-5D645EAA44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6" name="Text Box 60">
          <a:extLst>
            <a:ext uri="{FF2B5EF4-FFF2-40B4-BE49-F238E27FC236}">
              <a16:creationId xmlns:a16="http://schemas.microsoft.com/office/drawing/2014/main" id="{728EEB72-0E99-31CA-32AB-650D331AD8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7" name="Text Box 61">
          <a:extLst>
            <a:ext uri="{FF2B5EF4-FFF2-40B4-BE49-F238E27FC236}">
              <a16:creationId xmlns:a16="http://schemas.microsoft.com/office/drawing/2014/main" id="{2A14CC07-B591-FF32-B1D0-29DF3A7D3C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8" name="Text Box 62">
          <a:extLst>
            <a:ext uri="{FF2B5EF4-FFF2-40B4-BE49-F238E27FC236}">
              <a16:creationId xmlns:a16="http://schemas.microsoft.com/office/drawing/2014/main" id="{D420DF54-15F8-F659-A386-1BFFB1F7D3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59" name="Text Box 63">
          <a:extLst>
            <a:ext uri="{FF2B5EF4-FFF2-40B4-BE49-F238E27FC236}">
              <a16:creationId xmlns:a16="http://schemas.microsoft.com/office/drawing/2014/main" id="{241BF43B-8D78-0538-AEFA-A844494CA0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0" name="Text Box 64">
          <a:extLst>
            <a:ext uri="{FF2B5EF4-FFF2-40B4-BE49-F238E27FC236}">
              <a16:creationId xmlns:a16="http://schemas.microsoft.com/office/drawing/2014/main" id="{947C7341-2D48-7F39-E1F5-0317555974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1" name="Text Box 65">
          <a:extLst>
            <a:ext uri="{FF2B5EF4-FFF2-40B4-BE49-F238E27FC236}">
              <a16:creationId xmlns:a16="http://schemas.microsoft.com/office/drawing/2014/main" id="{D83B00DB-4D66-A0F1-FEC3-993F82B6A1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2" name="Text Box 66">
          <a:extLst>
            <a:ext uri="{FF2B5EF4-FFF2-40B4-BE49-F238E27FC236}">
              <a16:creationId xmlns:a16="http://schemas.microsoft.com/office/drawing/2014/main" id="{21841E1F-C8F7-7B9D-4579-DE42901AF9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3" name="Text Box 67">
          <a:extLst>
            <a:ext uri="{FF2B5EF4-FFF2-40B4-BE49-F238E27FC236}">
              <a16:creationId xmlns:a16="http://schemas.microsoft.com/office/drawing/2014/main" id="{FB7D850B-E62D-6B9E-4F2D-2615C0DDE8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4" name="Text Box 68">
          <a:extLst>
            <a:ext uri="{FF2B5EF4-FFF2-40B4-BE49-F238E27FC236}">
              <a16:creationId xmlns:a16="http://schemas.microsoft.com/office/drawing/2014/main" id="{F21A25F8-6BA7-8410-F05D-A3E8125CDD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5" name="Text Box 69">
          <a:extLst>
            <a:ext uri="{FF2B5EF4-FFF2-40B4-BE49-F238E27FC236}">
              <a16:creationId xmlns:a16="http://schemas.microsoft.com/office/drawing/2014/main" id="{DD0A7ABF-2C62-EF03-B85F-8749D7BD62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6" name="Text Box 70">
          <a:extLst>
            <a:ext uri="{FF2B5EF4-FFF2-40B4-BE49-F238E27FC236}">
              <a16:creationId xmlns:a16="http://schemas.microsoft.com/office/drawing/2014/main" id="{A5BF8355-A0A7-36C7-B4C9-F63E2BD999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7" name="Text Box 71">
          <a:extLst>
            <a:ext uri="{FF2B5EF4-FFF2-40B4-BE49-F238E27FC236}">
              <a16:creationId xmlns:a16="http://schemas.microsoft.com/office/drawing/2014/main" id="{71C94649-9A27-8901-1C5F-4A7429CBDB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8" name="Text Box 72">
          <a:extLst>
            <a:ext uri="{FF2B5EF4-FFF2-40B4-BE49-F238E27FC236}">
              <a16:creationId xmlns:a16="http://schemas.microsoft.com/office/drawing/2014/main" id="{772AB974-8705-6F8A-32FE-495648BA37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69" name="Text Box 73">
          <a:extLst>
            <a:ext uri="{FF2B5EF4-FFF2-40B4-BE49-F238E27FC236}">
              <a16:creationId xmlns:a16="http://schemas.microsoft.com/office/drawing/2014/main" id="{07BABF4D-1AAD-F0AA-AE55-E4C2997C6C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0" name="Text Box 74">
          <a:extLst>
            <a:ext uri="{FF2B5EF4-FFF2-40B4-BE49-F238E27FC236}">
              <a16:creationId xmlns:a16="http://schemas.microsoft.com/office/drawing/2014/main" id="{C1514698-AAEE-4E2A-F9FB-031CB4425B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1" name="Text Box 75">
          <a:extLst>
            <a:ext uri="{FF2B5EF4-FFF2-40B4-BE49-F238E27FC236}">
              <a16:creationId xmlns:a16="http://schemas.microsoft.com/office/drawing/2014/main" id="{89CA7C8F-D039-D98D-E55E-C3070ED488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2" name="Text Box 76">
          <a:extLst>
            <a:ext uri="{FF2B5EF4-FFF2-40B4-BE49-F238E27FC236}">
              <a16:creationId xmlns:a16="http://schemas.microsoft.com/office/drawing/2014/main" id="{FB421684-4A16-7C16-1B97-2DC9540780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3" name="Text Box 77">
          <a:extLst>
            <a:ext uri="{FF2B5EF4-FFF2-40B4-BE49-F238E27FC236}">
              <a16:creationId xmlns:a16="http://schemas.microsoft.com/office/drawing/2014/main" id="{7E0B100B-48A0-A78D-16F3-29030D0ACD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4" name="Text Box 78">
          <a:extLst>
            <a:ext uri="{FF2B5EF4-FFF2-40B4-BE49-F238E27FC236}">
              <a16:creationId xmlns:a16="http://schemas.microsoft.com/office/drawing/2014/main" id="{8EAF5F61-5D2E-6F43-ADEF-7D06A1713C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5" name="Text Box 79">
          <a:extLst>
            <a:ext uri="{FF2B5EF4-FFF2-40B4-BE49-F238E27FC236}">
              <a16:creationId xmlns:a16="http://schemas.microsoft.com/office/drawing/2014/main" id="{40B67D2F-BD35-C991-BB45-62D5312D4A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6" name="Text Box 80">
          <a:extLst>
            <a:ext uri="{FF2B5EF4-FFF2-40B4-BE49-F238E27FC236}">
              <a16:creationId xmlns:a16="http://schemas.microsoft.com/office/drawing/2014/main" id="{071F4422-EB40-346A-E4F6-A80921E1F1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7" name="Text Box 81">
          <a:extLst>
            <a:ext uri="{FF2B5EF4-FFF2-40B4-BE49-F238E27FC236}">
              <a16:creationId xmlns:a16="http://schemas.microsoft.com/office/drawing/2014/main" id="{CF8D29AA-A2C2-06DE-8E3A-868C319578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8" name="Text Box 82">
          <a:extLst>
            <a:ext uri="{FF2B5EF4-FFF2-40B4-BE49-F238E27FC236}">
              <a16:creationId xmlns:a16="http://schemas.microsoft.com/office/drawing/2014/main" id="{E5B35F19-54E5-2C58-D1F6-1A00C9CC75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79" name="Text Box 83">
          <a:extLst>
            <a:ext uri="{FF2B5EF4-FFF2-40B4-BE49-F238E27FC236}">
              <a16:creationId xmlns:a16="http://schemas.microsoft.com/office/drawing/2014/main" id="{4C540D41-0B42-4768-BF48-C3654F9AC0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0" name="Text Box 84">
          <a:extLst>
            <a:ext uri="{FF2B5EF4-FFF2-40B4-BE49-F238E27FC236}">
              <a16:creationId xmlns:a16="http://schemas.microsoft.com/office/drawing/2014/main" id="{D35B51AE-5BD7-2E43-1B51-264A3C1B1E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1" name="Text Box 85">
          <a:extLst>
            <a:ext uri="{FF2B5EF4-FFF2-40B4-BE49-F238E27FC236}">
              <a16:creationId xmlns:a16="http://schemas.microsoft.com/office/drawing/2014/main" id="{EADF394F-B5C3-EB02-8819-59AC560531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2" name="Text Box 86">
          <a:extLst>
            <a:ext uri="{FF2B5EF4-FFF2-40B4-BE49-F238E27FC236}">
              <a16:creationId xmlns:a16="http://schemas.microsoft.com/office/drawing/2014/main" id="{F31899BB-4DAE-A61B-4610-7DFECADB6E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3" name="Text Box 87">
          <a:extLst>
            <a:ext uri="{FF2B5EF4-FFF2-40B4-BE49-F238E27FC236}">
              <a16:creationId xmlns:a16="http://schemas.microsoft.com/office/drawing/2014/main" id="{DF0D39BF-878B-27D0-A0D4-4E44603BDB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4" name="Text Box 88">
          <a:extLst>
            <a:ext uri="{FF2B5EF4-FFF2-40B4-BE49-F238E27FC236}">
              <a16:creationId xmlns:a16="http://schemas.microsoft.com/office/drawing/2014/main" id="{6076AE5A-C4C4-B79F-75DE-509C646380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5" name="Text Box 89">
          <a:extLst>
            <a:ext uri="{FF2B5EF4-FFF2-40B4-BE49-F238E27FC236}">
              <a16:creationId xmlns:a16="http://schemas.microsoft.com/office/drawing/2014/main" id="{CB02C0BC-A7F9-1509-4885-A2FB0D559D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6" name="Text Box 90">
          <a:extLst>
            <a:ext uri="{FF2B5EF4-FFF2-40B4-BE49-F238E27FC236}">
              <a16:creationId xmlns:a16="http://schemas.microsoft.com/office/drawing/2014/main" id="{A11D5427-203D-EB45-251A-80785951A3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7" name="Text Box 91">
          <a:extLst>
            <a:ext uri="{FF2B5EF4-FFF2-40B4-BE49-F238E27FC236}">
              <a16:creationId xmlns:a16="http://schemas.microsoft.com/office/drawing/2014/main" id="{011A3E39-63F6-B772-93FB-6182761DE1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8" name="Text Box 92">
          <a:extLst>
            <a:ext uri="{FF2B5EF4-FFF2-40B4-BE49-F238E27FC236}">
              <a16:creationId xmlns:a16="http://schemas.microsoft.com/office/drawing/2014/main" id="{5291CE69-48C4-5707-C526-B027F83391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89" name="Text Box 93">
          <a:extLst>
            <a:ext uri="{FF2B5EF4-FFF2-40B4-BE49-F238E27FC236}">
              <a16:creationId xmlns:a16="http://schemas.microsoft.com/office/drawing/2014/main" id="{5FB94B74-95B5-E665-1DF5-D60757479C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0" name="Text Box 94">
          <a:extLst>
            <a:ext uri="{FF2B5EF4-FFF2-40B4-BE49-F238E27FC236}">
              <a16:creationId xmlns:a16="http://schemas.microsoft.com/office/drawing/2014/main" id="{9E0B9116-DBF6-137D-9094-9426EA1C4F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1" name="Text Box 95">
          <a:extLst>
            <a:ext uri="{FF2B5EF4-FFF2-40B4-BE49-F238E27FC236}">
              <a16:creationId xmlns:a16="http://schemas.microsoft.com/office/drawing/2014/main" id="{38B5A7FA-CD60-1E45-0327-A607CCD516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2" name="Text Box 96">
          <a:extLst>
            <a:ext uri="{FF2B5EF4-FFF2-40B4-BE49-F238E27FC236}">
              <a16:creationId xmlns:a16="http://schemas.microsoft.com/office/drawing/2014/main" id="{951CE398-558C-067E-BBE2-6A2D87E5D3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3" name="Text Box 97">
          <a:extLst>
            <a:ext uri="{FF2B5EF4-FFF2-40B4-BE49-F238E27FC236}">
              <a16:creationId xmlns:a16="http://schemas.microsoft.com/office/drawing/2014/main" id="{BECDBDE2-FEB9-5DAC-47F3-AE4DD92120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4" name="Text Box 98">
          <a:extLst>
            <a:ext uri="{FF2B5EF4-FFF2-40B4-BE49-F238E27FC236}">
              <a16:creationId xmlns:a16="http://schemas.microsoft.com/office/drawing/2014/main" id="{F83EE3CE-739C-FDD3-DE7E-80CEFF0593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5" name="Text Box 99">
          <a:extLst>
            <a:ext uri="{FF2B5EF4-FFF2-40B4-BE49-F238E27FC236}">
              <a16:creationId xmlns:a16="http://schemas.microsoft.com/office/drawing/2014/main" id="{AFBBB87B-1504-C17A-A2EC-401E0D10C3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6" name="Text Box 100">
          <a:extLst>
            <a:ext uri="{FF2B5EF4-FFF2-40B4-BE49-F238E27FC236}">
              <a16:creationId xmlns:a16="http://schemas.microsoft.com/office/drawing/2014/main" id="{F249A3E0-5C78-7AD9-66D6-3B76B97238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7" name="Text Box 101">
          <a:extLst>
            <a:ext uri="{FF2B5EF4-FFF2-40B4-BE49-F238E27FC236}">
              <a16:creationId xmlns:a16="http://schemas.microsoft.com/office/drawing/2014/main" id="{A2E166EC-9193-6A2D-D275-FC5FB7592E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8" name="Text Box 102">
          <a:extLst>
            <a:ext uri="{FF2B5EF4-FFF2-40B4-BE49-F238E27FC236}">
              <a16:creationId xmlns:a16="http://schemas.microsoft.com/office/drawing/2014/main" id="{D6BC4722-9EC1-8A48-7D82-851371C575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199" name="Text Box 103">
          <a:extLst>
            <a:ext uri="{FF2B5EF4-FFF2-40B4-BE49-F238E27FC236}">
              <a16:creationId xmlns:a16="http://schemas.microsoft.com/office/drawing/2014/main" id="{A2FBBB69-048A-E363-E73D-C7647611A0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0" name="Text Box 104">
          <a:extLst>
            <a:ext uri="{FF2B5EF4-FFF2-40B4-BE49-F238E27FC236}">
              <a16:creationId xmlns:a16="http://schemas.microsoft.com/office/drawing/2014/main" id="{775EF0B1-D47C-9985-ECFD-7201D00E90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1" name="Text Box 105">
          <a:extLst>
            <a:ext uri="{FF2B5EF4-FFF2-40B4-BE49-F238E27FC236}">
              <a16:creationId xmlns:a16="http://schemas.microsoft.com/office/drawing/2014/main" id="{F181DE0F-6BF6-8B29-D996-DC2E78C9F4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2" name="Text Box 106">
          <a:extLst>
            <a:ext uri="{FF2B5EF4-FFF2-40B4-BE49-F238E27FC236}">
              <a16:creationId xmlns:a16="http://schemas.microsoft.com/office/drawing/2014/main" id="{EE14A2FA-E1B9-C605-6E7A-FD440B75B6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3" name="Text Box 107">
          <a:extLst>
            <a:ext uri="{FF2B5EF4-FFF2-40B4-BE49-F238E27FC236}">
              <a16:creationId xmlns:a16="http://schemas.microsoft.com/office/drawing/2014/main" id="{59F8E89C-5CB5-AEE9-8233-2ACB155143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4" name="Text Box 108">
          <a:extLst>
            <a:ext uri="{FF2B5EF4-FFF2-40B4-BE49-F238E27FC236}">
              <a16:creationId xmlns:a16="http://schemas.microsoft.com/office/drawing/2014/main" id="{D6DE83A5-DB1E-3547-7169-AB36B283A6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5" name="Text Box 109">
          <a:extLst>
            <a:ext uri="{FF2B5EF4-FFF2-40B4-BE49-F238E27FC236}">
              <a16:creationId xmlns:a16="http://schemas.microsoft.com/office/drawing/2014/main" id="{F0AFB1A6-564E-875B-D186-4320EAAD07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6" name="Text Box 110">
          <a:extLst>
            <a:ext uri="{FF2B5EF4-FFF2-40B4-BE49-F238E27FC236}">
              <a16:creationId xmlns:a16="http://schemas.microsoft.com/office/drawing/2014/main" id="{EEAD3E72-EE39-409D-3B94-F220EB0425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7" name="Text Box 111">
          <a:extLst>
            <a:ext uri="{FF2B5EF4-FFF2-40B4-BE49-F238E27FC236}">
              <a16:creationId xmlns:a16="http://schemas.microsoft.com/office/drawing/2014/main" id="{73E52A4C-78F2-EB56-6044-02ED0DED01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8" name="Text Box 112">
          <a:extLst>
            <a:ext uri="{FF2B5EF4-FFF2-40B4-BE49-F238E27FC236}">
              <a16:creationId xmlns:a16="http://schemas.microsoft.com/office/drawing/2014/main" id="{85484657-9D2E-8CBC-73F2-E5C4706511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09" name="Text Box 113">
          <a:extLst>
            <a:ext uri="{FF2B5EF4-FFF2-40B4-BE49-F238E27FC236}">
              <a16:creationId xmlns:a16="http://schemas.microsoft.com/office/drawing/2014/main" id="{3D5045B4-DEBF-9A6D-B36F-A0F1996B05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0" name="Text Box 114">
          <a:extLst>
            <a:ext uri="{FF2B5EF4-FFF2-40B4-BE49-F238E27FC236}">
              <a16:creationId xmlns:a16="http://schemas.microsoft.com/office/drawing/2014/main" id="{0323F7C4-70C7-F7A2-F07A-A2F9404BDB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1" name="Text Box 115">
          <a:extLst>
            <a:ext uri="{FF2B5EF4-FFF2-40B4-BE49-F238E27FC236}">
              <a16:creationId xmlns:a16="http://schemas.microsoft.com/office/drawing/2014/main" id="{F6682204-7C36-B0CF-4500-CC451A16A5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2" name="Text Box 116">
          <a:extLst>
            <a:ext uri="{FF2B5EF4-FFF2-40B4-BE49-F238E27FC236}">
              <a16:creationId xmlns:a16="http://schemas.microsoft.com/office/drawing/2014/main" id="{E782D6EC-1DCF-7349-CC61-C3C6DE67BE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3" name="Text Box 117">
          <a:extLst>
            <a:ext uri="{FF2B5EF4-FFF2-40B4-BE49-F238E27FC236}">
              <a16:creationId xmlns:a16="http://schemas.microsoft.com/office/drawing/2014/main" id="{D14D0DB6-8CEE-2EFD-F29D-FCC32E65C4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4" name="Text Box 118">
          <a:extLst>
            <a:ext uri="{FF2B5EF4-FFF2-40B4-BE49-F238E27FC236}">
              <a16:creationId xmlns:a16="http://schemas.microsoft.com/office/drawing/2014/main" id="{AEBCA88C-53A5-D299-855B-74AA59FD29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5" name="Text Box 119">
          <a:extLst>
            <a:ext uri="{FF2B5EF4-FFF2-40B4-BE49-F238E27FC236}">
              <a16:creationId xmlns:a16="http://schemas.microsoft.com/office/drawing/2014/main" id="{E56D5F20-BCC6-4DD5-0913-3D4227B7ED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6" name="Text Box 120">
          <a:extLst>
            <a:ext uri="{FF2B5EF4-FFF2-40B4-BE49-F238E27FC236}">
              <a16:creationId xmlns:a16="http://schemas.microsoft.com/office/drawing/2014/main" id="{B9526B9F-08B0-718A-3545-5CAB0E7FF1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7" name="Text Box 121">
          <a:extLst>
            <a:ext uri="{FF2B5EF4-FFF2-40B4-BE49-F238E27FC236}">
              <a16:creationId xmlns:a16="http://schemas.microsoft.com/office/drawing/2014/main" id="{E0A49FC9-8EFD-AE2A-AE2E-0242242EC5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8" name="Text Box 122">
          <a:extLst>
            <a:ext uri="{FF2B5EF4-FFF2-40B4-BE49-F238E27FC236}">
              <a16:creationId xmlns:a16="http://schemas.microsoft.com/office/drawing/2014/main" id="{8EA13DD6-3A0D-C520-EE9E-B78A271266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19" name="Text Box 123">
          <a:extLst>
            <a:ext uri="{FF2B5EF4-FFF2-40B4-BE49-F238E27FC236}">
              <a16:creationId xmlns:a16="http://schemas.microsoft.com/office/drawing/2014/main" id="{FB1F3CD3-7A49-F9D3-A55E-2C0C1E0696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0" name="Text Box 124">
          <a:extLst>
            <a:ext uri="{FF2B5EF4-FFF2-40B4-BE49-F238E27FC236}">
              <a16:creationId xmlns:a16="http://schemas.microsoft.com/office/drawing/2014/main" id="{F263EC5B-CA44-1D27-9188-4AB8718F6D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1" name="Text Box 125">
          <a:extLst>
            <a:ext uri="{FF2B5EF4-FFF2-40B4-BE49-F238E27FC236}">
              <a16:creationId xmlns:a16="http://schemas.microsoft.com/office/drawing/2014/main" id="{84E8289F-30E2-E9EF-F358-A3D5D8220E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2" name="Text Box 126">
          <a:extLst>
            <a:ext uri="{FF2B5EF4-FFF2-40B4-BE49-F238E27FC236}">
              <a16:creationId xmlns:a16="http://schemas.microsoft.com/office/drawing/2014/main" id="{DD971CDC-4301-81BB-DE64-6E1B4632AA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3" name="Text Box 127">
          <a:extLst>
            <a:ext uri="{FF2B5EF4-FFF2-40B4-BE49-F238E27FC236}">
              <a16:creationId xmlns:a16="http://schemas.microsoft.com/office/drawing/2014/main" id="{C089D36F-4CC3-D39A-623A-E61DCDB345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4" name="Text Box 128">
          <a:extLst>
            <a:ext uri="{FF2B5EF4-FFF2-40B4-BE49-F238E27FC236}">
              <a16:creationId xmlns:a16="http://schemas.microsoft.com/office/drawing/2014/main" id="{F70202C7-958C-B8AE-0DB3-190E4A2BCF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5" name="Text Box 129">
          <a:extLst>
            <a:ext uri="{FF2B5EF4-FFF2-40B4-BE49-F238E27FC236}">
              <a16:creationId xmlns:a16="http://schemas.microsoft.com/office/drawing/2014/main" id="{2984BD6D-C1B3-F93A-09B5-A8A2A643B0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6" name="Text Box 130">
          <a:extLst>
            <a:ext uri="{FF2B5EF4-FFF2-40B4-BE49-F238E27FC236}">
              <a16:creationId xmlns:a16="http://schemas.microsoft.com/office/drawing/2014/main" id="{EFF3165A-99AA-CEDA-ACF3-8E9C58DE25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7" name="Text Box 131">
          <a:extLst>
            <a:ext uri="{FF2B5EF4-FFF2-40B4-BE49-F238E27FC236}">
              <a16:creationId xmlns:a16="http://schemas.microsoft.com/office/drawing/2014/main" id="{1AE0D3F7-C473-8092-9E3F-D2EC924929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8" name="Text Box 132">
          <a:extLst>
            <a:ext uri="{FF2B5EF4-FFF2-40B4-BE49-F238E27FC236}">
              <a16:creationId xmlns:a16="http://schemas.microsoft.com/office/drawing/2014/main" id="{B205186E-0476-0B8C-AD99-B23D53CA57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29" name="Text Box 133">
          <a:extLst>
            <a:ext uri="{FF2B5EF4-FFF2-40B4-BE49-F238E27FC236}">
              <a16:creationId xmlns:a16="http://schemas.microsoft.com/office/drawing/2014/main" id="{AAC5A53C-2E1A-15C2-B7AD-0743EF88B6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0" name="Text Box 134">
          <a:extLst>
            <a:ext uri="{FF2B5EF4-FFF2-40B4-BE49-F238E27FC236}">
              <a16:creationId xmlns:a16="http://schemas.microsoft.com/office/drawing/2014/main" id="{BE4E1B86-8AEE-F333-A7B5-FF40F5C66E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1" name="Text Box 135">
          <a:extLst>
            <a:ext uri="{FF2B5EF4-FFF2-40B4-BE49-F238E27FC236}">
              <a16:creationId xmlns:a16="http://schemas.microsoft.com/office/drawing/2014/main" id="{B4CE3308-D57B-9211-72BD-D01C67C2C3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2" name="Text Box 136">
          <a:extLst>
            <a:ext uri="{FF2B5EF4-FFF2-40B4-BE49-F238E27FC236}">
              <a16:creationId xmlns:a16="http://schemas.microsoft.com/office/drawing/2014/main" id="{C7032172-181A-4791-6802-726AC65951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3" name="Text Box 137">
          <a:extLst>
            <a:ext uri="{FF2B5EF4-FFF2-40B4-BE49-F238E27FC236}">
              <a16:creationId xmlns:a16="http://schemas.microsoft.com/office/drawing/2014/main" id="{B65BF32E-A0C6-609E-9857-2792CD481E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4" name="Text Box 138">
          <a:extLst>
            <a:ext uri="{FF2B5EF4-FFF2-40B4-BE49-F238E27FC236}">
              <a16:creationId xmlns:a16="http://schemas.microsoft.com/office/drawing/2014/main" id="{24CC90C4-FBD4-4444-4D67-12733A55AC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5" name="Text Box 139">
          <a:extLst>
            <a:ext uri="{FF2B5EF4-FFF2-40B4-BE49-F238E27FC236}">
              <a16:creationId xmlns:a16="http://schemas.microsoft.com/office/drawing/2014/main" id="{037A50D4-A528-6500-EEB9-62900F7F96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6" name="Text Box 140">
          <a:extLst>
            <a:ext uri="{FF2B5EF4-FFF2-40B4-BE49-F238E27FC236}">
              <a16:creationId xmlns:a16="http://schemas.microsoft.com/office/drawing/2014/main" id="{1A4509A0-D27A-BAF9-082B-0D04C2F998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7" name="Text Box 141">
          <a:extLst>
            <a:ext uri="{FF2B5EF4-FFF2-40B4-BE49-F238E27FC236}">
              <a16:creationId xmlns:a16="http://schemas.microsoft.com/office/drawing/2014/main" id="{F5BA37A3-8157-1C9C-D845-E35D14DEBF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8" name="Text Box 142">
          <a:extLst>
            <a:ext uri="{FF2B5EF4-FFF2-40B4-BE49-F238E27FC236}">
              <a16:creationId xmlns:a16="http://schemas.microsoft.com/office/drawing/2014/main" id="{BBB9D86A-A11C-BCEA-7A13-28B5EFE867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39" name="Text Box 143">
          <a:extLst>
            <a:ext uri="{FF2B5EF4-FFF2-40B4-BE49-F238E27FC236}">
              <a16:creationId xmlns:a16="http://schemas.microsoft.com/office/drawing/2014/main" id="{7D1A9DA0-FD5E-DD9A-DCF2-A4947FEBB7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0" name="Text Box 144">
          <a:extLst>
            <a:ext uri="{FF2B5EF4-FFF2-40B4-BE49-F238E27FC236}">
              <a16:creationId xmlns:a16="http://schemas.microsoft.com/office/drawing/2014/main" id="{68B656E2-2299-CFA0-4850-FA7AD8C104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1" name="Text Box 145">
          <a:extLst>
            <a:ext uri="{FF2B5EF4-FFF2-40B4-BE49-F238E27FC236}">
              <a16:creationId xmlns:a16="http://schemas.microsoft.com/office/drawing/2014/main" id="{6B740825-471B-3CB8-F049-3DE6AAD21F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2" name="Text Box 146">
          <a:extLst>
            <a:ext uri="{FF2B5EF4-FFF2-40B4-BE49-F238E27FC236}">
              <a16:creationId xmlns:a16="http://schemas.microsoft.com/office/drawing/2014/main" id="{980AAB5A-C2B4-A35D-173A-C0AC3D652E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3" name="Text Box 147">
          <a:extLst>
            <a:ext uri="{FF2B5EF4-FFF2-40B4-BE49-F238E27FC236}">
              <a16:creationId xmlns:a16="http://schemas.microsoft.com/office/drawing/2014/main" id="{FD938656-743D-54C2-84D3-BCB699860B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4" name="Text Box 148">
          <a:extLst>
            <a:ext uri="{FF2B5EF4-FFF2-40B4-BE49-F238E27FC236}">
              <a16:creationId xmlns:a16="http://schemas.microsoft.com/office/drawing/2014/main" id="{BA53DC80-E507-D15B-C7AC-B88B4A8440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5" name="Text Box 149">
          <a:extLst>
            <a:ext uri="{FF2B5EF4-FFF2-40B4-BE49-F238E27FC236}">
              <a16:creationId xmlns:a16="http://schemas.microsoft.com/office/drawing/2014/main" id="{52D21BC3-E78A-4158-010F-31B4D6B8B2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6" name="Text Box 150">
          <a:extLst>
            <a:ext uri="{FF2B5EF4-FFF2-40B4-BE49-F238E27FC236}">
              <a16:creationId xmlns:a16="http://schemas.microsoft.com/office/drawing/2014/main" id="{6AFB0436-7481-0EE7-030C-5DADA8C455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7" name="Text Box 151">
          <a:extLst>
            <a:ext uri="{FF2B5EF4-FFF2-40B4-BE49-F238E27FC236}">
              <a16:creationId xmlns:a16="http://schemas.microsoft.com/office/drawing/2014/main" id="{3132D35B-955F-E118-61EB-50D7B590AE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8" name="Text Box 152">
          <a:extLst>
            <a:ext uri="{FF2B5EF4-FFF2-40B4-BE49-F238E27FC236}">
              <a16:creationId xmlns:a16="http://schemas.microsoft.com/office/drawing/2014/main" id="{EE9B3EAA-E08B-E123-22C4-9957360866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49" name="Text Box 153">
          <a:extLst>
            <a:ext uri="{FF2B5EF4-FFF2-40B4-BE49-F238E27FC236}">
              <a16:creationId xmlns:a16="http://schemas.microsoft.com/office/drawing/2014/main" id="{C5ADC9B4-C096-C44F-EE11-6BDE18AF27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0" name="Text Box 154">
          <a:extLst>
            <a:ext uri="{FF2B5EF4-FFF2-40B4-BE49-F238E27FC236}">
              <a16:creationId xmlns:a16="http://schemas.microsoft.com/office/drawing/2014/main" id="{955DA6DB-35FD-2DA0-D998-FACE5FEB6B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1" name="Text Box 155">
          <a:extLst>
            <a:ext uri="{FF2B5EF4-FFF2-40B4-BE49-F238E27FC236}">
              <a16:creationId xmlns:a16="http://schemas.microsoft.com/office/drawing/2014/main" id="{CC72D6FF-059F-716C-F2C0-60727983F7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2" name="Text Box 156">
          <a:extLst>
            <a:ext uri="{FF2B5EF4-FFF2-40B4-BE49-F238E27FC236}">
              <a16:creationId xmlns:a16="http://schemas.microsoft.com/office/drawing/2014/main" id="{BD3853A4-5346-A819-F5C2-8078104C5E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3" name="Text Box 157">
          <a:extLst>
            <a:ext uri="{FF2B5EF4-FFF2-40B4-BE49-F238E27FC236}">
              <a16:creationId xmlns:a16="http://schemas.microsoft.com/office/drawing/2014/main" id="{C0BBA2C6-DAD5-CE9A-354C-AF1AB5926D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4" name="Text Box 158">
          <a:extLst>
            <a:ext uri="{FF2B5EF4-FFF2-40B4-BE49-F238E27FC236}">
              <a16:creationId xmlns:a16="http://schemas.microsoft.com/office/drawing/2014/main" id="{3FC5C82D-C54F-4070-03D6-3C6D315E58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5" name="Text Box 159">
          <a:extLst>
            <a:ext uri="{FF2B5EF4-FFF2-40B4-BE49-F238E27FC236}">
              <a16:creationId xmlns:a16="http://schemas.microsoft.com/office/drawing/2014/main" id="{65A59B4F-27F3-6838-315D-DB0DB75C4C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6" name="Text Box 160">
          <a:extLst>
            <a:ext uri="{FF2B5EF4-FFF2-40B4-BE49-F238E27FC236}">
              <a16:creationId xmlns:a16="http://schemas.microsoft.com/office/drawing/2014/main" id="{E1549217-9CE8-157E-D5D0-F0B044B562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7" name="Text Box 161">
          <a:extLst>
            <a:ext uri="{FF2B5EF4-FFF2-40B4-BE49-F238E27FC236}">
              <a16:creationId xmlns:a16="http://schemas.microsoft.com/office/drawing/2014/main" id="{7800B136-B3B7-E69A-29E3-C0461B69BF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8" name="Text Box 162">
          <a:extLst>
            <a:ext uri="{FF2B5EF4-FFF2-40B4-BE49-F238E27FC236}">
              <a16:creationId xmlns:a16="http://schemas.microsoft.com/office/drawing/2014/main" id="{43B8B412-CA39-D097-A012-8E8BFAB6CF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59" name="Text Box 163">
          <a:extLst>
            <a:ext uri="{FF2B5EF4-FFF2-40B4-BE49-F238E27FC236}">
              <a16:creationId xmlns:a16="http://schemas.microsoft.com/office/drawing/2014/main" id="{27B617B8-C14B-DDA8-2212-FF623BF896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0" name="Text Box 164">
          <a:extLst>
            <a:ext uri="{FF2B5EF4-FFF2-40B4-BE49-F238E27FC236}">
              <a16:creationId xmlns:a16="http://schemas.microsoft.com/office/drawing/2014/main" id="{31E4833A-3040-F0C2-AD0C-F0BCFEAC71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1" name="Text Box 165">
          <a:extLst>
            <a:ext uri="{FF2B5EF4-FFF2-40B4-BE49-F238E27FC236}">
              <a16:creationId xmlns:a16="http://schemas.microsoft.com/office/drawing/2014/main" id="{D89B0709-E7A4-792E-5CDB-8141162786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2" name="Text Box 166">
          <a:extLst>
            <a:ext uri="{FF2B5EF4-FFF2-40B4-BE49-F238E27FC236}">
              <a16:creationId xmlns:a16="http://schemas.microsoft.com/office/drawing/2014/main" id="{FE71F2F4-47A9-1119-84BD-15E90EDD89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3" name="Text Box 167">
          <a:extLst>
            <a:ext uri="{FF2B5EF4-FFF2-40B4-BE49-F238E27FC236}">
              <a16:creationId xmlns:a16="http://schemas.microsoft.com/office/drawing/2014/main" id="{2F72328B-7895-7701-569D-6B7A098152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4" name="Text Box 168">
          <a:extLst>
            <a:ext uri="{FF2B5EF4-FFF2-40B4-BE49-F238E27FC236}">
              <a16:creationId xmlns:a16="http://schemas.microsoft.com/office/drawing/2014/main" id="{0C721E99-EB1A-4AB9-CD95-F20946D86C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5" name="Text Box 169">
          <a:extLst>
            <a:ext uri="{FF2B5EF4-FFF2-40B4-BE49-F238E27FC236}">
              <a16:creationId xmlns:a16="http://schemas.microsoft.com/office/drawing/2014/main" id="{AA7968DF-4A6F-8774-1CBF-AC21439ED7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6" name="Text Box 170">
          <a:extLst>
            <a:ext uri="{FF2B5EF4-FFF2-40B4-BE49-F238E27FC236}">
              <a16:creationId xmlns:a16="http://schemas.microsoft.com/office/drawing/2014/main" id="{EF76EE46-0DC7-1E97-5B72-DBB17A7EAD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7" name="Text Box 171">
          <a:extLst>
            <a:ext uri="{FF2B5EF4-FFF2-40B4-BE49-F238E27FC236}">
              <a16:creationId xmlns:a16="http://schemas.microsoft.com/office/drawing/2014/main" id="{86ABECAF-AB6E-28D4-7E21-B0E58874A6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8" name="Text Box 172">
          <a:extLst>
            <a:ext uri="{FF2B5EF4-FFF2-40B4-BE49-F238E27FC236}">
              <a16:creationId xmlns:a16="http://schemas.microsoft.com/office/drawing/2014/main" id="{C5785DFD-575F-F644-6582-BDF5CBFA1F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69" name="Text Box 173">
          <a:extLst>
            <a:ext uri="{FF2B5EF4-FFF2-40B4-BE49-F238E27FC236}">
              <a16:creationId xmlns:a16="http://schemas.microsoft.com/office/drawing/2014/main" id="{0AC54710-7425-6DED-51CA-9A74B3AB9A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0" name="Text Box 174">
          <a:extLst>
            <a:ext uri="{FF2B5EF4-FFF2-40B4-BE49-F238E27FC236}">
              <a16:creationId xmlns:a16="http://schemas.microsoft.com/office/drawing/2014/main" id="{EB085124-F5BA-20E3-BF1A-7AA73A7EAA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1" name="Text Box 175">
          <a:extLst>
            <a:ext uri="{FF2B5EF4-FFF2-40B4-BE49-F238E27FC236}">
              <a16:creationId xmlns:a16="http://schemas.microsoft.com/office/drawing/2014/main" id="{EC6FFFAE-D5FD-B1AE-48A6-C9E838147C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2" name="Text Box 176">
          <a:extLst>
            <a:ext uri="{FF2B5EF4-FFF2-40B4-BE49-F238E27FC236}">
              <a16:creationId xmlns:a16="http://schemas.microsoft.com/office/drawing/2014/main" id="{FAD42274-7FA9-30B6-3D52-D6251840B9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3" name="Text Box 177">
          <a:extLst>
            <a:ext uri="{FF2B5EF4-FFF2-40B4-BE49-F238E27FC236}">
              <a16:creationId xmlns:a16="http://schemas.microsoft.com/office/drawing/2014/main" id="{60CE10C2-11A0-5CF4-2014-9888A60A31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4" name="Text Box 178">
          <a:extLst>
            <a:ext uri="{FF2B5EF4-FFF2-40B4-BE49-F238E27FC236}">
              <a16:creationId xmlns:a16="http://schemas.microsoft.com/office/drawing/2014/main" id="{45929741-179D-C21C-8C7F-4D2716FBBE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5" name="Text Box 179">
          <a:extLst>
            <a:ext uri="{FF2B5EF4-FFF2-40B4-BE49-F238E27FC236}">
              <a16:creationId xmlns:a16="http://schemas.microsoft.com/office/drawing/2014/main" id="{10D10931-8082-1F51-BF42-BFB045A9F0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6" name="Text Box 180">
          <a:extLst>
            <a:ext uri="{FF2B5EF4-FFF2-40B4-BE49-F238E27FC236}">
              <a16:creationId xmlns:a16="http://schemas.microsoft.com/office/drawing/2014/main" id="{C71BE552-4C84-7621-D2F5-D9A2C03720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7" name="Text Box 181">
          <a:extLst>
            <a:ext uri="{FF2B5EF4-FFF2-40B4-BE49-F238E27FC236}">
              <a16:creationId xmlns:a16="http://schemas.microsoft.com/office/drawing/2014/main" id="{AC125B83-9EF2-DE73-ED33-95D8623241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8" name="Text Box 182">
          <a:extLst>
            <a:ext uri="{FF2B5EF4-FFF2-40B4-BE49-F238E27FC236}">
              <a16:creationId xmlns:a16="http://schemas.microsoft.com/office/drawing/2014/main" id="{DD0260F9-A63A-D620-5D3F-977AB159DD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79" name="Text Box 183">
          <a:extLst>
            <a:ext uri="{FF2B5EF4-FFF2-40B4-BE49-F238E27FC236}">
              <a16:creationId xmlns:a16="http://schemas.microsoft.com/office/drawing/2014/main" id="{E48E3ADC-EA5B-0E3C-363D-4725B44901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0" name="Text Box 184">
          <a:extLst>
            <a:ext uri="{FF2B5EF4-FFF2-40B4-BE49-F238E27FC236}">
              <a16:creationId xmlns:a16="http://schemas.microsoft.com/office/drawing/2014/main" id="{241D15F6-5475-9F93-66B1-5AE6FCE79D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1" name="Text Box 185">
          <a:extLst>
            <a:ext uri="{FF2B5EF4-FFF2-40B4-BE49-F238E27FC236}">
              <a16:creationId xmlns:a16="http://schemas.microsoft.com/office/drawing/2014/main" id="{309B9057-BC35-D475-B4F6-8F1040ADD4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2" name="Text Box 186">
          <a:extLst>
            <a:ext uri="{FF2B5EF4-FFF2-40B4-BE49-F238E27FC236}">
              <a16:creationId xmlns:a16="http://schemas.microsoft.com/office/drawing/2014/main" id="{580F7C6A-F1C8-7AF3-D2B4-48852DD90B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3" name="Text Box 187">
          <a:extLst>
            <a:ext uri="{FF2B5EF4-FFF2-40B4-BE49-F238E27FC236}">
              <a16:creationId xmlns:a16="http://schemas.microsoft.com/office/drawing/2014/main" id="{DD777494-E451-1737-0777-F52595A3DA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4" name="Text Box 188">
          <a:extLst>
            <a:ext uri="{FF2B5EF4-FFF2-40B4-BE49-F238E27FC236}">
              <a16:creationId xmlns:a16="http://schemas.microsoft.com/office/drawing/2014/main" id="{343E3643-AB96-B94E-0374-96EED68349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5" name="Text Box 189">
          <a:extLst>
            <a:ext uri="{FF2B5EF4-FFF2-40B4-BE49-F238E27FC236}">
              <a16:creationId xmlns:a16="http://schemas.microsoft.com/office/drawing/2014/main" id="{C5DAD5D1-3022-9821-25A2-58D43159A2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6" name="Text Box 190">
          <a:extLst>
            <a:ext uri="{FF2B5EF4-FFF2-40B4-BE49-F238E27FC236}">
              <a16:creationId xmlns:a16="http://schemas.microsoft.com/office/drawing/2014/main" id="{B6C7B369-1C8B-B864-8633-B7B93C2FDE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7" name="Text Box 191">
          <a:extLst>
            <a:ext uri="{FF2B5EF4-FFF2-40B4-BE49-F238E27FC236}">
              <a16:creationId xmlns:a16="http://schemas.microsoft.com/office/drawing/2014/main" id="{EB418962-70F7-FABC-508E-D25E1A7767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8" name="Text Box 192">
          <a:extLst>
            <a:ext uri="{FF2B5EF4-FFF2-40B4-BE49-F238E27FC236}">
              <a16:creationId xmlns:a16="http://schemas.microsoft.com/office/drawing/2014/main" id="{4814B720-0105-6262-9A73-450EDBF6CF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89" name="Text Box 193">
          <a:extLst>
            <a:ext uri="{FF2B5EF4-FFF2-40B4-BE49-F238E27FC236}">
              <a16:creationId xmlns:a16="http://schemas.microsoft.com/office/drawing/2014/main" id="{668AA965-4049-6EC2-A258-AAC3B8BA43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0" name="Text Box 194">
          <a:extLst>
            <a:ext uri="{FF2B5EF4-FFF2-40B4-BE49-F238E27FC236}">
              <a16:creationId xmlns:a16="http://schemas.microsoft.com/office/drawing/2014/main" id="{0FA1C16D-B481-0540-58A5-073B34BE38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1" name="Text Box 195">
          <a:extLst>
            <a:ext uri="{FF2B5EF4-FFF2-40B4-BE49-F238E27FC236}">
              <a16:creationId xmlns:a16="http://schemas.microsoft.com/office/drawing/2014/main" id="{5BE5CE63-A97B-14DC-3FA9-8F931490D3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2" name="Text Box 196">
          <a:extLst>
            <a:ext uri="{FF2B5EF4-FFF2-40B4-BE49-F238E27FC236}">
              <a16:creationId xmlns:a16="http://schemas.microsoft.com/office/drawing/2014/main" id="{CAC92582-9A3F-2A61-07FF-1ECA4C1F39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3" name="Text Box 197">
          <a:extLst>
            <a:ext uri="{FF2B5EF4-FFF2-40B4-BE49-F238E27FC236}">
              <a16:creationId xmlns:a16="http://schemas.microsoft.com/office/drawing/2014/main" id="{46781EC1-25F6-C149-EA8E-B897668C9A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4" name="Text Box 198">
          <a:extLst>
            <a:ext uri="{FF2B5EF4-FFF2-40B4-BE49-F238E27FC236}">
              <a16:creationId xmlns:a16="http://schemas.microsoft.com/office/drawing/2014/main" id="{E47B2A3B-29DB-8192-6EA9-DDAC1A898B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5" name="Text Box 199">
          <a:extLst>
            <a:ext uri="{FF2B5EF4-FFF2-40B4-BE49-F238E27FC236}">
              <a16:creationId xmlns:a16="http://schemas.microsoft.com/office/drawing/2014/main" id="{57D14814-877D-F5E0-8D52-D828DE03C6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6" name="Text Box 200">
          <a:extLst>
            <a:ext uri="{FF2B5EF4-FFF2-40B4-BE49-F238E27FC236}">
              <a16:creationId xmlns:a16="http://schemas.microsoft.com/office/drawing/2014/main" id="{6EE997D8-1C76-27C1-7607-3E0E9AA64B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7" name="Text Box 201">
          <a:extLst>
            <a:ext uri="{FF2B5EF4-FFF2-40B4-BE49-F238E27FC236}">
              <a16:creationId xmlns:a16="http://schemas.microsoft.com/office/drawing/2014/main" id="{48ED45FB-4F57-995E-2649-15BC82ABBD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8" name="Text Box 202">
          <a:extLst>
            <a:ext uri="{FF2B5EF4-FFF2-40B4-BE49-F238E27FC236}">
              <a16:creationId xmlns:a16="http://schemas.microsoft.com/office/drawing/2014/main" id="{E422A254-2062-29A2-5E0D-6B4D32A075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299" name="Text Box 203">
          <a:extLst>
            <a:ext uri="{FF2B5EF4-FFF2-40B4-BE49-F238E27FC236}">
              <a16:creationId xmlns:a16="http://schemas.microsoft.com/office/drawing/2014/main" id="{F7CEB366-3740-BFA6-EFE9-C2E133E7E3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0" name="Text Box 204">
          <a:extLst>
            <a:ext uri="{FF2B5EF4-FFF2-40B4-BE49-F238E27FC236}">
              <a16:creationId xmlns:a16="http://schemas.microsoft.com/office/drawing/2014/main" id="{4F7BF6BF-347E-EDAB-6B03-B2E3BDF0D7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1" name="Text Box 205">
          <a:extLst>
            <a:ext uri="{FF2B5EF4-FFF2-40B4-BE49-F238E27FC236}">
              <a16:creationId xmlns:a16="http://schemas.microsoft.com/office/drawing/2014/main" id="{9736590F-CD9E-7768-7C46-8A77A699C3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2" name="Text Box 206">
          <a:extLst>
            <a:ext uri="{FF2B5EF4-FFF2-40B4-BE49-F238E27FC236}">
              <a16:creationId xmlns:a16="http://schemas.microsoft.com/office/drawing/2014/main" id="{FDA53F6F-9240-2111-1DA2-800D6FB339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3" name="Text Box 207">
          <a:extLst>
            <a:ext uri="{FF2B5EF4-FFF2-40B4-BE49-F238E27FC236}">
              <a16:creationId xmlns:a16="http://schemas.microsoft.com/office/drawing/2014/main" id="{6D796BE5-6A2C-FD59-27F1-DDD6D8B512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4" name="Text Box 208">
          <a:extLst>
            <a:ext uri="{FF2B5EF4-FFF2-40B4-BE49-F238E27FC236}">
              <a16:creationId xmlns:a16="http://schemas.microsoft.com/office/drawing/2014/main" id="{06B3CF9A-428D-E9D1-7ECB-DB115A4E24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5" name="Text Box 209">
          <a:extLst>
            <a:ext uri="{FF2B5EF4-FFF2-40B4-BE49-F238E27FC236}">
              <a16:creationId xmlns:a16="http://schemas.microsoft.com/office/drawing/2014/main" id="{D08B2BD1-AFAA-5172-8FDC-FCD56F7B22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6" name="Text Box 210">
          <a:extLst>
            <a:ext uri="{FF2B5EF4-FFF2-40B4-BE49-F238E27FC236}">
              <a16:creationId xmlns:a16="http://schemas.microsoft.com/office/drawing/2014/main" id="{835A9435-6684-8A2F-67B1-0EDD3DBE89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7" name="Text Box 211">
          <a:extLst>
            <a:ext uri="{FF2B5EF4-FFF2-40B4-BE49-F238E27FC236}">
              <a16:creationId xmlns:a16="http://schemas.microsoft.com/office/drawing/2014/main" id="{B50AA621-E141-DC56-F43D-9C322621D6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8" name="Text Box 212">
          <a:extLst>
            <a:ext uri="{FF2B5EF4-FFF2-40B4-BE49-F238E27FC236}">
              <a16:creationId xmlns:a16="http://schemas.microsoft.com/office/drawing/2014/main" id="{1AC0E864-FD38-2AC8-57B2-2EADBE2674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09" name="Text Box 213">
          <a:extLst>
            <a:ext uri="{FF2B5EF4-FFF2-40B4-BE49-F238E27FC236}">
              <a16:creationId xmlns:a16="http://schemas.microsoft.com/office/drawing/2014/main" id="{10455A51-CC9C-5EDE-95BC-742C5BABF8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0" name="Text Box 214">
          <a:extLst>
            <a:ext uri="{FF2B5EF4-FFF2-40B4-BE49-F238E27FC236}">
              <a16:creationId xmlns:a16="http://schemas.microsoft.com/office/drawing/2014/main" id="{62088C7A-B69E-4DA9-1A18-1310919BDE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1" name="Text Box 215">
          <a:extLst>
            <a:ext uri="{FF2B5EF4-FFF2-40B4-BE49-F238E27FC236}">
              <a16:creationId xmlns:a16="http://schemas.microsoft.com/office/drawing/2014/main" id="{572D88FC-F7D1-1177-A3B6-341B809662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2" name="Text Box 216">
          <a:extLst>
            <a:ext uri="{FF2B5EF4-FFF2-40B4-BE49-F238E27FC236}">
              <a16:creationId xmlns:a16="http://schemas.microsoft.com/office/drawing/2014/main" id="{D78A50AF-EB02-E4D7-8FD0-51A42ABF72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3" name="Text Box 217">
          <a:extLst>
            <a:ext uri="{FF2B5EF4-FFF2-40B4-BE49-F238E27FC236}">
              <a16:creationId xmlns:a16="http://schemas.microsoft.com/office/drawing/2014/main" id="{160F8432-9184-2625-D752-61DB14610D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4" name="Text Box 218">
          <a:extLst>
            <a:ext uri="{FF2B5EF4-FFF2-40B4-BE49-F238E27FC236}">
              <a16:creationId xmlns:a16="http://schemas.microsoft.com/office/drawing/2014/main" id="{9532E564-1488-F10B-4A67-1FD850BD4D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5" name="Text Box 219">
          <a:extLst>
            <a:ext uri="{FF2B5EF4-FFF2-40B4-BE49-F238E27FC236}">
              <a16:creationId xmlns:a16="http://schemas.microsoft.com/office/drawing/2014/main" id="{B8474B9E-CE76-223E-8268-C568A048EB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6" name="Text Box 220">
          <a:extLst>
            <a:ext uri="{FF2B5EF4-FFF2-40B4-BE49-F238E27FC236}">
              <a16:creationId xmlns:a16="http://schemas.microsoft.com/office/drawing/2014/main" id="{850EC4E5-0E19-9FD4-9AC7-3837FC8595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7" name="Text Box 221">
          <a:extLst>
            <a:ext uri="{FF2B5EF4-FFF2-40B4-BE49-F238E27FC236}">
              <a16:creationId xmlns:a16="http://schemas.microsoft.com/office/drawing/2014/main" id="{D77722A5-26F9-3595-DFA5-4F4F62570B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8" name="Text Box 222">
          <a:extLst>
            <a:ext uri="{FF2B5EF4-FFF2-40B4-BE49-F238E27FC236}">
              <a16:creationId xmlns:a16="http://schemas.microsoft.com/office/drawing/2014/main" id="{CFF88220-66A0-98DD-0304-E12A5F0A84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19" name="Text Box 223">
          <a:extLst>
            <a:ext uri="{FF2B5EF4-FFF2-40B4-BE49-F238E27FC236}">
              <a16:creationId xmlns:a16="http://schemas.microsoft.com/office/drawing/2014/main" id="{2CD2A490-0306-490E-0E95-BCF9367B6D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0" name="Text Box 224">
          <a:extLst>
            <a:ext uri="{FF2B5EF4-FFF2-40B4-BE49-F238E27FC236}">
              <a16:creationId xmlns:a16="http://schemas.microsoft.com/office/drawing/2014/main" id="{B65DDB90-52F8-6901-5F49-7A34296EEC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1" name="Text Box 225">
          <a:extLst>
            <a:ext uri="{FF2B5EF4-FFF2-40B4-BE49-F238E27FC236}">
              <a16:creationId xmlns:a16="http://schemas.microsoft.com/office/drawing/2014/main" id="{A1A9C19E-B2BE-F7EA-0D07-9000D33409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2" name="Text Box 226">
          <a:extLst>
            <a:ext uri="{FF2B5EF4-FFF2-40B4-BE49-F238E27FC236}">
              <a16:creationId xmlns:a16="http://schemas.microsoft.com/office/drawing/2014/main" id="{EA9BFB1D-2F42-85D0-FEC9-0503343CFE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3" name="Text Box 227">
          <a:extLst>
            <a:ext uri="{FF2B5EF4-FFF2-40B4-BE49-F238E27FC236}">
              <a16:creationId xmlns:a16="http://schemas.microsoft.com/office/drawing/2014/main" id="{61D1A939-0957-0336-6012-FF029D0A22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4" name="Text Box 228">
          <a:extLst>
            <a:ext uri="{FF2B5EF4-FFF2-40B4-BE49-F238E27FC236}">
              <a16:creationId xmlns:a16="http://schemas.microsoft.com/office/drawing/2014/main" id="{95B02DC1-2733-4F98-B65E-5C638F6C22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5" name="Text Box 229">
          <a:extLst>
            <a:ext uri="{FF2B5EF4-FFF2-40B4-BE49-F238E27FC236}">
              <a16:creationId xmlns:a16="http://schemas.microsoft.com/office/drawing/2014/main" id="{5C400C15-8B28-771B-B7E8-D99E5E2A25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6" name="Text Box 230">
          <a:extLst>
            <a:ext uri="{FF2B5EF4-FFF2-40B4-BE49-F238E27FC236}">
              <a16:creationId xmlns:a16="http://schemas.microsoft.com/office/drawing/2014/main" id="{97BA8A83-4A5A-39EA-A522-0C08C96419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7" name="Text Box 231">
          <a:extLst>
            <a:ext uri="{FF2B5EF4-FFF2-40B4-BE49-F238E27FC236}">
              <a16:creationId xmlns:a16="http://schemas.microsoft.com/office/drawing/2014/main" id="{DC003375-5741-42C5-DEB8-D645A57C4A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8" name="Text Box 232">
          <a:extLst>
            <a:ext uri="{FF2B5EF4-FFF2-40B4-BE49-F238E27FC236}">
              <a16:creationId xmlns:a16="http://schemas.microsoft.com/office/drawing/2014/main" id="{B7DBA056-568D-D28B-64C7-E54683709D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29" name="Text Box 233">
          <a:extLst>
            <a:ext uri="{FF2B5EF4-FFF2-40B4-BE49-F238E27FC236}">
              <a16:creationId xmlns:a16="http://schemas.microsoft.com/office/drawing/2014/main" id="{38BD4A69-D231-738C-0880-8B7E6A49EF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0" name="Text Box 234">
          <a:extLst>
            <a:ext uri="{FF2B5EF4-FFF2-40B4-BE49-F238E27FC236}">
              <a16:creationId xmlns:a16="http://schemas.microsoft.com/office/drawing/2014/main" id="{87021477-B2FB-B8ED-CFF8-A11BF91619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1" name="Text Box 235">
          <a:extLst>
            <a:ext uri="{FF2B5EF4-FFF2-40B4-BE49-F238E27FC236}">
              <a16:creationId xmlns:a16="http://schemas.microsoft.com/office/drawing/2014/main" id="{0CD5C950-4391-C9A2-BC22-8410E2F52C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2" name="Text Box 236">
          <a:extLst>
            <a:ext uri="{FF2B5EF4-FFF2-40B4-BE49-F238E27FC236}">
              <a16:creationId xmlns:a16="http://schemas.microsoft.com/office/drawing/2014/main" id="{0E5D68F9-FA1B-217E-7354-4641875FA2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3" name="Text Box 237">
          <a:extLst>
            <a:ext uri="{FF2B5EF4-FFF2-40B4-BE49-F238E27FC236}">
              <a16:creationId xmlns:a16="http://schemas.microsoft.com/office/drawing/2014/main" id="{7BBADF36-0110-3B0E-CA74-B73500459E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4" name="Text Box 238">
          <a:extLst>
            <a:ext uri="{FF2B5EF4-FFF2-40B4-BE49-F238E27FC236}">
              <a16:creationId xmlns:a16="http://schemas.microsoft.com/office/drawing/2014/main" id="{5529597E-B2A2-8699-870B-79118EF840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5" name="Text Box 239">
          <a:extLst>
            <a:ext uri="{FF2B5EF4-FFF2-40B4-BE49-F238E27FC236}">
              <a16:creationId xmlns:a16="http://schemas.microsoft.com/office/drawing/2014/main" id="{DA792569-C368-415B-2183-7505A1A4CA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6" name="Text Box 240">
          <a:extLst>
            <a:ext uri="{FF2B5EF4-FFF2-40B4-BE49-F238E27FC236}">
              <a16:creationId xmlns:a16="http://schemas.microsoft.com/office/drawing/2014/main" id="{ADCA4A97-66F9-EB45-DE82-176AEF0272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7" name="Text Box 241">
          <a:extLst>
            <a:ext uri="{FF2B5EF4-FFF2-40B4-BE49-F238E27FC236}">
              <a16:creationId xmlns:a16="http://schemas.microsoft.com/office/drawing/2014/main" id="{4DC776DA-275B-B6EE-1A69-72DCC87091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8" name="Text Box 242">
          <a:extLst>
            <a:ext uri="{FF2B5EF4-FFF2-40B4-BE49-F238E27FC236}">
              <a16:creationId xmlns:a16="http://schemas.microsoft.com/office/drawing/2014/main" id="{5D457712-5BF7-A81D-40AA-C1013C3FAE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39" name="Text Box 243">
          <a:extLst>
            <a:ext uri="{FF2B5EF4-FFF2-40B4-BE49-F238E27FC236}">
              <a16:creationId xmlns:a16="http://schemas.microsoft.com/office/drawing/2014/main" id="{B58ED77B-5F5E-9BD7-081C-403381DEE9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0" name="Text Box 244">
          <a:extLst>
            <a:ext uri="{FF2B5EF4-FFF2-40B4-BE49-F238E27FC236}">
              <a16:creationId xmlns:a16="http://schemas.microsoft.com/office/drawing/2014/main" id="{81F7EB0E-2F39-3A83-555F-B7E57BF34D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1" name="Text Box 245">
          <a:extLst>
            <a:ext uri="{FF2B5EF4-FFF2-40B4-BE49-F238E27FC236}">
              <a16:creationId xmlns:a16="http://schemas.microsoft.com/office/drawing/2014/main" id="{F4A8DA53-F79D-3165-1ED2-DDC2F20E1E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2" name="Text Box 246">
          <a:extLst>
            <a:ext uri="{FF2B5EF4-FFF2-40B4-BE49-F238E27FC236}">
              <a16:creationId xmlns:a16="http://schemas.microsoft.com/office/drawing/2014/main" id="{62FA8309-BC3B-FE59-3C76-649540C7DC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3" name="Text Box 247">
          <a:extLst>
            <a:ext uri="{FF2B5EF4-FFF2-40B4-BE49-F238E27FC236}">
              <a16:creationId xmlns:a16="http://schemas.microsoft.com/office/drawing/2014/main" id="{ED767054-B84D-A7D3-164E-1B5F467107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4" name="Text Box 248">
          <a:extLst>
            <a:ext uri="{FF2B5EF4-FFF2-40B4-BE49-F238E27FC236}">
              <a16:creationId xmlns:a16="http://schemas.microsoft.com/office/drawing/2014/main" id="{04DCB2DC-2516-B508-C9F4-31CBBD16FF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5" name="Text Box 249">
          <a:extLst>
            <a:ext uri="{FF2B5EF4-FFF2-40B4-BE49-F238E27FC236}">
              <a16:creationId xmlns:a16="http://schemas.microsoft.com/office/drawing/2014/main" id="{5BF890D2-173B-4A33-6FA7-0B7CCF5F8D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6" name="Text Box 250">
          <a:extLst>
            <a:ext uri="{FF2B5EF4-FFF2-40B4-BE49-F238E27FC236}">
              <a16:creationId xmlns:a16="http://schemas.microsoft.com/office/drawing/2014/main" id="{4FB57C7B-F2F7-9BE8-A42E-DD7A43780C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7" name="Text Box 251">
          <a:extLst>
            <a:ext uri="{FF2B5EF4-FFF2-40B4-BE49-F238E27FC236}">
              <a16:creationId xmlns:a16="http://schemas.microsoft.com/office/drawing/2014/main" id="{44A4B6E0-191C-60A1-F19C-BE1C6F9C4E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8" name="Text Box 252">
          <a:extLst>
            <a:ext uri="{FF2B5EF4-FFF2-40B4-BE49-F238E27FC236}">
              <a16:creationId xmlns:a16="http://schemas.microsoft.com/office/drawing/2014/main" id="{5B6A7ABF-EE49-E265-3788-03B28EB201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49" name="Text Box 253">
          <a:extLst>
            <a:ext uri="{FF2B5EF4-FFF2-40B4-BE49-F238E27FC236}">
              <a16:creationId xmlns:a16="http://schemas.microsoft.com/office/drawing/2014/main" id="{97499BB6-4A1A-B614-E206-D757987825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0" name="Text Box 254">
          <a:extLst>
            <a:ext uri="{FF2B5EF4-FFF2-40B4-BE49-F238E27FC236}">
              <a16:creationId xmlns:a16="http://schemas.microsoft.com/office/drawing/2014/main" id="{4809C67C-A8EF-8D8E-A3DD-F16E66D0DC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1" name="Text Box 255">
          <a:extLst>
            <a:ext uri="{FF2B5EF4-FFF2-40B4-BE49-F238E27FC236}">
              <a16:creationId xmlns:a16="http://schemas.microsoft.com/office/drawing/2014/main" id="{63EA0E60-6E34-4CA6-517C-EFDAA55E2F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2" name="Text Box 256">
          <a:extLst>
            <a:ext uri="{FF2B5EF4-FFF2-40B4-BE49-F238E27FC236}">
              <a16:creationId xmlns:a16="http://schemas.microsoft.com/office/drawing/2014/main" id="{38D5368A-26F2-DD71-4B4B-B08F666A6E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3" name="Text Box 257">
          <a:extLst>
            <a:ext uri="{FF2B5EF4-FFF2-40B4-BE49-F238E27FC236}">
              <a16:creationId xmlns:a16="http://schemas.microsoft.com/office/drawing/2014/main" id="{C3024F2E-55CB-24DC-16D5-5435D2EC06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4" name="Text Box 258">
          <a:extLst>
            <a:ext uri="{FF2B5EF4-FFF2-40B4-BE49-F238E27FC236}">
              <a16:creationId xmlns:a16="http://schemas.microsoft.com/office/drawing/2014/main" id="{3322A029-AB4A-3E41-FC1A-F288D70594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5" name="Text Box 259">
          <a:extLst>
            <a:ext uri="{FF2B5EF4-FFF2-40B4-BE49-F238E27FC236}">
              <a16:creationId xmlns:a16="http://schemas.microsoft.com/office/drawing/2014/main" id="{51AA4E1A-F1AC-8B55-E76A-678460F3A7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6" name="Text Box 260">
          <a:extLst>
            <a:ext uri="{FF2B5EF4-FFF2-40B4-BE49-F238E27FC236}">
              <a16:creationId xmlns:a16="http://schemas.microsoft.com/office/drawing/2014/main" id="{086275E6-B3D1-4EA6-8060-0B3BFAA0CC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7" name="Text Box 261">
          <a:extLst>
            <a:ext uri="{FF2B5EF4-FFF2-40B4-BE49-F238E27FC236}">
              <a16:creationId xmlns:a16="http://schemas.microsoft.com/office/drawing/2014/main" id="{E418654E-50CF-448B-01A7-BFB25C1F02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8" name="Text Box 262">
          <a:extLst>
            <a:ext uri="{FF2B5EF4-FFF2-40B4-BE49-F238E27FC236}">
              <a16:creationId xmlns:a16="http://schemas.microsoft.com/office/drawing/2014/main" id="{43FFE90B-6402-F98F-5029-1D1AF0B53E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59" name="Text Box 263">
          <a:extLst>
            <a:ext uri="{FF2B5EF4-FFF2-40B4-BE49-F238E27FC236}">
              <a16:creationId xmlns:a16="http://schemas.microsoft.com/office/drawing/2014/main" id="{A4DB350E-39E1-7D92-7873-609DADF07B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0" name="Text Box 264">
          <a:extLst>
            <a:ext uri="{FF2B5EF4-FFF2-40B4-BE49-F238E27FC236}">
              <a16:creationId xmlns:a16="http://schemas.microsoft.com/office/drawing/2014/main" id="{4A298B14-27A3-1B1A-FD6F-A3CE1F9B22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1" name="Text Box 265">
          <a:extLst>
            <a:ext uri="{FF2B5EF4-FFF2-40B4-BE49-F238E27FC236}">
              <a16:creationId xmlns:a16="http://schemas.microsoft.com/office/drawing/2014/main" id="{01354649-F7E5-13AE-E69B-F7EC0D1EBA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2" name="Text Box 266">
          <a:extLst>
            <a:ext uri="{FF2B5EF4-FFF2-40B4-BE49-F238E27FC236}">
              <a16:creationId xmlns:a16="http://schemas.microsoft.com/office/drawing/2014/main" id="{A67FE214-A9D0-866F-36E7-F2B046A130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3" name="Text Box 267">
          <a:extLst>
            <a:ext uri="{FF2B5EF4-FFF2-40B4-BE49-F238E27FC236}">
              <a16:creationId xmlns:a16="http://schemas.microsoft.com/office/drawing/2014/main" id="{28879FC1-796D-B9BD-CD10-33F70A0870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4" name="Text Box 268">
          <a:extLst>
            <a:ext uri="{FF2B5EF4-FFF2-40B4-BE49-F238E27FC236}">
              <a16:creationId xmlns:a16="http://schemas.microsoft.com/office/drawing/2014/main" id="{F86C55B9-089C-9052-3565-B3C2E18EC0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5" name="Text Box 269">
          <a:extLst>
            <a:ext uri="{FF2B5EF4-FFF2-40B4-BE49-F238E27FC236}">
              <a16:creationId xmlns:a16="http://schemas.microsoft.com/office/drawing/2014/main" id="{F51021C8-0EE0-96E5-F14E-3A0B0BE239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6" name="Text Box 270">
          <a:extLst>
            <a:ext uri="{FF2B5EF4-FFF2-40B4-BE49-F238E27FC236}">
              <a16:creationId xmlns:a16="http://schemas.microsoft.com/office/drawing/2014/main" id="{77FE1599-77CB-AB77-4CC2-FA88687F75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7" name="Text Box 271">
          <a:extLst>
            <a:ext uri="{FF2B5EF4-FFF2-40B4-BE49-F238E27FC236}">
              <a16:creationId xmlns:a16="http://schemas.microsoft.com/office/drawing/2014/main" id="{24761C72-4D95-D088-D11F-30759C39C4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8" name="Text Box 272">
          <a:extLst>
            <a:ext uri="{FF2B5EF4-FFF2-40B4-BE49-F238E27FC236}">
              <a16:creationId xmlns:a16="http://schemas.microsoft.com/office/drawing/2014/main" id="{446AD921-AF93-7C11-D697-AEDF1A0FE1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69" name="Text Box 273">
          <a:extLst>
            <a:ext uri="{FF2B5EF4-FFF2-40B4-BE49-F238E27FC236}">
              <a16:creationId xmlns:a16="http://schemas.microsoft.com/office/drawing/2014/main" id="{F6A7F5C4-8602-3B7C-668A-93BBDA4A8F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0" name="Text Box 274">
          <a:extLst>
            <a:ext uri="{FF2B5EF4-FFF2-40B4-BE49-F238E27FC236}">
              <a16:creationId xmlns:a16="http://schemas.microsoft.com/office/drawing/2014/main" id="{6EC00256-5917-B844-B41B-7786C9CEEC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1" name="Text Box 275">
          <a:extLst>
            <a:ext uri="{FF2B5EF4-FFF2-40B4-BE49-F238E27FC236}">
              <a16:creationId xmlns:a16="http://schemas.microsoft.com/office/drawing/2014/main" id="{ECE9C469-A324-04A6-00B2-0AEDF7FC16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2" name="Text Box 276">
          <a:extLst>
            <a:ext uri="{FF2B5EF4-FFF2-40B4-BE49-F238E27FC236}">
              <a16:creationId xmlns:a16="http://schemas.microsoft.com/office/drawing/2014/main" id="{B2555355-42D1-84E2-9A8A-5C52FBF66C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3" name="Text Box 277">
          <a:extLst>
            <a:ext uri="{FF2B5EF4-FFF2-40B4-BE49-F238E27FC236}">
              <a16:creationId xmlns:a16="http://schemas.microsoft.com/office/drawing/2014/main" id="{D0E37C45-EE05-E4D4-3500-15E637B69A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4" name="Text Box 278">
          <a:extLst>
            <a:ext uri="{FF2B5EF4-FFF2-40B4-BE49-F238E27FC236}">
              <a16:creationId xmlns:a16="http://schemas.microsoft.com/office/drawing/2014/main" id="{E790C4FF-3689-F5BC-B581-BBD4EC1A46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5" name="Text Box 279">
          <a:extLst>
            <a:ext uri="{FF2B5EF4-FFF2-40B4-BE49-F238E27FC236}">
              <a16:creationId xmlns:a16="http://schemas.microsoft.com/office/drawing/2014/main" id="{18E34395-EF52-EB29-6872-7B26778315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6" name="Text Box 280">
          <a:extLst>
            <a:ext uri="{FF2B5EF4-FFF2-40B4-BE49-F238E27FC236}">
              <a16:creationId xmlns:a16="http://schemas.microsoft.com/office/drawing/2014/main" id="{6AD2B489-6E10-2064-3562-CB360F09E89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7" name="Text Box 281">
          <a:extLst>
            <a:ext uri="{FF2B5EF4-FFF2-40B4-BE49-F238E27FC236}">
              <a16:creationId xmlns:a16="http://schemas.microsoft.com/office/drawing/2014/main" id="{807DB3F0-2B55-FE40-40D1-97CCABD93C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8" name="Text Box 282">
          <a:extLst>
            <a:ext uri="{FF2B5EF4-FFF2-40B4-BE49-F238E27FC236}">
              <a16:creationId xmlns:a16="http://schemas.microsoft.com/office/drawing/2014/main" id="{B1C01527-9128-D0EC-89CA-11A0B14C76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79" name="Text Box 283">
          <a:extLst>
            <a:ext uri="{FF2B5EF4-FFF2-40B4-BE49-F238E27FC236}">
              <a16:creationId xmlns:a16="http://schemas.microsoft.com/office/drawing/2014/main" id="{0EE9254A-9F00-830E-4122-011E84B3E7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0" name="Text Box 284">
          <a:extLst>
            <a:ext uri="{FF2B5EF4-FFF2-40B4-BE49-F238E27FC236}">
              <a16:creationId xmlns:a16="http://schemas.microsoft.com/office/drawing/2014/main" id="{CE78F943-8D44-50F4-7C4C-A7DC75F232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1" name="Text Box 285">
          <a:extLst>
            <a:ext uri="{FF2B5EF4-FFF2-40B4-BE49-F238E27FC236}">
              <a16:creationId xmlns:a16="http://schemas.microsoft.com/office/drawing/2014/main" id="{44730168-370A-CC72-020C-A5B1ACBB6A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2" name="Text Box 286">
          <a:extLst>
            <a:ext uri="{FF2B5EF4-FFF2-40B4-BE49-F238E27FC236}">
              <a16:creationId xmlns:a16="http://schemas.microsoft.com/office/drawing/2014/main" id="{A12B8502-49A0-F1F2-27CE-2C82496DBD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3" name="Text Box 287">
          <a:extLst>
            <a:ext uri="{FF2B5EF4-FFF2-40B4-BE49-F238E27FC236}">
              <a16:creationId xmlns:a16="http://schemas.microsoft.com/office/drawing/2014/main" id="{730EA620-17DA-4870-DCC6-DC900CBCFC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4" name="Text Box 288">
          <a:extLst>
            <a:ext uri="{FF2B5EF4-FFF2-40B4-BE49-F238E27FC236}">
              <a16:creationId xmlns:a16="http://schemas.microsoft.com/office/drawing/2014/main" id="{61AF3BF0-2B7C-D4CC-F314-5459460E8F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5" name="Text Box 289">
          <a:extLst>
            <a:ext uri="{FF2B5EF4-FFF2-40B4-BE49-F238E27FC236}">
              <a16:creationId xmlns:a16="http://schemas.microsoft.com/office/drawing/2014/main" id="{05C42572-1BCE-A7BB-E89E-580E369307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6" name="Text Box 290">
          <a:extLst>
            <a:ext uri="{FF2B5EF4-FFF2-40B4-BE49-F238E27FC236}">
              <a16:creationId xmlns:a16="http://schemas.microsoft.com/office/drawing/2014/main" id="{791423FF-DD14-4D3D-7507-E5DAF27708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7" name="Text Box 291">
          <a:extLst>
            <a:ext uri="{FF2B5EF4-FFF2-40B4-BE49-F238E27FC236}">
              <a16:creationId xmlns:a16="http://schemas.microsoft.com/office/drawing/2014/main" id="{9CA248EE-29AE-0707-063F-8CD4C8C694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8" name="Text Box 292">
          <a:extLst>
            <a:ext uri="{FF2B5EF4-FFF2-40B4-BE49-F238E27FC236}">
              <a16:creationId xmlns:a16="http://schemas.microsoft.com/office/drawing/2014/main" id="{15383906-6F7B-6F89-5305-755EB6898F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89" name="Text Box 293">
          <a:extLst>
            <a:ext uri="{FF2B5EF4-FFF2-40B4-BE49-F238E27FC236}">
              <a16:creationId xmlns:a16="http://schemas.microsoft.com/office/drawing/2014/main" id="{E9652562-FE5E-0567-D16B-8F35236B19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0" name="Text Box 294">
          <a:extLst>
            <a:ext uri="{FF2B5EF4-FFF2-40B4-BE49-F238E27FC236}">
              <a16:creationId xmlns:a16="http://schemas.microsoft.com/office/drawing/2014/main" id="{C5BD8AE7-0766-531E-A7D4-065B8B8D2E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1" name="Text Box 295">
          <a:extLst>
            <a:ext uri="{FF2B5EF4-FFF2-40B4-BE49-F238E27FC236}">
              <a16:creationId xmlns:a16="http://schemas.microsoft.com/office/drawing/2014/main" id="{27F0B7E2-8349-04BD-6C18-012D21FF3D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2" name="Text Box 296">
          <a:extLst>
            <a:ext uri="{FF2B5EF4-FFF2-40B4-BE49-F238E27FC236}">
              <a16:creationId xmlns:a16="http://schemas.microsoft.com/office/drawing/2014/main" id="{EFCF3514-9CD4-CD0F-E7CC-48E336AC64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3" name="Text Box 297">
          <a:extLst>
            <a:ext uri="{FF2B5EF4-FFF2-40B4-BE49-F238E27FC236}">
              <a16:creationId xmlns:a16="http://schemas.microsoft.com/office/drawing/2014/main" id="{93AB42D8-1AD3-CC69-2D82-95C24095A5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4" name="Text Box 298">
          <a:extLst>
            <a:ext uri="{FF2B5EF4-FFF2-40B4-BE49-F238E27FC236}">
              <a16:creationId xmlns:a16="http://schemas.microsoft.com/office/drawing/2014/main" id="{6039C4E9-4CBA-68E2-0DA9-5AD7B8127C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5" name="Text Box 299">
          <a:extLst>
            <a:ext uri="{FF2B5EF4-FFF2-40B4-BE49-F238E27FC236}">
              <a16:creationId xmlns:a16="http://schemas.microsoft.com/office/drawing/2014/main" id="{D361FCE1-6681-7208-8B71-19D0137151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6" name="Text Box 300">
          <a:extLst>
            <a:ext uri="{FF2B5EF4-FFF2-40B4-BE49-F238E27FC236}">
              <a16:creationId xmlns:a16="http://schemas.microsoft.com/office/drawing/2014/main" id="{595B0470-563C-BA8B-C105-06EF1DC125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7" name="Text Box 301">
          <a:extLst>
            <a:ext uri="{FF2B5EF4-FFF2-40B4-BE49-F238E27FC236}">
              <a16:creationId xmlns:a16="http://schemas.microsoft.com/office/drawing/2014/main" id="{96A40030-83CF-947F-AB67-4C62449805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8" name="Text Box 302">
          <a:extLst>
            <a:ext uri="{FF2B5EF4-FFF2-40B4-BE49-F238E27FC236}">
              <a16:creationId xmlns:a16="http://schemas.microsoft.com/office/drawing/2014/main" id="{AA15D1A1-91C1-EB34-73E2-665D347E14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399" name="Text Box 303">
          <a:extLst>
            <a:ext uri="{FF2B5EF4-FFF2-40B4-BE49-F238E27FC236}">
              <a16:creationId xmlns:a16="http://schemas.microsoft.com/office/drawing/2014/main" id="{E63F78EA-AF19-0806-BAD5-ACD2ECD7E9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0" name="Text Box 304">
          <a:extLst>
            <a:ext uri="{FF2B5EF4-FFF2-40B4-BE49-F238E27FC236}">
              <a16:creationId xmlns:a16="http://schemas.microsoft.com/office/drawing/2014/main" id="{283134A5-2025-0540-756E-B769CE8593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1" name="Text Box 305">
          <a:extLst>
            <a:ext uri="{FF2B5EF4-FFF2-40B4-BE49-F238E27FC236}">
              <a16:creationId xmlns:a16="http://schemas.microsoft.com/office/drawing/2014/main" id="{9C589DDA-98BB-119D-CBF9-CE30AC91F7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2" name="Text Box 306">
          <a:extLst>
            <a:ext uri="{FF2B5EF4-FFF2-40B4-BE49-F238E27FC236}">
              <a16:creationId xmlns:a16="http://schemas.microsoft.com/office/drawing/2014/main" id="{DCFF839F-B75D-A45C-8997-260FB8CA9B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3" name="Text Box 307">
          <a:extLst>
            <a:ext uri="{FF2B5EF4-FFF2-40B4-BE49-F238E27FC236}">
              <a16:creationId xmlns:a16="http://schemas.microsoft.com/office/drawing/2014/main" id="{E1A1745E-D18B-6C8A-5722-659228345D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4" name="Text Box 308">
          <a:extLst>
            <a:ext uri="{FF2B5EF4-FFF2-40B4-BE49-F238E27FC236}">
              <a16:creationId xmlns:a16="http://schemas.microsoft.com/office/drawing/2014/main" id="{D93FE708-5C0D-079A-D502-3277D7C015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5" name="Text Box 309">
          <a:extLst>
            <a:ext uri="{FF2B5EF4-FFF2-40B4-BE49-F238E27FC236}">
              <a16:creationId xmlns:a16="http://schemas.microsoft.com/office/drawing/2014/main" id="{335E4737-F109-9957-92C0-6238ED1C42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6" name="Text Box 310">
          <a:extLst>
            <a:ext uri="{FF2B5EF4-FFF2-40B4-BE49-F238E27FC236}">
              <a16:creationId xmlns:a16="http://schemas.microsoft.com/office/drawing/2014/main" id="{95578F6F-9704-A3FA-AA03-DEF9073110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7" name="Text Box 311">
          <a:extLst>
            <a:ext uri="{FF2B5EF4-FFF2-40B4-BE49-F238E27FC236}">
              <a16:creationId xmlns:a16="http://schemas.microsoft.com/office/drawing/2014/main" id="{59134DDD-D7D1-ECCE-C6E7-498D87186A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8" name="Text Box 312">
          <a:extLst>
            <a:ext uri="{FF2B5EF4-FFF2-40B4-BE49-F238E27FC236}">
              <a16:creationId xmlns:a16="http://schemas.microsoft.com/office/drawing/2014/main" id="{BA70F666-D822-2B82-22E1-30CB79E094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09" name="Text Box 313">
          <a:extLst>
            <a:ext uri="{FF2B5EF4-FFF2-40B4-BE49-F238E27FC236}">
              <a16:creationId xmlns:a16="http://schemas.microsoft.com/office/drawing/2014/main" id="{B1400BF9-759F-22C6-4682-007903C50A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0" name="Text Box 314">
          <a:extLst>
            <a:ext uri="{FF2B5EF4-FFF2-40B4-BE49-F238E27FC236}">
              <a16:creationId xmlns:a16="http://schemas.microsoft.com/office/drawing/2014/main" id="{7ECBB033-E701-7340-B4C3-6103D3B6DE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1" name="Text Box 315">
          <a:extLst>
            <a:ext uri="{FF2B5EF4-FFF2-40B4-BE49-F238E27FC236}">
              <a16:creationId xmlns:a16="http://schemas.microsoft.com/office/drawing/2014/main" id="{1397632B-CA83-5663-1A1A-38DB633DA5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2" name="Text Box 316">
          <a:extLst>
            <a:ext uri="{FF2B5EF4-FFF2-40B4-BE49-F238E27FC236}">
              <a16:creationId xmlns:a16="http://schemas.microsoft.com/office/drawing/2014/main" id="{F17BE91D-A02C-1769-B79B-4057EA174A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3" name="Text Box 317">
          <a:extLst>
            <a:ext uri="{FF2B5EF4-FFF2-40B4-BE49-F238E27FC236}">
              <a16:creationId xmlns:a16="http://schemas.microsoft.com/office/drawing/2014/main" id="{7259D3DB-DE05-C1BB-CB79-C0A5212BA8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4" name="Text Box 318">
          <a:extLst>
            <a:ext uri="{FF2B5EF4-FFF2-40B4-BE49-F238E27FC236}">
              <a16:creationId xmlns:a16="http://schemas.microsoft.com/office/drawing/2014/main" id="{89F9D527-40AC-8D38-8800-8E66B7590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5" name="Text Box 319">
          <a:extLst>
            <a:ext uri="{FF2B5EF4-FFF2-40B4-BE49-F238E27FC236}">
              <a16:creationId xmlns:a16="http://schemas.microsoft.com/office/drawing/2014/main" id="{CB07D41D-5780-DE7C-8FEC-E9F339E3A8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6" name="Text Box 320">
          <a:extLst>
            <a:ext uri="{FF2B5EF4-FFF2-40B4-BE49-F238E27FC236}">
              <a16:creationId xmlns:a16="http://schemas.microsoft.com/office/drawing/2014/main" id="{5A45EAEB-12C7-B2F1-8221-A02BEEC4D1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7" name="Text Box 321">
          <a:extLst>
            <a:ext uri="{FF2B5EF4-FFF2-40B4-BE49-F238E27FC236}">
              <a16:creationId xmlns:a16="http://schemas.microsoft.com/office/drawing/2014/main" id="{52232EB2-0B84-0DDA-225D-C78390E0629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8" name="Text Box 322">
          <a:extLst>
            <a:ext uri="{FF2B5EF4-FFF2-40B4-BE49-F238E27FC236}">
              <a16:creationId xmlns:a16="http://schemas.microsoft.com/office/drawing/2014/main" id="{7315774F-610F-DC4F-EFC1-D43D1ACD5B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19" name="Text Box 323">
          <a:extLst>
            <a:ext uri="{FF2B5EF4-FFF2-40B4-BE49-F238E27FC236}">
              <a16:creationId xmlns:a16="http://schemas.microsoft.com/office/drawing/2014/main" id="{EF25F2CC-E64E-7D2C-1A26-D7C0DD5CFE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0" name="Text Box 324">
          <a:extLst>
            <a:ext uri="{FF2B5EF4-FFF2-40B4-BE49-F238E27FC236}">
              <a16:creationId xmlns:a16="http://schemas.microsoft.com/office/drawing/2014/main" id="{55E045B4-75DC-3E0F-DCE3-B4F0A1F337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1" name="Text Box 325">
          <a:extLst>
            <a:ext uri="{FF2B5EF4-FFF2-40B4-BE49-F238E27FC236}">
              <a16:creationId xmlns:a16="http://schemas.microsoft.com/office/drawing/2014/main" id="{4AE1C5A8-4E06-8787-9C11-9C7779F5D7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2" name="Text Box 326">
          <a:extLst>
            <a:ext uri="{FF2B5EF4-FFF2-40B4-BE49-F238E27FC236}">
              <a16:creationId xmlns:a16="http://schemas.microsoft.com/office/drawing/2014/main" id="{A082B5B9-760F-172A-84BD-556ABF000A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3" name="Text Box 327">
          <a:extLst>
            <a:ext uri="{FF2B5EF4-FFF2-40B4-BE49-F238E27FC236}">
              <a16:creationId xmlns:a16="http://schemas.microsoft.com/office/drawing/2014/main" id="{81A64B50-F425-CD74-98ED-0BA7733304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4" name="Text Box 328">
          <a:extLst>
            <a:ext uri="{FF2B5EF4-FFF2-40B4-BE49-F238E27FC236}">
              <a16:creationId xmlns:a16="http://schemas.microsoft.com/office/drawing/2014/main" id="{CC76D4C5-51A5-A3BF-F620-6157B0B3AC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5" name="Text Box 329">
          <a:extLst>
            <a:ext uri="{FF2B5EF4-FFF2-40B4-BE49-F238E27FC236}">
              <a16:creationId xmlns:a16="http://schemas.microsoft.com/office/drawing/2014/main" id="{114983DE-47DF-08FC-1D91-AD138C600E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6" name="Text Box 330">
          <a:extLst>
            <a:ext uri="{FF2B5EF4-FFF2-40B4-BE49-F238E27FC236}">
              <a16:creationId xmlns:a16="http://schemas.microsoft.com/office/drawing/2014/main" id="{CC6C0D91-7129-F564-2B0B-387112EAC9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7" name="Text Box 331">
          <a:extLst>
            <a:ext uri="{FF2B5EF4-FFF2-40B4-BE49-F238E27FC236}">
              <a16:creationId xmlns:a16="http://schemas.microsoft.com/office/drawing/2014/main" id="{67AFA2D8-A198-F898-E45E-BBA5947E10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8" name="Text Box 332">
          <a:extLst>
            <a:ext uri="{FF2B5EF4-FFF2-40B4-BE49-F238E27FC236}">
              <a16:creationId xmlns:a16="http://schemas.microsoft.com/office/drawing/2014/main" id="{A52F25AE-060B-F4A6-DFB5-7A3A8C03E2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29" name="Text Box 333">
          <a:extLst>
            <a:ext uri="{FF2B5EF4-FFF2-40B4-BE49-F238E27FC236}">
              <a16:creationId xmlns:a16="http://schemas.microsoft.com/office/drawing/2014/main" id="{320A7BDA-5AC5-E127-81DE-A9E0018D18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0" name="Text Box 334">
          <a:extLst>
            <a:ext uri="{FF2B5EF4-FFF2-40B4-BE49-F238E27FC236}">
              <a16:creationId xmlns:a16="http://schemas.microsoft.com/office/drawing/2014/main" id="{6F5B6044-CD79-7B3F-8849-DA25ECAA39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1" name="Text Box 335">
          <a:extLst>
            <a:ext uri="{FF2B5EF4-FFF2-40B4-BE49-F238E27FC236}">
              <a16:creationId xmlns:a16="http://schemas.microsoft.com/office/drawing/2014/main" id="{FD6CC1CB-29BC-FD48-4B67-C348A52443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2" name="Text Box 336">
          <a:extLst>
            <a:ext uri="{FF2B5EF4-FFF2-40B4-BE49-F238E27FC236}">
              <a16:creationId xmlns:a16="http://schemas.microsoft.com/office/drawing/2014/main" id="{18537652-350F-AB1A-DF06-E1F88CB87B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3" name="Text Box 337">
          <a:extLst>
            <a:ext uri="{FF2B5EF4-FFF2-40B4-BE49-F238E27FC236}">
              <a16:creationId xmlns:a16="http://schemas.microsoft.com/office/drawing/2014/main" id="{F17A1AEE-E28A-5C77-7F47-13E78661FF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4" name="Text Box 338">
          <a:extLst>
            <a:ext uri="{FF2B5EF4-FFF2-40B4-BE49-F238E27FC236}">
              <a16:creationId xmlns:a16="http://schemas.microsoft.com/office/drawing/2014/main" id="{50155D29-B492-6054-5404-F6CC2B50C5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5" name="Text Box 339">
          <a:extLst>
            <a:ext uri="{FF2B5EF4-FFF2-40B4-BE49-F238E27FC236}">
              <a16:creationId xmlns:a16="http://schemas.microsoft.com/office/drawing/2014/main" id="{D8FE0197-DF59-120D-60D3-86CAD8AA1F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6" name="Text Box 340">
          <a:extLst>
            <a:ext uri="{FF2B5EF4-FFF2-40B4-BE49-F238E27FC236}">
              <a16:creationId xmlns:a16="http://schemas.microsoft.com/office/drawing/2014/main" id="{1BACD34E-C16B-6206-1E96-9464D546D7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7" name="Text Box 341">
          <a:extLst>
            <a:ext uri="{FF2B5EF4-FFF2-40B4-BE49-F238E27FC236}">
              <a16:creationId xmlns:a16="http://schemas.microsoft.com/office/drawing/2014/main" id="{0E68E843-EE89-4E21-26EE-ED8D7BEB4C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8" name="Text Box 342">
          <a:extLst>
            <a:ext uri="{FF2B5EF4-FFF2-40B4-BE49-F238E27FC236}">
              <a16:creationId xmlns:a16="http://schemas.microsoft.com/office/drawing/2014/main" id="{98F4A3DB-F327-F8A9-BC80-E2C145359E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39" name="Text Box 343">
          <a:extLst>
            <a:ext uri="{FF2B5EF4-FFF2-40B4-BE49-F238E27FC236}">
              <a16:creationId xmlns:a16="http://schemas.microsoft.com/office/drawing/2014/main" id="{284E3EF7-B223-BC92-3B82-120072C337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0" name="Text Box 344">
          <a:extLst>
            <a:ext uri="{FF2B5EF4-FFF2-40B4-BE49-F238E27FC236}">
              <a16:creationId xmlns:a16="http://schemas.microsoft.com/office/drawing/2014/main" id="{C3F6713E-3E9D-3A62-3550-2470BE4488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1" name="Text Box 345">
          <a:extLst>
            <a:ext uri="{FF2B5EF4-FFF2-40B4-BE49-F238E27FC236}">
              <a16:creationId xmlns:a16="http://schemas.microsoft.com/office/drawing/2014/main" id="{1F155F2A-827B-95A3-7F7C-8F4ED5E50C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2" name="Text Box 346">
          <a:extLst>
            <a:ext uri="{FF2B5EF4-FFF2-40B4-BE49-F238E27FC236}">
              <a16:creationId xmlns:a16="http://schemas.microsoft.com/office/drawing/2014/main" id="{CADFC343-3F2F-207A-8DD6-A453105F22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3" name="Text Box 347">
          <a:extLst>
            <a:ext uri="{FF2B5EF4-FFF2-40B4-BE49-F238E27FC236}">
              <a16:creationId xmlns:a16="http://schemas.microsoft.com/office/drawing/2014/main" id="{F5719B80-CA1A-424D-14E2-C88BD81D21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4" name="Text Box 348">
          <a:extLst>
            <a:ext uri="{FF2B5EF4-FFF2-40B4-BE49-F238E27FC236}">
              <a16:creationId xmlns:a16="http://schemas.microsoft.com/office/drawing/2014/main" id="{30B9143B-FA05-4855-D76D-9E0D71BBCF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5" name="Text Box 349">
          <a:extLst>
            <a:ext uri="{FF2B5EF4-FFF2-40B4-BE49-F238E27FC236}">
              <a16:creationId xmlns:a16="http://schemas.microsoft.com/office/drawing/2014/main" id="{5FA0CEBF-81E7-F8CF-0BF3-EFDFED4DA0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6" name="Text Box 350">
          <a:extLst>
            <a:ext uri="{FF2B5EF4-FFF2-40B4-BE49-F238E27FC236}">
              <a16:creationId xmlns:a16="http://schemas.microsoft.com/office/drawing/2014/main" id="{AFB8C2DF-588F-6597-14C2-88D1505041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7" name="Text Box 351">
          <a:extLst>
            <a:ext uri="{FF2B5EF4-FFF2-40B4-BE49-F238E27FC236}">
              <a16:creationId xmlns:a16="http://schemas.microsoft.com/office/drawing/2014/main" id="{00B0BE26-20AD-CAF9-81D4-B01CC06A77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8" name="Text Box 352">
          <a:extLst>
            <a:ext uri="{FF2B5EF4-FFF2-40B4-BE49-F238E27FC236}">
              <a16:creationId xmlns:a16="http://schemas.microsoft.com/office/drawing/2014/main" id="{12DD42F1-2FFE-7B13-1D78-16BECBC16D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49" name="Text Box 353">
          <a:extLst>
            <a:ext uri="{FF2B5EF4-FFF2-40B4-BE49-F238E27FC236}">
              <a16:creationId xmlns:a16="http://schemas.microsoft.com/office/drawing/2014/main" id="{C25A42BE-02AC-A848-C504-05046E9480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0" name="Text Box 354">
          <a:extLst>
            <a:ext uri="{FF2B5EF4-FFF2-40B4-BE49-F238E27FC236}">
              <a16:creationId xmlns:a16="http://schemas.microsoft.com/office/drawing/2014/main" id="{73732241-2735-F63B-6222-B8ACC97303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1" name="Text Box 355">
          <a:extLst>
            <a:ext uri="{FF2B5EF4-FFF2-40B4-BE49-F238E27FC236}">
              <a16:creationId xmlns:a16="http://schemas.microsoft.com/office/drawing/2014/main" id="{C5D992F5-38AC-1460-5AF0-2D78DC9490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2" name="Text Box 356">
          <a:extLst>
            <a:ext uri="{FF2B5EF4-FFF2-40B4-BE49-F238E27FC236}">
              <a16:creationId xmlns:a16="http://schemas.microsoft.com/office/drawing/2014/main" id="{7BF7D9B0-5138-89A6-03B1-8A8CAADA5C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3" name="Text Box 357">
          <a:extLst>
            <a:ext uri="{FF2B5EF4-FFF2-40B4-BE49-F238E27FC236}">
              <a16:creationId xmlns:a16="http://schemas.microsoft.com/office/drawing/2014/main" id="{8F3DFE94-F064-02A6-A46E-175E0DBAFF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4" name="Text Box 358">
          <a:extLst>
            <a:ext uri="{FF2B5EF4-FFF2-40B4-BE49-F238E27FC236}">
              <a16:creationId xmlns:a16="http://schemas.microsoft.com/office/drawing/2014/main" id="{456D4BF5-0853-48C5-E352-E8720FB7D7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5" name="Text Box 359">
          <a:extLst>
            <a:ext uri="{FF2B5EF4-FFF2-40B4-BE49-F238E27FC236}">
              <a16:creationId xmlns:a16="http://schemas.microsoft.com/office/drawing/2014/main" id="{26A8E70F-C7E5-761C-FAAB-14D4E906AA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6" name="Text Box 360">
          <a:extLst>
            <a:ext uri="{FF2B5EF4-FFF2-40B4-BE49-F238E27FC236}">
              <a16:creationId xmlns:a16="http://schemas.microsoft.com/office/drawing/2014/main" id="{D28D3DAE-38B7-7D45-4426-EA42200FC7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7" name="Text Box 361">
          <a:extLst>
            <a:ext uri="{FF2B5EF4-FFF2-40B4-BE49-F238E27FC236}">
              <a16:creationId xmlns:a16="http://schemas.microsoft.com/office/drawing/2014/main" id="{3B2C1CFE-E041-3E3E-0D94-D3DAF140DA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8" name="Text Box 362">
          <a:extLst>
            <a:ext uri="{FF2B5EF4-FFF2-40B4-BE49-F238E27FC236}">
              <a16:creationId xmlns:a16="http://schemas.microsoft.com/office/drawing/2014/main" id="{7078D108-9CB7-2143-0480-359838B670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59" name="Text Box 363">
          <a:extLst>
            <a:ext uri="{FF2B5EF4-FFF2-40B4-BE49-F238E27FC236}">
              <a16:creationId xmlns:a16="http://schemas.microsoft.com/office/drawing/2014/main" id="{0A7FEF7F-24EE-3847-1F43-DFC2C2B52F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0" name="Text Box 364">
          <a:extLst>
            <a:ext uri="{FF2B5EF4-FFF2-40B4-BE49-F238E27FC236}">
              <a16:creationId xmlns:a16="http://schemas.microsoft.com/office/drawing/2014/main" id="{41225DF0-B83E-18AA-6EF1-080E9EFCF5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1" name="Text Box 365">
          <a:extLst>
            <a:ext uri="{FF2B5EF4-FFF2-40B4-BE49-F238E27FC236}">
              <a16:creationId xmlns:a16="http://schemas.microsoft.com/office/drawing/2014/main" id="{2EB5CEA6-BE71-9F03-E85C-38B95C10F1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2" name="Text Box 366">
          <a:extLst>
            <a:ext uri="{FF2B5EF4-FFF2-40B4-BE49-F238E27FC236}">
              <a16:creationId xmlns:a16="http://schemas.microsoft.com/office/drawing/2014/main" id="{19884DF0-6789-CD49-E9FA-1423F3C550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3" name="Text Box 367">
          <a:extLst>
            <a:ext uri="{FF2B5EF4-FFF2-40B4-BE49-F238E27FC236}">
              <a16:creationId xmlns:a16="http://schemas.microsoft.com/office/drawing/2014/main" id="{BFA79E29-8029-2FE9-88D7-A3BDB21C41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4" name="Text Box 368">
          <a:extLst>
            <a:ext uri="{FF2B5EF4-FFF2-40B4-BE49-F238E27FC236}">
              <a16:creationId xmlns:a16="http://schemas.microsoft.com/office/drawing/2014/main" id="{E8819050-CFDC-02EA-7643-AA98C24A9D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5" name="Text Box 369">
          <a:extLst>
            <a:ext uri="{FF2B5EF4-FFF2-40B4-BE49-F238E27FC236}">
              <a16:creationId xmlns:a16="http://schemas.microsoft.com/office/drawing/2014/main" id="{1BFE24EC-114B-FCE0-9B4B-1F5C345F76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6" name="Text Box 370">
          <a:extLst>
            <a:ext uri="{FF2B5EF4-FFF2-40B4-BE49-F238E27FC236}">
              <a16:creationId xmlns:a16="http://schemas.microsoft.com/office/drawing/2014/main" id="{F49C861E-6F64-2360-C42C-DBE85AD167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7" name="Text Box 371">
          <a:extLst>
            <a:ext uri="{FF2B5EF4-FFF2-40B4-BE49-F238E27FC236}">
              <a16:creationId xmlns:a16="http://schemas.microsoft.com/office/drawing/2014/main" id="{6D5C0194-4382-891D-C4AC-08C22CF8D4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8" name="Text Box 372">
          <a:extLst>
            <a:ext uri="{FF2B5EF4-FFF2-40B4-BE49-F238E27FC236}">
              <a16:creationId xmlns:a16="http://schemas.microsoft.com/office/drawing/2014/main" id="{3216FEA3-38A9-92E9-2D8E-824F017296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69" name="Text Box 373">
          <a:extLst>
            <a:ext uri="{FF2B5EF4-FFF2-40B4-BE49-F238E27FC236}">
              <a16:creationId xmlns:a16="http://schemas.microsoft.com/office/drawing/2014/main" id="{14990141-0933-2521-A4B2-6FECD28BAF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0" name="Text Box 374">
          <a:extLst>
            <a:ext uri="{FF2B5EF4-FFF2-40B4-BE49-F238E27FC236}">
              <a16:creationId xmlns:a16="http://schemas.microsoft.com/office/drawing/2014/main" id="{534B8406-73F3-50F0-50E1-297DAF2498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1" name="Text Box 375">
          <a:extLst>
            <a:ext uri="{FF2B5EF4-FFF2-40B4-BE49-F238E27FC236}">
              <a16:creationId xmlns:a16="http://schemas.microsoft.com/office/drawing/2014/main" id="{31FA00AA-4A6D-D25E-05CF-9E9BA79C6B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2" name="Text Box 376">
          <a:extLst>
            <a:ext uri="{FF2B5EF4-FFF2-40B4-BE49-F238E27FC236}">
              <a16:creationId xmlns:a16="http://schemas.microsoft.com/office/drawing/2014/main" id="{BE18E447-4854-7DFF-0E0A-4861B21A92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3" name="Text Box 377">
          <a:extLst>
            <a:ext uri="{FF2B5EF4-FFF2-40B4-BE49-F238E27FC236}">
              <a16:creationId xmlns:a16="http://schemas.microsoft.com/office/drawing/2014/main" id="{F60A9961-A38A-2B7C-5171-9C0976F972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4" name="Text Box 378">
          <a:extLst>
            <a:ext uri="{FF2B5EF4-FFF2-40B4-BE49-F238E27FC236}">
              <a16:creationId xmlns:a16="http://schemas.microsoft.com/office/drawing/2014/main" id="{D8C5796D-843F-B9BE-BDC3-11DEFCB15D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5" name="Text Box 379">
          <a:extLst>
            <a:ext uri="{FF2B5EF4-FFF2-40B4-BE49-F238E27FC236}">
              <a16:creationId xmlns:a16="http://schemas.microsoft.com/office/drawing/2014/main" id="{E35205E9-12F0-1601-EA80-352133C264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6" name="Text Box 380">
          <a:extLst>
            <a:ext uri="{FF2B5EF4-FFF2-40B4-BE49-F238E27FC236}">
              <a16:creationId xmlns:a16="http://schemas.microsoft.com/office/drawing/2014/main" id="{D5206ED1-B896-EE86-38EB-E24A35C888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7" name="Text Box 381">
          <a:extLst>
            <a:ext uri="{FF2B5EF4-FFF2-40B4-BE49-F238E27FC236}">
              <a16:creationId xmlns:a16="http://schemas.microsoft.com/office/drawing/2014/main" id="{CDBBAB5E-0787-E304-2974-799C66C536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8" name="Text Box 382">
          <a:extLst>
            <a:ext uri="{FF2B5EF4-FFF2-40B4-BE49-F238E27FC236}">
              <a16:creationId xmlns:a16="http://schemas.microsoft.com/office/drawing/2014/main" id="{9EDDF780-EA36-DC27-42C6-9BEB495A35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79" name="Text Box 383">
          <a:extLst>
            <a:ext uri="{FF2B5EF4-FFF2-40B4-BE49-F238E27FC236}">
              <a16:creationId xmlns:a16="http://schemas.microsoft.com/office/drawing/2014/main" id="{92BA53B6-F12A-409C-C501-EA7D48E9D2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0" name="Text Box 384">
          <a:extLst>
            <a:ext uri="{FF2B5EF4-FFF2-40B4-BE49-F238E27FC236}">
              <a16:creationId xmlns:a16="http://schemas.microsoft.com/office/drawing/2014/main" id="{39A4B6B7-E5C7-9CD2-722E-A4359CBB10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1" name="Text Box 385">
          <a:extLst>
            <a:ext uri="{FF2B5EF4-FFF2-40B4-BE49-F238E27FC236}">
              <a16:creationId xmlns:a16="http://schemas.microsoft.com/office/drawing/2014/main" id="{033247EC-90DC-3654-6465-77433F79B8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2" name="Text Box 386">
          <a:extLst>
            <a:ext uri="{FF2B5EF4-FFF2-40B4-BE49-F238E27FC236}">
              <a16:creationId xmlns:a16="http://schemas.microsoft.com/office/drawing/2014/main" id="{6F171658-5223-7987-92EF-8424ECD679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3" name="Text Box 387">
          <a:extLst>
            <a:ext uri="{FF2B5EF4-FFF2-40B4-BE49-F238E27FC236}">
              <a16:creationId xmlns:a16="http://schemas.microsoft.com/office/drawing/2014/main" id="{DDC8FB01-A31E-EABC-B584-2134F9E606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4" name="Text Box 388">
          <a:extLst>
            <a:ext uri="{FF2B5EF4-FFF2-40B4-BE49-F238E27FC236}">
              <a16:creationId xmlns:a16="http://schemas.microsoft.com/office/drawing/2014/main" id="{644A8F6E-9CF3-9174-4C79-10A928E115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5" name="Text Box 389">
          <a:extLst>
            <a:ext uri="{FF2B5EF4-FFF2-40B4-BE49-F238E27FC236}">
              <a16:creationId xmlns:a16="http://schemas.microsoft.com/office/drawing/2014/main" id="{CCADDF41-6902-0665-38E5-48C6114BDC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6" name="Text Box 390">
          <a:extLst>
            <a:ext uri="{FF2B5EF4-FFF2-40B4-BE49-F238E27FC236}">
              <a16:creationId xmlns:a16="http://schemas.microsoft.com/office/drawing/2014/main" id="{078EE5CB-4375-0E46-AC4D-9A7CF628C5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7" name="Text Box 391">
          <a:extLst>
            <a:ext uri="{FF2B5EF4-FFF2-40B4-BE49-F238E27FC236}">
              <a16:creationId xmlns:a16="http://schemas.microsoft.com/office/drawing/2014/main" id="{DE6784E9-146A-AC7C-082A-9B725AB2A7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8" name="Text Box 392">
          <a:extLst>
            <a:ext uri="{FF2B5EF4-FFF2-40B4-BE49-F238E27FC236}">
              <a16:creationId xmlns:a16="http://schemas.microsoft.com/office/drawing/2014/main" id="{B330786F-7E81-5EFB-7E4E-71E5E41FCB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89" name="Text Box 393">
          <a:extLst>
            <a:ext uri="{FF2B5EF4-FFF2-40B4-BE49-F238E27FC236}">
              <a16:creationId xmlns:a16="http://schemas.microsoft.com/office/drawing/2014/main" id="{91310752-423E-356C-FDA2-1276F499CC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0" name="Text Box 394">
          <a:extLst>
            <a:ext uri="{FF2B5EF4-FFF2-40B4-BE49-F238E27FC236}">
              <a16:creationId xmlns:a16="http://schemas.microsoft.com/office/drawing/2014/main" id="{B462D75A-2B0D-50FA-0BEB-F6652B173B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1" name="Text Box 395">
          <a:extLst>
            <a:ext uri="{FF2B5EF4-FFF2-40B4-BE49-F238E27FC236}">
              <a16:creationId xmlns:a16="http://schemas.microsoft.com/office/drawing/2014/main" id="{6E10167C-B902-2F97-2589-CB455175C9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2" name="Text Box 396">
          <a:extLst>
            <a:ext uri="{FF2B5EF4-FFF2-40B4-BE49-F238E27FC236}">
              <a16:creationId xmlns:a16="http://schemas.microsoft.com/office/drawing/2014/main" id="{2A7FA9F7-7DF5-549D-795B-F628E64B38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3" name="Text Box 397">
          <a:extLst>
            <a:ext uri="{FF2B5EF4-FFF2-40B4-BE49-F238E27FC236}">
              <a16:creationId xmlns:a16="http://schemas.microsoft.com/office/drawing/2014/main" id="{054C3E16-78B0-1C28-A902-3C44B97B7C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4" name="Text Box 398">
          <a:extLst>
            <a:ext uri="{FF2B5EF4-FFF2-40B4-BE49-F238E27FC236}">
              <a16:creationId xmlns:a16="http://schemas.microsoft.com/office/drawing/2014/main" id="{2ABE2EFA-BE99-DFEF-536B-D0C675FA93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5" name="Text Box 399">
          <a:extLst>
            <a:ext uri="{FF2B5EF4-FFF2-40B4-BE49-F238E27FC236}">
              <a16:creationId xmlns:a16="http://schemas.microsoft.com/office/drawing/2014/main" id="{9F6D15EA-FC52-ED29-C26F-33CF82A7E9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6" name="Text Box 400">
          <a:extLst>
            <a:ext uri="{FF2B5EF4-FFF2-40B4-BE49-F238E27FC236}">
              <a16:creationId xmlns:a16="http://schemas.microsoft.com/office/drawing/2014/main" id="{616E5369-2713-694D-174E-240A90BCAA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7" name="Text Box 401">
          <a:extLst>
            <a:ext uri="{FF2B5EF4-FFF2-40B4-BE49-F238E27FC236}">
              <a16:creationId xmlns:a16="http://schemas.microsoft.com/office/drawing/2014/main" id="{53BBFC61-B883-C0ED-5434-08D4EFC336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8" name="Text Box 402">
          <a:extLst>
            <a:ext uri="{FF2B5EF4-FFF2-40B4-BE49-F238E27FC236}">
              <a16:creationId xmlns:a16="http://schemas.microsoft.com/office/drawing/2014/main" id="{CD6C572C-7EC6-BFE9-BF54-77E2B27BAE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499" name="Text Box 403">
          <a:extLst>
            <a:ext uri="{FF2B5EF4-FFF2-40B4-BE49-F238E27FC236}">
              <a16:creationId xmlns:a16="http://schemas.microsoft.com/office/drawing/2014/main" id="{5D78D1FB-BC58-552F-CB72-8932393EF6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0" name="Text Box 404">
          <a:extLst>
            <a:ext uri="{FF2B5EF4-FFF2-40B4-BE49-F238E27FC236}">
              <a16:creationId xmlns:a16="http://schemas.microsoft.com/office/drawing/2014/main" id="{A3265092-4EE7-536A-9D78-9917ED1957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1" name="Text Box 405">
          <a:extLst>
            <a:ext uri="{FF2B5EF4-FFF2-40B4-BE49-F238E27FC236}">
              <a16:creationId xmlns:a16="http://schemas.microsoft.com/office/drawing/2014/main" id="{C2B4FB86-30E8-C356-7DF3-E0E157D0D1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2" name="Text Box 406">
          <a:extLst>
            <a:ext uri="{FF2B5EF4-FFF2-40B4-BE49-F238E27FC236}">
              <a16:creationId xmlns:a16="http://schemas.microsoft.com/office/drawing/2014/main" id="{6B9D71A6-F04A-7B28-9C9C-20D104BBF7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3" name="Text Box 407">
          <a:extLst>
            <a:ext uri="{FF2B5EF4-FFF2-40B4-BE49-F238E27FC236}">
              <a16:creationId xmlns:a16="http://schemas.microsoft.com/office/drawing/2014/main" id="{C83E5791-191F-54F5-8737-0BC38805AE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4" name="Text Box 408">
          <a:extLst>
            <a:ext uri="{FF2B5EF4-FFF2-40B4-BE49-F238E27FC236}">
              <a16:creationId xmlns:a16="http://schemas.microsoft.com/office/drawing/2014/main" id="{3550CADB-A440-294B-279D-70D6C37B76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5" name="Text Box 409">
          <a:extLst>
            <a:ext uri="{FF2B5EF4-FFF2-40B4-BE49-F238E27FC236}">
              <a16:creationId xmlns:a16="http://schemas.microsoft.com/office/drawing/2014/main" id="{7D0D6843-1E89-0198-7193-926F2FD988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6" name="Text Box 410">
          <a:extLst>
            <a:ext uri="{FF2B5EF4-FFF2-40B4-BE49-F238E27FC236}">
              <a16:creationId xmlns:a16="http://schemas.microsoft.com/office/drawing/2014/main" id="{E89A9657-1779-DAB2-51FC-1BC091EE73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7" name="Text Box 411">
          <a:extLst>
            <a:ext uri="{FF2B5EF4-FFF2-40B4-BE49-F238E27FC236}">
              <a16:creationId xmlns:a16="http://schemas.microsoft.com/office/drawing/2014/main" id="{917AAFAC-4506-73CA-6080-6009106872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8" name="Text Box 412">
          <a:extLst>
            <a:ext uri="{FF2B5EF4-FFF2-40B4-BE49-F238E27FC236}">
              <a16:creationId xmlns:a16="http://schemas.microsoft.com/office/drawing/2014/main" id="{60339C17-3417-AE68-2820-EBB332BE61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09" name="Text Box 413">
          <a:extLst>
            <a:ext uri="{FF2B5EF4-FFF2-40B4-BE49-F238E27FC236}">
              <a16:creationId xmlns:a16="http://schemas.microsoft.com/office/drawing/2014/main" id="{8365D38E-1B14-F73C-59D7-8E97BC89A3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0" name="Text Box 414">
          <a:extLst>
            <a:ext uri="{FF2B5EF4-FFF2-40B4-BE49-F238E27FC236}">
              <a16:creationId xmlns:a16="http://schemas.microsoft.com/office/drawing/2014/main" id="{718D6A61-3BDE-B291-B257-A2C36D21CD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1" name="Text Box 415">
          <a:extLst>
            <a:ext uri="{FF2B5EF4-FFF2-40B4-BE49-F238E27FC236}">
              <a16:creationId xmlns:a16="http://schemas.microsoft.com/office/drawing/2014/main" id="{252D5415-0826-66FB-471D-5F6211F058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2" name="Text Box 416">
          <a:extLst>
            <a:ext uri="{FF2B5EF4-FFF2-40B4-BE49-F238E27FC236}">
              <a16:creationId xmlns:a16="http://schemas.microsoft.com/office/drawing/2014/main" id="{C1AF0ED4-90EA-47FA-4F43-8EABF6A35A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3" name="Text Box 417">
          <a:extLst>
            <a:ext uri="{FF2B5EF4-FFF2-40B4-BE49-F238E27FC236}">
              <a16:creationId xmlns:a16="http://schemas.microsoft.com/office/drawing/2014/main" id="{E0CF67AF-6872-B076-E715-1EBF107B76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4" name="Text Box 418">
          <a:extLst>
            <a:ext uri="{FF2B5EF4-FFF2-40B4-BE49-F238E27FC236}">
              <a16:creationId xmlns:a16="http://schemas.microsoft.com/office/drawing/2014/main" id="{4618789F-DFF3-A3F7-A46E-EB021CF413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5" name="Text Box 419">
          <a:extLst>
            <a:ext uri="{FF2B5EF4-FFF2-40B4-BE49-F238E27FC236}">
              <a16:creationId xmlns:a16="http://schemas.microsoft.com/office/drawing/2014/main" id="{6DC3CA77-B519-49B0-CAFA-B894AC9908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6" name="Text Box 420">
          <a:extLst>
            <a:ext uri="{FF2B5EF4-FFF2-40B4-BE49-F238E27FC236}">
              <a16:creationId xmlns:a16="http://schemas.microsoft.com/office/drawing/2014/main" id="{23E1DFCD-D0FF-05EA-3BBB-08C6A159B7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7" name="Text Box 421">
          <a:extLst>
            <a:ext uri="{FF2B5EF4-FFF2-40B4-BE49-F238E27FC236}">
              <a16:creationId xmlns:a16="http://schemas.microsoft.com/office/drawing/2014/main" id="{5F966B0A-2321-1704-440D-0D0AE5FAE5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8" name="Text Box 422">
          <a:extLst>
            <a:ext uri="{FF2B5EF4-FFF2-40B4-BE49-F238E27FC236}">
              <a16:creationId xmlns:a16="http://schemas.microsoft.com/office/drawing/2014/main" id="{1A001AEA-9683-2C8D-080D-F37E35A729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19" name="Text Box 423">
          <a:extLst>
            <a:ext uri="{FF2B5EF4-FFF2-40B4-BE49-F238E27FC236}">
              <a16:creationId xmlns:a16="http://schemas.microsoft.com/office/drawing/2014/main" id="{9950CEF7-C468-F624-3E9D-446E78743C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0" name="Text Box 424">
          <a:extLst>
            <a:ext uri="{FF2B5EF4-FFF2-40B4-BE49-F238E27FC236}">
              <a16:creationId xmlns:a16="http://schemas.microsoft.com/office/drawing/2014/main" id="{2D745E1F-578F-C391-5448-C406FE6CF0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1" name="Text Box 425">
          <a:extLst>
            <a:ext uri="{FF2B5EF4-FFF2-40B4-BE49-F238E27FC236}">
              <a16:creationId xmlns:a16="http://schemas.microsoft.com/office/drawing/2014/main" id="{50DF096C-0B06-C18A-E2E6-1013DA7428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2" name="Text Box 426">
          <a:extLst>
            <a:ext uri="{FF2B5EF4-FFF2-40B4-BE49-F238E27FC236}">
              <a16:creationId xmlns:a16="http://schemas.microsoft.com/office/drawing/2014/main" id="{EDF5B19C-1A56-931D-78BF-9B01278268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3" name="Text Box 427">
          <a:extLst>
            <a:ext uri="{FF2B5EF4-FFF2-40B4-BE49-F238E27FC236}">
              <a16:creationId xmlns:a16="http://schemas.microsoft.com/office/drawing/2014/main" id="{1E50155C-0E9D-82D8-6C27-38DF49F359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4" name="Text Box 428">
          <a:extLst>
            <a:ext uri="{FF2B5EF4-FFF2-40B4-BE49-F238E27FC236}">
              <a16:creationId xmlns:a16="http://schemas.microsoft.com/office/drawing/2014/main" id="{713C5405-9B71-1A9C-112E-49AE96D2CB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5" name="Text Box 429">
          <a:extLst>
            <a:ext uri="{FF2B5EF4-FFF2-40B4-BE49-F238E27FC236}">
              <a16:creationId xmlns:a16="http://schemas.microsoft.com/office/drawing/2014/main" id="{0587A961-3968-B1AC-E414-232A7E7553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6" name="Text Box 430">
          <a:extLst>
            <a:ext uri="{FF2B5EF4-FFF2-40B4-BE49-F238E27FC236}">
              <a16:creationId xmlns:a16="http://schemas.microsoft.com/office/drawing/2014/main" id="{DA9FC03A-5964-0AC1-2718-C5B78A4DC7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7" name="Text Box 431">
          <a:extLst>
            <a:ext uri="{FF2B5EF4-FFF2-40B4-BE49-F238E27FC236}">
              <a16:creationId xmlns:a16="http://schemas.microsoft.com/office/drawing/2014/main" id="{113300DF-162D-F50E-9E87-307A04A68D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8" name="Text Box 432">
          <a:extLst>
            <a:ext uri="{FF2B5EF4-FFF2-40B4-BE49-F238E27FC236}">
              <a16:creationId xmlns:a16="http://schemas.microsoft.com/office/drawing/2014/main" id="{81B12C1E-838C-CAEC-CD37-C75E0C23C7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29" name="Text Box 433">
          <a:extLst>
            <a:ext uri="{FF2B5EF4-FFF2-40B4-BE49-F238E27FC236}">
              <a16:creationId xmlns:a16="http://schemas.microsoft.com/office/drawing/2014/main" id="{6A5C29CB-74E7-1402-4990-F4318BD9F7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0" name="Text Box 434">
          <a:extLst>
            <a:ext uri="{FF2B5EF4-FFF2-40B4-BE49-F238E27FC236}">
              <a16:creationId xmlns:a16="http://schemas.microsoft.com/office/drawing/2014/main" id="{B33651C1-0F78-7424-7FBD-C184427421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1" name="Text Box 435">
          <a:extLst>
            <a:ext uri="{FF2B5EF4-FFF2-40B4-BE49-F238E27FC236}">
              <a16:creationId xmlns:a16="http://schemas.microsoft.com/office/drawing/2014/main" id="{9FE8D03F-EFF5-DD9F-BED2-FFFB323646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2" name="Text Box 436">
          <a:extLst>
            <a:ext uri="{FF2B5EF4-FFF2-40B4-BE49-F238E27FC236}">
              <a16:creationId xmlns:a16="http://schemas.microsoft.com/office/drawing/2014/main" id="{F4C039C4-D407-7138-7F71-EF0AC62797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3" name="Text Box 437">
          <a:extLst>
            <a:ext uri="{FF2B5EF4-FFF2-40B4-BE49-F238E27FC236}">
              <a16:creationId xmlns:a16="http://schemas.microsoft.com/office/drawing/2014/main" id="{D380DCEB-A683-89DE-D17D-81736AD717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4" name="Text Box 438">
          <a:extLst>
            <a:ext uri="{FF2B5EF4-FFF2-40B4-BE49-F238E27FC236}">
              <a16:creationId xmlns:a16="http://schemas.microsoft.com/office/drawing/2014/main" id="{9E5DF25C-E5B3-DBF3-F8F5-BB5B0D92B6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5" name="Text Box 439">
          <a:extLst>
            <a:ext uri="{FF2B5EF4-FFF2-40B4-BE49-F238E27FC236}">
              <a16:creationId xmlns:a16="http://schemas.microsoft.com/office/drawing/2014/main" id="{BC1C8EC2-35BE-A25A-80A1-F032B04DAB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6" name="Text Box 440">
          <a:extLst>
            <a:ext uri="{FF2B5EF4-FFF2-40B4-BE49-F238E27FC236}">
              <a16:creationId xmlns:a16="http://schemas.microsoft.com/office/drawing/2014/main" id="{12F67030-FBA3-6380-2908-F1AE66AF12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7" name="Text Box 441">
          <a:extLst>
            <a:ext uri="{FF2B5EF4-FFF2-40B4-BE49-F238E27FC236}">
              <a16:creationId xmlns:a16="http://schemas.microsoft.com/office/drawing/2014/main" id="{9DAB08B3-D78F-8DB3-2AEC-F08BD98F3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8" name="Text Box 442">
          <a:extLst>
            <a:ext uri="{FF2B5EF4-FFF2-40B4-BE49-F238E27FC236}">
              <a16:creationId xmlns:a16="http://schemas.microsoft.com/office/drawing/2014/main" id="{23DE06FF-6256-8F42-34D3-B37BD0F928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39" name="Text Box 443">
          <a:extLst>
            <a:ext uri="{FF2B5EF4-FFF2-40B4-BE49-F238E27FC236}">
              <a16:creationId xmlns:a16="http://schemas.microsoft.com/office/drawing/2014/main" id="{A74C0CA2-D484-B6ED-1500-5B1C0C58E8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0" name="Text Box 444">
          <a:extLst>
            <a:ext uri="{FF2B5EF4-FFF2-40B4-BE49-F238E27FC236}">
              <a16:creationId xmlns:a16="http://schemas.microsoft.com/office/drawing/2014/main" id="{4B530117-AF05-2AC5-4586-DCC5D91CF8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1" name="Text Box 445">
          <a:extLst>
            <a:ext uri="{FF2B5EF4-FFF2-40B4-BE49-F238E27FC236}">
              <a16:creationId xmlns:a16="http://schemas.microsoft.com/office/drawing/2014/main" id="{DAC07680-275B-B4B4-FF37-611E1C2C8B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2" name="Text Box 446">
          <a:extLst>
            <a:ext uri="{FF2B5EF4-FFF2-40B4-BE49-F238E27FC236}">
              <a16:creationId xmlns:a16="http://schemas.microsoft.com/office/drawing/2014/main" id="{006EC9B3-A2FD-733F-FA33-2FA3CED0ED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3" name="Text Box 447">
          <a:extLst>
            <a:ext uri="{FF2B5EF4-FFF2-40B4-BE49-F238E27FC236}">
              <a16:creationId xmlns:a16="http://schemas.microsoft.com/office/drawing/2014/main" id="{E7CFF1BE-6DFF-3D17-5DDC-8679B1ED1D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4" name="Text Box 448">
          <a:extLst>
            <a:ext uri="{FF2B5EF4-FFF2-40B4-BE49-F238E27FC236}">
              <a16:creationId xmlns:a16="http://schemas.microsoft.com/office/drawing/2014/main" id="{B8F781DA-840A-3753-7F54-C3EC54B94C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5" name="Text Box 449">
          <a:extLst>
            <a:ext uri="{FF2B5EF4-FFF2-40B4-BE49-F238E27FC236}">
              <a16:creationId xmlns:a16="http://schemas.microsoft.com/office/drawing/2014/main" id="{ACBE0496-CCF5-54A3-A282-02445796A6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6" name="Text Box 450">
          <a:extLst>
            <a:ext uri="{FF2B5EF4-FFF2-40B4-BE49-F238E27FC236}">
              <a16:creationId xmlns:a16="http://schemas.microsoft.com/office/drawing/2014/main" id="{4164FDCB-1AC3-06BA-5096-B0A83714E2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7" name="Text Box 451">
          <a:extLst>
            <a:ext uri="{FF2B5EF4-FFF2-40B4-BE49-F238E27FC236}">
              <a16:creationId xmlns:a16="http://schemas.microsoft.com/office/drawing/2014/main" id="{31C343E0-C9F5-484E-5E33-11E4A93C83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8" name="Text Box 452">
          <a:extLst>
            <a:ext uri="{FF2B5EF4-FFF2-40B4-BE49-F238E27FC236}">
              <a16:creationId xmlns:a16="http://schemas.microsoft.com/office/drawing/2014/main" id="{A8F48660-C9CD-7E84-D763-FAA6FAA18C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49" name="Text Box 453">
          <a:extLst>
            <a:ext uri="{FF2B5EF4-FFF2-40B4-BE49-F238E27FC236}">
              <a16:creationId xmlns:a16="http://schemas.microsoft.com/office/drawing/2014/main" id="{13A8D158-E157-51F9-B47D-F8603819CE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0" name="Text Box 454">
          <a:extLst>
            <a:ext uri="{FF2B5EF4-FFF2-40B4-BE49-F238E27FC236}">
              <a16:creationId xmlns:a16="http://schemas.microsoft.com/office/drawing/2014/main" id="{4532DB0E-5989-4247-F03E-B701432032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1" name="Text Box 455">
          <a:extLst>
            <a:ext uri="{FF2B5EF4-FFF2-40B4-BE49-F238E27FC236}">
              <a16:creationId xmlns:a16="http://schemas.microsoft.com/office/drawing/2014/main" id="{639AC9BA-E58F-122F-E962-0C005AF75D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2" name="Text Box 456">
          <a:extLst>
            <a:ext uri="{FF2B5EF4-FFF2-40B4-BE49-F238E27FC236}">
              <a16:creationId xmlns:a16="http://schemas.microsoft.com/office/drawing/2014/main" id="{E1A55EAA-FB4C-115D-D816-426D63F8AE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3" name="Text Box 457">
          <a:extLst>
            <a:ext uri="{FF2B5EF4-FFF2-40B4-BE49-F238E27FC236}">
              <a16:creationId xmlns:a16="http://schemas.microsoft.com/office/drawing/2014/main" id="{3AB74E3C-B85F-D743-50B9-9241677BDF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4" name="Text Box 458">
          <a:extLst>
            <a:ext uri="{FF2B5EF4-FFF2-40B4-BE49-F238E27FC236}">
              <a16:creationId xmlns:a16="http://schemas.microsoft.com/office/drawing/2014/main" id="{B4BCA40F-33DE-4280-0D89-DAF1F6269F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5" name="Text Box 459">
          <a:extLst>
            <a:ext uri="{FF2B5EF4-FFF2-40B4-BE49-F238E27FC236}">
              <a16:creationId xmlns:a16="http://schemas.microsoft.com/office/drawing/2014/main" id="{88BFF3B7-8A28-46F2-AA9B-AEECDCA9D7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6" name="Text Box 460">
          <a:extLst>
            <a:ext uri="{FF2B5EF4-FFF2-40B4-BE49-F238E27FC236}">
              <a16:creationId xmlns:a16="http://schemas.microsoft.com/office/drawing/2014/main" id="{624C0F07-1F74-EAEB-4DF6-3CA0A0F50D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7" name="Text Box 461">
          <a:extLst>
            <a:ext uri="{FF2B5EF4-FFF2-40B4-BE49-F238E27FC236}">
              <a16:creationId xmlns:a16="http://schemas.microsoft.com/office/drawing/2014/main" id="{52FEF444-66AC-5758-B1F0-0CF3C0BD8E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8" name="Text Box 462">
          <a:extLst>
            <a:ext uri="{FF2B5EF4-FFF2-40B4-BE49-F238E27FC236}">
              <a16:creationId xmlns:a16="http://schemas.microsoft.com/office/drawing/2014/main" id="{68CA21C8-1EAC-628F-7655-9F0DD237B2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59" name="Text Box 463">
          <a:extLst>
            <a:ext uri="{FF2B5EF4-FFF2-40B4-BE49-F238E27FC236}">
              <a16:creationId xmlns:a16="http://schemas.microsoft.com/office/drawing/2014/main" id="{AC12DE60-C2A5-6B8C-2E6E-F0A619037D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0" name="Text Box 464">
          <a:extLst>
            <a:ext uri="{FF2B5EF4-FFF2-40B4-BE49-F238E27FC236}">
              <a16:creationId xmlns:a16="http://schemas.microsoft.com/office/drawing/2014/main" id="{835DD901-B90D-2A67-53A0-95D0420C24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1" name="Text Box 465">
          <a:extLst>
            <a:ext uri="{FF2B5EF4-FFF2-40B4-BE49-F238E27FC236}">
              <a16:creationId xmlns:a16="http://schemas.microsoft.com/office/drawing/2014/main" id="{0CA12AFC-5D2B-F6CC-5BF7-537F5A04D5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2" name="Text Box 466">
          <a:extLst>
            <a:ext uri="{FF2B5EF4-FFF2-40B4-BE49-F238E27FC236}">
              <a16:creationId xmlns:a16="http://schemas.microsoft.com/office/drawing/2014/main" id="{4C857742-3741-1BA0-6005-B33A2D8DF2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3" name="Text Box 467">
          <a:extLst>
            <a:ext uri="{FF2B5EF4-FFF2-40B4-BE49-F238E27FC236}">
              <a16:creationId xmlns:a16="http://schemas.microsoft.com/office/drawing/2014/main" id="{56DD6E1D-8602-98C8-F10C-D8624D9482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4" name="Text Box 468">
          <a:extLst>
            <a:ext uri="{FF2B5EF4-FFF2-40B4-BE49-F238E27FC236}">
              <a16:creationId xmlns:a16="http://schemas.microsoft.com/office/drawing/2014/main" id="{3105B805-45E5-BAD2-C05D-615B42D683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5" name="Text Box 469">
          <a:extLst>
            <a:ext uri="{FF2B5EF4-FFF2-40B4-BE49-F238E27FC236}">
              <a16:creationId xmlns:a16="http://schemas.microsoft.com/office/drawing/2014/main" id="{F82D29AA-838B-F259-3A38-C4348672A5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6" name="Text Box 470">
          <a:extLst>
            <a:ext uri="{FF2B5EF4-FFF2-40B4-BE49-F238E27FC236}">
              <a16:creationId xmlns:a16="http://schemas.microsoft.com/office/drawing/2014/main" id="{7DC26DFB-D83F-B3D4-D7B3-2143916702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7" name="Text Box 471">
          <a:extLst>
            <a:ext uri="{FF2B5EF4-FFF2-40B4-BE49-F238E27FC236}">
              <a16:creationId xmlns:a16="http://schemas.microsoft.com/office/drawing/2014/main" id="{7D9E60D5-055D-32B3-3A89-91F48A9E77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8" name="Text Box 472">
          <a:extLst>
            <a:ext uri="{FF2B5EF4-FFF2-40B4-BE49-F238E27FC236}">
              <a16:creationId xmlns:a16="http://schemas.microsoft.com/office/drawing/2014/main" id="{E0621D41-AEA7-9160-B164-A61FEBC157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69" name="Text Box 473">
          <a:extLst>
            <a:ext uri="{FF2B5EF4-FFF2-40B4-BE49-F238E27FC236}">
              <a16:creationId xmlns:a16="http://schemas.microsoft.com/office/drawing/2014/main" id="{5C2EFC31-713B-45C4-1620-B97952FE86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0" name="Text Box 474">
          <a:extLst>
            <a:ext uri="{FF2B5EF4-FFF2-40B4-BE49-F238E27FC236}">
              <a16:creationId xmlns:a16="http://schemas.microsoft.com/office/drawing/2014/main" id="{AEDB97D5-251C-047F-D6AC-106436EF89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1" name="Text Box 475">
          <a:extLst>
            <a:ext uri="{FF2B5EF4-FFF2-40B4-BE49-F238E27FC236}">
              <a16:creationId xmlns:a16="http://schemas.microsoft.com/office/drawing/2014/main" id="{C707ADE2-A39D-B758-9DC6-ED0DBC1022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2" name="Text Box 476">
          <a:extLst>
            <a:ext uri="{FF2B5EF4-FFF2-40B4-BE49-F238E27FC236}">
              <a16:creationId xmlns:a16="http://schemas.microsoft.com/office/drawing/2014/main" id="{3BDF87D2-BB1A-88D4-FA57-2E725DE176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3" name="Text Box 477">
          <a:extLst>
            <a:ext uri="{FF2B5EF4-FFF2-40B4-BE49-F238E27FC236}">
              <a16:creationId xmlns:a16="http://schemas.microsoft.com/office/drawing/2014/main" id="{CCD57956-CA55-8B24-BB32-34A8F61030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4" name="Text Box 478">
          <a:extLst>
            <a:ext uri="{FF2B5EF4-FFF2-40B4-BE49-F238E27FC236}">
              <a16:creationId xmlns:a16="http://schemas.microsoft.com/office/drawing/2014/main" id="{EF346F23-B2FD-8162-D61D-113017B741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5" name="Text Box 479">
          <a:extLst>
            <a:ext uri="{FF2B5EF4-FFF2-40B4-BE49-F238E27FC236}">
              <a16:creationId xmlns:a16="http://schemas.microsoft.com/office/drawing/2014/main" id="{9EF45DC9-5562-E65C-BA43-D9EF5A4CF7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6" name="Text Box 480">
          <a:extLst>
            <a:ext uri="{FF2B5EF4-FFF2-40B4-BE49-F238E27FC236}">
              <a16:creationId xmlns:a16="http://schemas.microsoft.com/office/drawing/2014/main" id="{8FAEC089-02D3-0F89-935F-B842D2565E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7" name="Text Box 481">
          <a:extLst>
            <a:ext uri="{FF2B5EF4-FFF2-40B4-BE49-F238E27FC236}">
              <a16:creationId xmlns:a16="http://schemas.microsoft.com/office/drawing/2014/main" id="{2A98DCE2-C694-34A9-4BF4-5F2BA6E821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8" name="Text Box 482">
          <a:extLst>
            <a:ext uri="{FF2B5EF4-FFF2-40B4-BE49-F238E27FC236}">
              <a16:creationId xmlns:a16="http://schemas.microsoft.com/office/drawing/2014/main" id="{C4090281-0204-E225-D942-A62AC0E448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79" name="Text Box 483">
          <a:extLst>
            <a:ext uri="{FF2B5EF4-FFF2-40B4-BE49-F238E27FC236}">
              <a16:creationId xmlns:a16="http://schemas.microsoft.com/office/drawing/2014/main" id="{DDA42C89-AF2B-5FC9-A8BF-C21AFB3CB2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0" name="Text Box 484">
          <a:extLst>
            <a:ext uri="{FF2B5EF4-FFF2-40B4-BE49-F238E27FC236}">
              <a16:creationId xmlns:a16="http://schemas.microsoft.com/office/drawing/2014/main" id="{667B2D32-7A92-C4D2-93CA-8CCFAF9EFD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1" name="Text Box 485">
          <a:extLst>
            <a:ext uri="{FF2B5EF4-FFF2-40B4-BE49-F238E27FC236}">
              <a16:creationId xmlns:a16="http://schemas.microsoft.com/office/drawing/2014/main" id="{CBEC0300-84F7-A6D6-F63E-A99372DA7A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2" name="Text Box 486">
          <a:extLst>
            <a:ext uri="{FF2B5EF4-FFF2-40B4-BE49-F238E27FC236}">
              <a16:creationId xmlns:a16="http://schemas.microsoft.com/office/drawing/2014/main" id="{AB22FAC6-D7EE-A443-F859-8AFE2DC342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3" name="Text Box 487">
          <a:extLst>
            <a:ext uri="{FF2B5EF4-FFF2-40B4-BE49-F238E27FC236}">
              <a16:creationId xmlns:a16="http://schemas.microsoft.com/office/drawing/2014/main" id="{C0E97A84-0CD2-46CD-508D-7A417CD56D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4" name="Text Box 488">
          <a:extLst>
            <a:ext uri="{FF2B5EF4-FFF2-40B4-BE49-F238E27FC236}">
              <a16:creationId xmlns:a16="http://schemas.microsoft.com/office/drawing/2014/main" id="{2CC7D30F-EFD3-A5EB-E785-DA9898D37B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5" name="Text Box 489">
          <a:extLst>
            <a:ext uri="{FF2B5EF4-FFF2-40B4-BE49-F238E27FC236}">
              <a16:creationId xmlns:a16="http://schemas.microsoft.com/office/drawing/2014/main" id="{9A31F9ED-FEF1-F42D-5DE6-00BE0BBFF8B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6" name="Text Box 490">
          <a:extLst>
            <a:ext uri="{FF2B5EF4-FFF2-40B4-BE49-F238E27FC236}">
              <a16:creationId xmlns:a16="http://schemas.microsoft.com/office/drawing/2014/main" id="{ABE36367-1712-4A3F-3CFC-AA1C9A5081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7" name="Text Box 491">
          <a:extLst>
            <a:ext uri="{FF2B5EF4-FFF2-40B4-BE49-F238E27FC236}">
              <a16:creationId xmlns:a16="http://schemas.microsoft.com/office/drawing/2014/main" id="{711CA78D-669C-240B-D2C3-B9326E6DC4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8" name="Text Box 492">
          <a:extLst>
            <a:ext uri="{FF2B5EF4-FFF2-40B4-BE49-F238E27FC236}">
              <a16:creationId xmlns:a16="http://schemas.microsoft.com/office/drawing/2014/main" id="{DF2ABE7F-9C89-C15E-EFD7-BA855255D1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89" name="Text Box 493">
          <a:extLst>
            <a:ext uri="{FF2B5EF4-FFF2-40B4-BE49-F238E27FC236}">
              <a16:creationId xmlns:a16="http://schemas.microsoft.com/office/drawing/2014/main" id="{9F127A89-5040-5A16-D041-AF23353D4B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0" name="Text Box 494">
          <a:extLst>
            <a:ext uri="{FF2B5EF4-FFF2-40B4-BE49-F238E27FC236}">
              <a16:creationId xmlns:a16="http://schemas.microsoft.com/office/drawing/2014/main" id="{50393F74-5DEC-B318-DD8E-EBA5E7D368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1" name="Text Box 495">
          <a:extLst>
            <a:ext uri="{FF2B5EF4-FFF2-40B4-BE49-F238E27FC236}">
              <a16:creationId xmlns:a16="http://schemas.microsoft.com/office/drawing/2014/main" id="{43E8A4F4-A04A-D3AB-C773-432E522FCA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2" name="Text Box 496">
          <a:extLst>
            <a:ext uri="{FF2B5EF4-FFF2-40B4-BE49-F238E27FC236}">
              <a16:creationId xmlns:a16="http://schemas.microsoft.com/office/drawing/2014/main" id="{84D7C305-04DA-00E9-2CCB-F34B2C1E6B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3" name="Text Box 497">
          <a:extLst>
            <a:ext uri="{FF2B5EF4-FFF2-40B4-BE49-F238E27FC236}">
              <a16:creationId xmlns:a16="http://schemas.microsoft.com/office/drawing/2014/main" id="{37789305-4996-015D-870D-743B0E86EE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4" name="Text Box 498">
          <a:extLst>
            <a:ext uri="{FF2B5EF4-FFF2-40B4-BE49-F238E27FC236}">
              <a16:creationId xmlns:a16="http://schemas.microsoft.com/office/drawing/2014/main" id="{9390F781-1062-2DA2-8149-5827FDC226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5" name="Text Box 499">
          <a:extLst>
            <a:ext uri="{FF2B5EF4-FFF2-40B4-BE49-F238E27FC236}">
              <a16:creationId xmlns:a16="http://schemas.microsoft.com/office/drawing/2014/main" id="{35F3F9DF-F135-CCFC-6FAB-AC64052654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6" name="Text Box 500">
          <a:extLst>
            <a:ext uri="{FF2B5EF4-FFF2-40B4-BE49-F238E27FC236}">
              <a16:creationId xmlns:a16="http://schemas.microsoft.com/office/drawing/2014/main" id="{3640B9D2-263B-CFAA-C467-45F38E67A8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7" name="Text Box 501">
          <a:extLst>
            <a:ext uri="{FF2B5EF4-FFF2-40B4-BE49-F238E27FC236}">
              <a16:creationId xmlns:a16="http://schemas.microsoft.com/office/drawing/2014/main" id="{981B27F9-F7D0-5DD9-C1F2-B8786A9931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8" name="Text Box 502">
          <a:extLst>
            <a:ext uri="{FF2B5EF4-FFF2-40B4-BE49-F238E27FC236}">
              <a16:creationId xmlns:a16="http://schemas.microsoft.com/office/drawing/2014/main" id="{68C0356A-0CB6-3F86-7F91-2AA51D3715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599" name="Text Box 503">
          <a:extLst>
            <a:ext uri="{FF2B5EF4-FFF2-40B4-BE49-F238E27FC236}">
              <a16:creationId xmlns:a16="http://schemas.microsoft.com/office/drawing/2014/main" id="{006D3901-C38F-C5A9-D6A8-23C436C004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0" name="Text Box 504">
          <a:extLst>
            <a:ext uri="{FF2B5EF4-FFF2-40B4-BE49-F238E27FC236}">
              <a16:creationId xmlns:a16="http://schemas.microsoft.com/office/drawing/2014/main" id="{DC7A8665-6861-2ED9-0B28-B1C28175B7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1" name="Text Box 505">
          <a:extLst>
            <a:ext uri="{FF2B5EF4-FFF2-40B4-BE49-F238E27FC236}">
              <a16:creationId xmlns:a16="http://schemas.microsoft.com/office/drawing/2014/main" id="{0F1E8346-965B-465B-8DFF-2398C0DD10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2" name="Text Box 506">
          <a:extLst>
            <a:ext uri="{FF2B5EF4-FFF2-40B4-BE49-F238E27FC236}">
              <a16:creationId xmlns:a16="http://schemas.microsoft.com/office/drawing/2014/main" id="{0463629F-10CD-D9CA-C9DD-EE92465EF7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3" name="Text Box 507">
          <a:extLst>
            <a:ext uri="{FF2B5EF4-FFF2-40B4-BE49-F238E27FC236}">
              <a16:creationId xmlns:a16="http://schemas.microsoft.com/office/drawing/2014/main" id="{7FDD92A9-1573-377F-9019-D9DBD598E6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4" name="Text Box 508">
          <a:extLst>
            <a:ext uri="{FF2B5EF4-FFF2-40B4-BE49-F238E27FC236}">
              <a16:creationId xmlns:a16="http://schemas.microsoft.com/office/drawing/2014/main" id="{1D8913DD-2F70-8E16-5C9B-FB5B3275F7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5" name="Text Box 509">
          <a:extLst>
            <a:ext uri="{FF2B5EF4-FFF2-40B4-BE49-F238E27FC236}">
              <a16:creationId xmlns:a16="http://schemas.microsoft.com/office/drawing/2014/main" id="{E6E922CA-37AC-3F7C-022B-377DC1D761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6" name="Text Box 510">
          <a:extLst>
            <a:ext uri="{FF2B5EF4-FFF2-40B4-BE49-F238E27FC236}">
              <a16:creationId xmlns:a16="http://schemas.microsoft.com/office/drawing/2014/main" id="{3C58E3E5-AF22-B86E-1A73-FDF5D556CC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7" name="Text Box 511">
          <a:extLst>
            <a:ext uri="{FF2B5EF4-FFF2-40B4-BE49-F238E27FC236}">
              <a16:creationId xmlns:a16="http://schemas.microsoft.com/office/drawing/2014/main" id="{F8480565-F8EE-E027-9C6C-3B681B436D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8" name="Text Box 512">
          <a:extLst>
            <a:ext uri="{FF2B5EF4-FFF2-40B4-BE49-F238E27FC236}">
              <a16:creationId xmlns:a16="http://schemas.microsoft.com/office/drawing/2014/main" id="{17A30CAC-C35E-B69E-A0D6-51B42BF2D9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09" name="Text Box 513">
          <a:extLst>
            <a:ext uri="{FF2B5EF4-FFF2-40B4-BE49-F238E27FC236}">
              <a16:creationId xmlns:a16="http://schemas.microsoft.com/office/drawing/2014/main" id="{1C9A92C0-4A1E-3E29-9E92-2A681CF9AA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0" name="Text Box 514">
          <a:extLst>
            <a:ext uri="{FF2B5EF4-FFF2-40B4-BE49-F238E27FC236}">
              <a16:creationId xmlns:a16="http://schemas.microsoft.com/office/drawing/2014/main" id="{C8ED3DD6-6B7C-1B6B-CDA7-DF99340891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1" name="Text Box 515">
          <a:extLst>
            <a:ext uri="{FF2B5EF4-FFF2-40B4-BE49-F238E27FC236}">
              <a16:creationId xmlns:a16="http://schemas.microsoft.com/office/drawing/2014/main" id="{1D583512-B1BF-5735-E600-97A982E996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2" name="Text Box 516">
          <a:extLst>
            <a:ext uri="{FF2B5EF4-FFF2-40B4-BE49-F238E27FC236}">
              <a16:creationId xmlns:a16="http://schemas.microsoft.com/office/drawing/2014/main" id="{706A4556-7491-A568-6AAD-EE04782B61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3" name="Text Box 517">
          <a:extLst>
            <a:ext uri="{FF2B5EF4-FFF2-40B4-BE49-F238E27FC236}">
              <a16:creationId xmlns:a16="http://schemas.microsoft.com/office/drawing/2014/main" id="{8B853EF3-A6F6-A94C-5F91-2BC5FACF93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4" name="Text Box 518">
          <a:extLst>
            <a:ext uri="{FF2B5EF4-FFF2-40B4-BE49-F238E27FC236}">
              <a16:creationId xmlns:a16="http://schemas.microsoft.com/office/drawing/2014/main" id="{32A1E8ED-D4A8-853F-3B7D-B2B48D7C8A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5" name="Text Box 519">
          <a:extLst>
            <a:ext uri="{FF2B5EF4-FFF2-40B4-BE49-F238E27FC236}">
              <a16:creationId xmlns:a16="http://schemas.microsoft.com/office/drawing/2014/main" id="{FC462C5C-F5A5-F577-91FD-D1D84056D6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6" name="Text Box 520">
          <a:extLst>
            <a:ext uri="{FF2B5EF4-FFF2-40B4-BE49-F238E27FC236}">
              <a16:creationId xmlns:a16="http://schemas.microsoft.com/office/drawing/2014/main" id="{01123EA2-2250-8358-2D73-A716AC09FC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7" name="Text Box 521">
          <a:extLst>
            <a:ext uri="{FF2B5EF4-FFF2-40B4-BE49-F238E27FC236}">
              <a16:creationId xmlns:a16="http://schemas.microsoft.com/office/drawing/2014/main" id="{5FCE2921-0D72-BF47-0965-E8AC731524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8" name="Text Box 522">
          <a:extLst>
            <a:ext uri="{FF2B5EF4-FFF2-40B4-BE49-F238E27FC236}">
              <a16:creationId xmlns:a16="http://schemas.microsoft.com/office/drawing/2014/main" id="{81476360-4E57-D331-21EE-63C3335BA7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19" name="Text Box 523">
          <a:extLst>
            <a:ext uri="{FF2B5EF4-FFF2-40B4-BE49-F238E27FC236}">
              <a16:creationId xmlns:a16="http://schemas.microsoft.com/office/drawing/2014/main" id="{40FC957F-C6F4-1D89-D0DD-3FB13B71D1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0" name="Text Box 524">
          <a:extLst>
            <a:ext uri="{FF2B5EF4-FFF2-40B4-BE49-F238E27FC236}">
              <a16:creationId xmlns:a16="http://schemas.microsoft.com/office/drawing/2014/main" id="{56606030-2649-F239-868C-A8E96E165F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1" name="Text Box 525">
          <a:extLst>
            <a:ext uri="{FF2B5EF4-FFF2-40B4-BE49-F238E27FC236}">
              <a16:creationId xmlns:a16="http://schemas.microsoft.com/office/drawing/2014/main" id="{F8368FEF-03D5-681F-8C26-98BA06A415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2" name="Text Box 526">
          <a:extLst>
            <a:ext uri="{FF2B5EF4-FFF2-40B4-BE49-F238E27FC236}">
              <a16:creationId xmlns:a16="http://schemas.microsoft.com/office/drawing/2014/main" id="{17549C0F-B0F5-7053-A5D0-972BD7E263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3" name="Text Box 527">
          <a:extLst>
            <a:ext uri="{FF2B5EF4-FFF2-40B4-BE49-F238E27FC236}">
              <a16:creationId xmlns:a16="http://schemas.microsoft.com/office/drawing/2014/main" id="{F74119D7-884B-4756-09A6-4DD8757FBF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4" name="Text Box 528">
          <a:extLst>
            <a:ext uri="{FF2B5EF4-FFF2-40B4-BE49-F238E27FC236}">
              <a16:creationId xmlns:a16="http://schemas.microsoft.com/office/drawing/2014/main" id="{6EBA70A5-F684-7901-4E3D-11CA96E386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5" name="Text Box 529">
          <a:extLst>
            <a:ext uri="{FF2B5EF4-FFF2-40B4-BE49-F238E27FC236}">
              <a16:creationId xmlns:a16="http://schemas.microsoft.com/office/drawing/2014/main" id="{E6530B42-76ED-2EB8-3FDA-0841B09674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6" name="Text Box 530">
          <a:extLst>
            <a:ext uri="{FF2B5EF4-FFF2-40B4-BE49-F238E27FC236}">
              <a16:creationId xmlns:a16="http://schemas.microsoft.com/office/drawing/2014/main" id="{DB73ED00-A18C-34D8-EF9C-9DD8AB7FEA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7" name="Text Box 531">
          <a:extLst>
            <a:ext uri="{FF2B5EF4-FFF2-40B4-BE49-F238E27FC236}">
              <a16:creationId xmlns:a16="http://schemas.microsoft.com/office/drawing/2014/main" id="{9CF53DD8-6DA7-F49F-5EAE-942A2F2751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8" name="Text Box 533">
          <a:extLst>
            <a:ext uri="{FF2B5EF4-FFF2-40B4-BE49-F238E27FC236}">
              <a16:creationId xmlns:a16="http://schemas.microsoft.com/office/drawing/2014/main" id="{AE581EA8-EB6C-0205-0BE5-1C21D95592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29" name="Text Box 534">
          <a:extLst>
            <a:ext uri="{FF2B5EF4-FFF2-40B4-BE49-F238E27FC236}">
              <a16:creationId xmlns:a16="http://schemas.microsoft.com/office/drawing/2014/main" id="{FEF86B20-3F65-9307-30CB-FD0A544BA8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0" name="Text Box 535">
          <a:extLst>
            <a:ext uri="{FF2B5EF4-FFF2-40B4-BE49-F238E27FC236}">
              <a16:creationId xmlns:a16="http://schemas.microsoft.com/office/drawing/2014/main" id="{664DA343-FD14-3145-4613-648D7FDE0E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1" name="Text Box 536">
          <a:extLst>
            <a:ext uri="{FF2B5EF4-FFF2-40B4-BE49-F238E27FC236}">
              <a16:creationId xmlns:a16="http://schemas.microsoft.com/office/drawing/2014/main" id="{34A236A2-6226-16F5-AB3D-35D2E5783D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2" name="Text Box 537">
          <a:extLst>
            <a:ext uri="{FF2B5EF4-FFF2-40B4-BE49-F238E27FC236}">
              <a16:creationId xmlns:a16="http://schemas.microsoft.com/office/drawing/2014/main" id="{C9131973-A550-84AA-AA16-ECE1E224CE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3" name="Text Box 538">
          <a:extLst>
            <a:ext uri="{FF2B5EF4-FFF2-40B4-BE49-F238E27FC236}">
              <a16:creationId xmlns:a16="http://schemas.microsoft.com/office/drawing/2014/main" id="{AEAAB736-E81B-328E-6847-6CF59E3FC59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4" name="Text Box 539">
          <a:extLst>
            <a:ext uri="{FF2B5EF4-FFF2-40B4-BE49-F238E27FC236}">
              <a16:creationId xmlns:a16="http://schemas.microsoft.com/office/drawing/2014/main" id="{7D8F7485-F0DD-12A5-DD15-62E6CD1CE0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5" name="Text Box 540">
          <a:extLst>
            <a:ext uri="{FF2B5EF4-FFF2-40B4-BE49-F238E27FC236}">
              <a16:creationId xmlns:a16="http://schemas.microsoft.com/office/drawing/2014/main" id="{569C8E5C-D8E2-A5E5-BC44-3EF6D37712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6" name="Text Box 541">
          <a:extLst>
            <a:ext uri="{FF2B5EF4-FFF2-40B4-BE49-F238E27FC236}">
              <a16:creationId xmlns:a16="http://schemas.microsoft.com/office/drawing/2014/main" id="{6B0ADE39-7D52-3089-A312-9D4747E37A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7" name="Text Box 542">
          <a:extLst>
            <a:ext uri="{FF2B5EF4-FFF2-40B4-BE49-F238E27FC236}">
              <a16:creationId xmlns:a16="http://schemas.microsoft.com/office/drawing/2014/main" id="{3E4EADF8-058E-EDA7-70BC-8B17DD1BC9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8" name="Text Box 543">
          <a:extLst>
            <a:ext uri="{FF2B5EF4-FFF2-40B4-BE49-F238E27FC236}">
              <a16:creationId xmlns:a16="http://schemas.microsoft.com/office/drawing/2014/main" id="{FC3A296E-1936-136B-8EEC-4A3CAE4CBD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39" name="Text Box 544">
          <a:extLst>
            <a:ext uri="{FF2B5EF4-FFF2-40B4-BE49-F238E27FC236}">
              <a16:creationId xmlns:a16="http://schemas.microsoft.com/office/drawing/2014/main" id="{C41CDDDD-C815-8FE8-7A93-D355BC404D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0" name="Text Box 545">
          <a:extLst>
            <a:ext uri="{FF2B5EF4-FFF2-40B4-BE49-F238E27FC236}">
              <a16:creationId xmlns:a16="http://schemas.microsoft.com/office/drawing/2014/main" id="{6F699AFB-A6FF-DE7A-7B6B-1F2FC1BD5D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1" name="Text Box 546">
          <a:extLst>
            <a:ext uri="{FF2B5EF4-FFF2-40B4-BE49-F238E27FC236}">
              <a16:creationId xmlns:a16="http://schemas.microsoft.com/office/drawing/2014/main" id="{3B40F00C-8F52-FCB9-2192-4F08BE31D4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2" name="Text Box 547">
          <a:extLst>
            <a:ext uri="{FF2B5EF4-FFF2-40B4-BE49-F238E27FC236}">
              <a16:creationId xmlns:a16="http://schemas.microsoft.com/office/drawing/2014/main" id="{0D90659D-7331-5663-9D03-8DC279BCF8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3" name="Text Box 548">
          <a:extLst>
            <a:ext uri="{FF2B5EF4-FFF2-40B4-BE49-F238E27FC236}">
              <a16:creationId xmlns:a16="http://schemas.microsoft.com/office/drawing/2014/main" id="{570C500C-7998-77E1-CF3D-FF999E4F12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4" name="Text Box 549">
          <a:extLst>
            <a:ext uri="{FF2B5EF4-FFF2-40B4-BE49-F238E27FC236}">
              <a16:creationId xmlns:a16="http://schemas.microsoft.com/office/drawing/2014/main" id="{12D39DB2-5438-83E4-D93F-B765452338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5" name="Text Box 550">
          <a:extLst>
            <a:ext uri="{FF2B5EF4-FFF2-40B4-BE49-F238E27FC236}">
              <a16:creationId xmlns:a16="http://schemas.microsoft.com/office/drawing/2014/main" id="{26BC6128-D405-1220-F0AA-A1DF5ECC76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6" name="Text Box 551">
          <a:extLst>
            <a:ext uri="{FF2B5EF4-FFF2-40B4-BE49-F238E27FC236}">
              <a16:creationId xmlns:a16="http://schemas.microsoft.com/office/drawing/2014/main" id="{EE29FFF5-A719-C873-B2D2-8AA48B0824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7" name="Text Box 552">
          <a:extLst>
            <a:ext uri="{FF2B5EF4-FFF2-40B4-BE49-F238E27FC236}">
              <a16:creationId xmlns:a16="http://schemas.microsoft.com/office/drawing/2014/main" id="{64068EBB-49C6-EF50-D1BE-5780A078C9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8" name="Text Box 553">
          <a:extLst>
            <a:ext uri="{FF2B5EF4-FFF2-40B4-BE49-F238E27FC236}">
              <a16:creationId xmlns:a16="http://schemas.microsoft.com/office/drawing/2014/main" id="{8A2FC273-EC76-1905-9E15-0E6351EE47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49" name="Text Box 554">
          <a:extLst>
            <a:ext uri="{FF2B5EF4-FFF2-40B4-BE49-F238E27FC236}">
              <a16:creationId xmlns:a16="http://schemas.microsoft.com/office/drawing/2014/main" id="{B573C160-86B9-5285-C519-AF39821B95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0" name="Text Box 555">
          <a:extLst>
            <a:ext uri="{FF2B5EF4-FFF2-40B4-BE49-F238E27FC236}">
              <a16:creationId xmlns:a16="http://schemas.microsoft.com/office/drawing/2014/main" id="{370C9DCD-04B5-146D-6724-BF4D754153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1" name="Text Box 556">
          <a:extLst>
            <a:ext uri="{FF2B5EF4-FFF2-40B4-BE49-F238E27FC236}">
              <a16:creationId xmlns:a16="http://schemas.microsoft.com/office/drawing/2014/main" id="{B5B05FD9-7408-1E5A-CBBA-A8467BCE65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2" name="Text Box 557">
          <a:extLst>
            <a:ext uri="{FF2B5EF4-FFF2-40B4-BE49-F238E27FC236}">
              <a16:creationId xmlns:a16="http://schemas.microsoft.com/office/drawing/2014/main" id="{7C07443E-134B-8344-3F02-E05D44DDE1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3" name="Text Box 558">
          <a:extLst>
            <a:ext uri="{FF2B5EF4-FFF2-40B4-BE49-F238E27FC236}">
              <a16:creationId xmlns:a16="http://schemas.microsoft.com/office/drawing/2014/main" id="{63EEC57C-5134-0CE9-3C0F-F624ACAE87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4" name="Text Box 559">
          <a:extLst>
            <a:ext uri="{FF2B5EF4-FFF2-40B4-BE49-F238E27FC236}">
              <a16:creationId xmlns:a16="http://schemas.microsoft.com/office/drawing/2014/main" id="{7B9786D9-CB95-3359-9C33-12C1357298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5" name="Text Box 560">
          <a:extLst>
            <a:ext uri="{FF2B5EF4-FFF2-40B4-BE49-F238E27FC236}">
              <a16:creationId xmlns:a16="http://schemas.microsoft.com/office/drawing/2014/main" id="{954E0F08-6087-ACB0-EE29-FFB67FD723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6" name="Text Box 561">
          <a:extLst>
            <a:ext uri="{FF2B5EF4-FFF2-40B4-BE49-F238E27FC236}">
              <a16:creationId xmlns:a16="http://schemas.microsoft.com/office/drawing/2014/main" id="{2F42626D-6DA6-8600-3AB8-0EFCEFE218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7" name="Text Box 562">
          <a:extLst>
            <a:ext uri="{FF2B5EF4-FFF2-40B4-BE49-F238E27FC236}">
              <a16:creationId xmlns:a16="http://schemas.microsoft.com/office/drawing/2014/main" id="{B70D9AB4-6D5E-4D70-2FC0-D327157B7A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8" name="Text Box 563">
          <a:extLst>
            <a:ext uri="{FF2B5EF4-FFF2-40B4-BE49-F238E27FC236}">
              <a16:creationId xmlns:a16="http://schemas.microsoft.com/office/drawing/2014/main" id="{B26F2D7C-CEBC-F64A-FCA3-973C4C7A23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59" name="Text Box 564">
          <a:extLst>
            <a:ext uri="{FF2B5EF4-FFF2-40B4-BE49-F238E27FC236}">
              <a16:creationId xmlns:a16="http://schemas.microsoft.com/office/drawing/2014/main" id="{541F54E3-AE59-E05C-9EF7-7C95E9546A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0" name="Text Box 565">
          <a:extLst>
            <a:ext uri="{FF2B5EF4-FFF2-40B4-BE49-F238E27FC236}">
              <a16:creationId xmlns:a16="http://schemas.microsoft.com/office/drawing/2014/main" id="{1E029F27-95D7-D669-0C62-4942E2368F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1" name="Text Box 566">
          <a:extLst>
            <a:ext uri="{FF2B5EF4-FFF2-40B4-BE49-F238E27FC236}">
              <a16:creationId xmlns:a16="http://schemas.microsoft.com/office/drawing/2014/main" id="{160D9D43-9B5D-979B-0A71-BCDEA48FB8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2" name="Text Box 567">
          <a:extLst>
            <a:ext uri="{FF2B5EF4-FFF2-40B4-BE49-F238E27FC236}">
              <a16:creationId xmlns:a16="http://schemas.microsoft.com/office/drawing/2014/main" id="{B8B70017-B399-148E-8C30-DFABF9173E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3" name="Text Box 568">
          <a:extLst>
            <a:ext uri="{FF2B5EF4-FFF2-40B4-BE49-F238E27FC236}">
              <a16:creationId xmlns:a16="http://schemas.microsoft.com/office/drawing/2014/main" id="{AC6A2C5A-4153-467F-83B3-0B4A8A0ABB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4" name="Text Box 569">
          <a:extLst>
            <a:ext uri="{FF2B5EF4-FFF2-40B4-BE49-F238E27FC236}">
              <a16:creationId xmlns:a16="http://schemas.microsoft.com/office/drawing/2014/main" id="{9C6CB1B0-86E6-3B7B-557D-A2D2298FC9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5" name="Text Box 570">
          <a:extLst>
            <a:ext uri="{FF2B5EF4-FFF2-40B4-BE49-F238E27FC236}">
              <a16:creationId xmlns:a16="http://schemas.microsoft.com/office/drawing/2014/main" id="{A2643BAD-4776-A41F-B83D-7B5D4E457B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6" name="Text Box 571">
          <a:extLst>
            <a:ext uri="{FF2B5EF4-FFF2-40B4-BE49-F238E27FC236}">
              <a16:creationId xmlns:a16="http://schemas.microsoft.com/office/drawing/2014/main" id="{3C6F2D6C-F4BE-05E5-C1BA-222AB8A8F76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7" name="Text Box 572">
          <a:extLst>
            <a:ext uri="{FF2B5EF4-FFF2-40B4-BE49-F238E27FC236}">
              <a16:creationId xmlns:a16="http://schemas.microsoft.com/office/drawing/2014/main" id="{D7F7CA4A-E6D8-418B-2EB7-813C950FBA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8" name="Text Box 573">
          <a:extLst>
            <a:ext uri="{FF2B5EF4-FFF2-40B4-BE49-F238E27FC236}">
              <a16:creationId xmlns:a16="http://schemas.microsoft.com/office/drawing/2014/main" id="{E1973983-0A54-509F-DF6D-484D4700FA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69" name="Text Box 574">
          <a:extLst>
            <a:ext uri="{FF2B5EF4-FFF2-40B4-BE49-F238E27FC236}">
              <a16:creationId xmlns:a16="http://schemas.microsoft.com/office/drawing/2014/main" id="{DBD1EDA2-447A-E8EC-DC26-493713DB51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0" name="Text Box 575">
          <a:extLst>
            <a:ext uri="{FF2B5EF4-FFF2-40B4-BE49-F238E27FC236}">
              <a16:creationId xmlns:a16="http://schemas.microsoft.com/office/drawing/2014/main" id="{AA681F64-F0EB-E54B-9982-5849EF3BF4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1" name="Text Box 576">
          <a:extLst>
            <a:ext uri="{FF2B5EF4-FFF2-40B4-BE49-F238E27FC236}">
              <a16:creationId xmlns:a16="http://schemas.microsoft.com/office/drawing/2014/main" id="{2773BEAB-2895-EFE2-2DDE-FF95EE25AC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2" name="Text Box 577">
          <a:extLst>
            <a:ext uri="{FF2B5EF4-FFF2-40B4-BE49-F238E27FC236}">
              <a16:creationId xmlns:a16="http://schemas.microsoft.com/office/drawing/2014/main" id="{8D698D1E-DEB9-A757-66D0-1902979E79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3" name="Text Box 578">
          <a:extLst>
            <a:ext uri="{FF2B5EF4-FFF2-40B4-BE49-F238E27FC236}">
              <a16:creationId xmlns:a16="http://schemas.microsoft.com/office/drawing/2014/main" id="{1D46E96C-B713-27F5-F031-14CD1E7769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4" name="Text Box 579">
          <a:extLst>
            <a:ext uri="{FF2B5EF4-FFF2-40B4-BE49-F238E27FC236}">
              <a16:creationId xmlns:a16="http://schemas.microsoft.com/office/drawing/2014/main" id="{FDC3A975-F721-7A62-70CD-AFC454CEC1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5" name="Text Box 580">
          <a:extLst>
            <a:ext uri="{FF2B5EF4-FFF2-40B4-BE49-F238E27FC236}">
              <a16:creationId xmlns:a16="http://schemas.microsoft.com/office/drawing/2014/main" id="{089806E7-4E80-98E3-02E0-53C58816AE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6" name="Text Box 581">
          <a:extLst>
            <a:ext uri="{FF2B5EF4-FFF2-40B4-BE49-F238E27FC236}">
              <a16:creationId xmlns:a16="http://schemas.microsoft.com/office/drawing/2014/main" id="{A8C60DE4-D96D-3640-BFFF-9AAF4AD34B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7" name="Text Box 582">
          <a:extLst>
            <a:ext uri="{FF2B5EF4-FFF2-40B4-BE49-F238E27FC236}">
              <a16:creationId xmlns:a16="http://schemas.microsoft.com/office/drawing/2014/main" id="{AFD89F4C-C53C-2D6B-92BE-70CFDB43E1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8" name="Text Box 583">
          <a:extLst>
            <a:ext uri="{FF2B5EF4-FFF2-40B4-BE49-F238E27FC236}">
              <a16:creationId xmlns:a16="http://schemas.microsoft.com/office/drawing/2014/main" id="{E83F79A3-6014-4B3B-ACCF-D3FDBF216D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79" name="Text Box 584">
          <a:extLst>
            <a:ext uri="{FF2B5EF4-FFF2-40B4-BE49-F238E27FC236}">
              <a16:creationId xmlns:a16="http://schemas.microsoft.com/office/drawing/2014/main" id="{79F7D1FF-E8FC-C55B-9F7E-16E1178C58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0" name="Text Box 585">
          <a:extLst>
            <a:ext uri="{FF2B5EF4-FFF2-40B4-BE49-F238E27FC236}">
              <a16:creationId xmlns:a16="http://schemas.microsoft.com/office/drawing/2014/main" id="{D33C19E2-AD14-2930-7078-70441205A8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1" name="Text Box 586">
          <a:extLst>
            <a:ext uri="{FF2B5EF4-FFF2-40B4-BE49-F238E27FC236}">
              <a16:creationId xmlns:a16="http://schemas.microsoft.com/office/drawing/2014/main" id="{E0AA383F-731B-D4E5-5678-5E161F3D43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2" name="Text Box 587">
          <a:extLst>
            <a:ext uri="{FF2B5EF4-FFF2-40B4-BE49-F238E27FC236}">
              <a16:creationId xmlns:a16="http://schemas.microsoft.com/office/drawing/2014/main" id="{77ECBD32-D49D-B67B-0974-7D1E03FE5F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3" name="Text Box 588">
          <a:extLst>
            <a:ext uri="{FF2B5EF4-FFF2-40B4-BE49-F238E27FC236}">
              <a16:creationId xmlns:a16="http://schemas.microsoft.com/office/drawing/2014/main" id="{6D095522-74A2-CE10-EA27-0C0D328149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4" name="Text Box 589">
          <a:extLst>
            <a:ext uri="{FF2B5EF4-FFF2-40B4-BE49-F238E27FC236}">
              <a16:creationId xmlns:a16="http://schemas.microsoft.com/office/drawing/2014/main" id="{CDA34AAA-B712-C436-1E17-DDC915E6E9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5" name="Text Box 590">
          <a:extLst>
            <a:ext uri="{FF2B5EF4-FFF2-40B4-BE49-F238E27FC236}">
              <a16:creationId xmlns:a16="http://schemas.microsoft.com/office/drawing/2014/main" id="{78EAB6DE-C381-F524-EAD2-DDB2E60E41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6" name="Text Box 591">
          <a:extLst>
            <a:ext uri="{FF2B5EF4-FFF2-40B4-BE49-F238E27FC236}">
              <a16:creationId xmlns:a16="http://schemas.microsoft.com/office/drawing/2014/main" id="{323336CD-A7BA-C03F-257F-448BD45A4E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7" name="Text Box 592">
          <a:extLst>
            <a:ext uri="{FF2B5EF4-FFF2-40B4-BE49-F238E27FC236}">
              <a16:creationId xmlns:a16="http://schemas.microsoft.com/office/drawing/2014/main" id="{688FE8FF-EF3C-8355-EA08-7C3C9B5FC4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8" name="Text Box 593">
          <a:extLst>
            <a:ext uri="{FF2B5EF4-FFF2-40B4-BE49-F238E27FC236}">
              <a16:creationId xmlns:a16="http://schemas.microsoft.com/office/drawing/2014/main" id="{2C99C3C9-BD50-86F0-7E7B-FC6EBD41DE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89" name="Text Box 594">
          <a:extLst>
            <a:ext uri="{FF2B5EF4-FFF2-40B4-BE49-F238E27FC236}">
              <a16:creationId xmlns:a16="http://schemas.microsoft.com/office/drawing/2014/main" id="{677759D5-022C-8185-7F19-D44F50E6EE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0" name="Text Box 595">
          <a:extLst>
            <a:ext uri="{FF2B5EF4-FFF2-40B4-BE49-F238E27FC236}">
              <a16:creationId xmlns:a16="http://schemas.microsoft.com/office/drawing/2014/main" id="{CB92B28B-EC33-FF88-8130-17792213E4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1" name="Text Box 596">
          <a:extLst>
            <a:ext uri="{FF2B5EF4-FFF2-40B4-BE49-F238E27FC236}">
              <a16:creationId xmlns:a16="http://schemas.microsoft.com/office/drawing/2014/main" id="{EF0176D3-D3BA-F1FC-DFA1-15E4172CAC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2" name="Text Box 597">
          <a:extLst>
            <a:ext uri="{FF2B5EF4-FFF2-40B4-BE49-F238E27FC236}">
              <a16:creationId xmlns:a16="http://schemas.microsoft.com/office/drawing/2014/main" id="{79F70198-B09B-A049-8864-5CB7259D19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3" name="Text Box 598">
          <a:extLst>
            <a:ext uri="{FF2B5EF4-FFF2-40B4-BE49-F238E27FC236}">
              <a16:creationId xmlns:a16="http://schemas.microsoft.com/office/drawing/2014/main" id="{BB537202-B7FF-840C-85D3-5487CAD55D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4" name="Text Box 599">
          <a:extLst>
            <a:ext uri="{FF2B5EF4-FFF2-40B4-BE49-F238E27FC236}">
              <a16:creationId xmlns:a16="http://schemas.microsoft.com/office/drawing/2014/main" id="{3C4512A3-5293-9CA3-0DA1-BFFDCD2966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5" name="Text Box 600">
          <a:extLst>
            <a:ext uri="{FF2B5EF4-FFF2-40B4-BE49-F238E27FC236}">
              <a16:creationId xmlns:a16="http://schemas.microsoft.com/office/drawing/2014/main" id="{0920A8DF-EED7-8206-C5EE-5497CD8613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6" name="Text Box 601">
          <a:extLst>
            <a:ext uri="{FF2B5EF4-FFF2-40B4-BE49-F238E27FC236}">
              <a16:creationId xmlns:a16="http://schemas.microsoft.com/office/drawing/2014/main" id="{14E8B037-B451-6ABB-B59A-114618C638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7" name="Text Box 602">
          <a:extLst>
            <a:ext uri="{FF2B5EF4-FFF2-40B4-BE49-F238E27FC236}">
              <a16:creationId xmlns:a16="http://schemas.microsoft.com/office/drawing/2014/main" id="{CB76F31D-C8CD-05BC-36AB-28401B68F1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8" name="Text Box 603">
          <a:extLst>
            <a:ext uri="{FF2B5EF4-FFF2-40B4-BE49-F238E27FC236}">
              <a16:creationId xmlns:a16="http://schemas.microsoft.com/office/drawing/2014/main" id="{29E22235-5138-CEEC-2790-1B93512FAD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699" name="Text Box 604">
          <a:extLst>
            <a:ext uri="{FF2B5EF4-FFF2-40B4-BE49-F238E27FC236}">
              <a16:creationId xmlns:a16="http://schemas.microsoft.com/office/drawing/2014/main" id="{0060ED71-58A1-7E23-647A-DD9CC8E42E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0" name="Text Box 605">
          <a:extLst>
            <a:ext uri="{FF2B5EF4-FFF2-40B4-BE49-F238E27FC236}">
              <a16:creationId xmlns:a16="http://schemas.microsoft.com/office/drawing/2014/main" id="{E2191602-3A48-CDC6-B060-4550474A61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1" name="Text Box 606">
          <a:extLst>
            <a:ext uri="{FF2B5EF4-FFF2-40B4-BE49-F238E27FC236}">
              <a16:creationId xmlns:a16="http://schemas.microsoft.com/office/drawing/2014/main" id="{1CC07A09-0483-A1DF-7466-9588213E52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2" name="Text Box 607">
          <a:extLst>
            <a:ext uri="{FF2B5EF4-FFF2-40B4-BE49-F238E27FC236}">
              <a16:creationId xmlns:a16="http://schemas.microsoft.com/office/drawing/2014/main" id="{97AE98E2-6988-F82A-6AAD-FAC6BCFA72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3" name="Text Box 608">
          <a:extLst>
            <a:ext uri="{FF2B5EF4-FFF2-40B4-BE49-F238E27FC236}">
              <a16:creationId xmlns:a16="http://schemas.microsoft.com/office/drawing/2014/main" id="{29DDA1D8-DA98-6529-0396-4BCB1EB6E9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4" name="Text Box 609">
          <a:extLst>
            <a:ext uri="{FF2B5EF4-FFF2-40B4-BE49-F238E27FC236}">
              <a16:creationId xmlns:a16="http://schemas.microsoft.com/office/drawing/2014/main" id="{5C6A6ED0-0107-D8F2-A1D2-7FE214A89C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5" name="Text Box 610">
          <a:extLst>
            <a:ext uri="{FF2B5EF4-FFF2-40B4-BE49-F238E27FC236}">
              <a16:creationId xmlns:a16="http://schemas.microsoft.com/office/drawing/2014/main" id="{EC4E944B-201A-9193-52AE-62C5AEBF6C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6" name="Text Box 611">
          <a:extLst>
            <a:ext uri="{FF2B5EF4-FFF2-40B4-BE49-F238E27FC236}">
              <a16:creationId xmlns:a16="http://schemas.microsoft.com/office/drawing/2014/main" id="{2CF5D5A2-D889-FBC1-BD57-5FFC5F7C20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7" name="Text Box 612">
          <a:extLst>
            <a:ext uri="{FF2B5EF4-FFF2-40B4-BE49-F238E27FC236}">
              <a16:creationId xmlns:a16="http://schemas.microsoft.com/office/drawing/2014/main" id="{8499BBB4-998B-7728-4B56-7F52824917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8" name="Text Box 613">
          <a:extLst>
            <a:ext uri="{FF2B5EF4-FFF2-40B4-BE49-F238E27FC236}">
              <a16:creationId xmlns:a16="http://schemas.microsoft.com/office/drawing/2014/main" id="{56D51B62-1CB1-F979-F61A-394BD98006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09" name="Text Box 614">
          <a:extLst>
            <a:ext uri="{FF2B5EF4-FFF2-40B4-BE49-F238E27FC236}">
              <a16:creationId xmlns:a16="http://schemas.microsoft.com/office/drawing/2014/main" id="{992FE938-5CB4-2355-F705-CB2AA0E82A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0" name="Text Box 615">
          <a:extLst>
            <a:ext uri="{FF2B5EF4-FFF2-40B4-BE49-F238E27FC236}">
              <a16:creationId xmlns:a16="http://schemas.microsoft.com/office/drawing/2014/main" id="{842B711C-6F7B-CCE5-7001-14B5E2034E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1" name="Text Box 616">
          <a:extLst>
            <a:ext uri="{FF2B5EF4-FFF2-40B4-BE49-F238E27FC236}">
              <a16:creationId xmlns:a16="http://schemas.microsoft.com/office/drawing/2014/main" id="{9889B01E-E5B4-21D2-F1EA-F1CA1A2D0E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2" name="Text Box 617">
          <a:extLst>
            <a:ext uri="{FF2B5EF4-FFF2-40B4-BE49-F238E27FC236}">
              <a16:creationId xmlns:a16="http://schemas.microsoft.com/office/drawing/2014/main" id="{A7B46FF1-4EF8-AEC1-31F0-4DC2002E63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3" name="Text Box 618">
          <a:extLst>
            <a:ext uri="{FF2B5EF4-FFF2-40B4-BE49-F238E27FC236}">
              <a16:creationId xmlns:a16="http://schemas.microsoft.com/office/drawing/2014/main" id="{2F68A387-0B3A-798F-F99E-32BA9FD943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4" name="Text Box 619">
          <a:extLst>
            <a:ext uri="{FF2B5EF4-FFF2-40B4-BE49-F238E27FC236}">
              <a16:creationId xmlns:a16="http://schemas.microsoft.com/office/drawing/2014/main" id="{78598D24-B41A-3B17-79FF-6FF1989D8A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5" name="Text Box 620">
          <a:extLst>
            <a:ext uri="{FF2B5EF4-FFF2-40B4-BE49-F238E27FC236}">
              <a16:creationId xmlns:a16="http://schemas.microsoft.com/office/drawing/2014/main" id="{5B6A8D03-0CAF-1BDF-AE63-26EF420EFD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6" name="Text Box 621">
          <a:extLst>
            <a:ext uri="{FF2B5EF4-FFF2-40B4-BE49-F238E27FC236}">
              <a16:creationId xmlns:a16="http://schemas.microsoft.com/office/drawing/2014/main" id="{EB81D571-326B-2AEC-F070-EA7D7BD664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7" name="Text Box 622">
          <a:extLst>
            <a:ext uri="{FF2B5EF4-FFF2-40B4-BE49-F238E27FC236}">
              <a16:creationId xmlns:a16="http://schemas.microsoft.com/office/drawing/2014/main" id="{13B36815-6476-FC1B-B304-6D0FADB598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8" name="Text Box 623">
          <a:extLst>
            <a:ext uri="{FF2B5EF4-FFF2-40B4-BE49-F238E27FC236}">
              <a16:creationId xmlns:a16="http://schemas.microsoft.com/office/drawing/2014/main" id="{8526FB07-DEB7-10A5-1726-588C616FF5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19" name="Text Box 624">
          <a:extLst>
            <a:ext uri="{FF2B5EF4-FFF2-40B4-BE49-F238E27FC236}">
              <a16:creationId xmlns:a16="http://schemas.microsoft.com/office/drawing/2014/main" id="{CF05D68D-77AB-D2E6-0DF4-D54D6EFD2EF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0" name="Text Box 625">
          <a:extLst>
            <a:ext uri="{FF2B5EF4-FFF2-40B4-BE49-F238E27FC236}">
              <a16:creationId xmlns:a16="http://schemas.microsoft.com/office/drawing/2014/main" id="{856B3C99-6CF8-58C8-FEDC-FE770FFA63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1" name="Text Box 626">
          <a:extLst>
            <a:ext uri="{FF2B5EF4-FFF2-40B4-BE49-F238E27FC236}">
              <a16:creationId xmlns:a16="http://schemas.microsoft.com/office/drawing/2014/main" id="{A6D9FDE9-7571-AFB4-D830-AD247A0572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2" name="Text Box 627">
          <a:extLst>
            <a:ext uri="{FF2B5EF4-FFF2-40B4-BE49-F238E27FC236}">
              <a16:creationId xmlns:a16="http://schemas.microsoft.com/office/drawing/2014/main" id="{A9379674-236C-9ED8-18E5-CA92BD5585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3" name="Text Box 628">
          <a:extLst>
            <a:ext uri="{FF2B5EF4-FFF2-40B4-BE49-F238E27FC236}">
              <a16:creationId xmlns:a16="http://schemas.microsoft.com/office/drawing/2014/main" id="{0D6B1B5B-404C-4F99-C03D-CD968101B1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4" name="Text Box 629">
          <a:extLst>
            <a:ext uri="{FF2B5EF4-FFF2-40B4-BE49-F238E27FC236}">
              <a16:creationId xmlns:a16="http://schemas.microsoft.com/office/drawing/2014/main" id="{DE95850B-135B-3EE4-938B-54617629FA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5" name="Text Box 630">
          <a:extLst>
            <a:ext uri="{FF2B5EF4-FFF2-40B4-BE49-F238E27FC236}">
              <a16:creationId xmlns:a16="http://schemas.microsoft.com/office/drawing/2014/main" id="{263A7379-1F5B-EF1D-D18B-B973040D23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6" name="Text Box 631">
          <a:extLst>
            <a:ext uri="{FF2B5EF4-FFF2-40B4-BE49-F238E27FC236}">
              <a16:creationId xmlns:a16="http://schemas.microsoft.com/office/drawing/2014/main" id="{5F9465E4-63F1-B7A3-FB8E-E1A4DA20E7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7" name="Text Box 632">
          <a:extLst>
            <a:ext uri="{FF2B5EF4-FFF2-40B4-BE49-F238E27FC236}">
              <a16:creationId xmlns:a16="http://schemas.microsoft.com/office/drawing/2014/main" id="{9D11DAA2-16F0-486D-D659-E531A9EB3B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8" name="Text Box 633">
          <a:extLst>
            <a:ext uri="{FF2B5EF4-FFF2-40B4-BE49-F238E27FC236}">
              <a16:creationId xmlns:a16="http://schemas.microsoft.com/office/drawing/2014/main" id="{61C25C6E-49F3-19D6-D2BC-C6C9ADFB2C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29" name="Text Box 634">
          <a:extLst>
            <a:ext uri="{FF2B5EF4-FFF2-40B4-BE49-F238E27FC236}">
              <a16:creationId xmlns:a16="http://schemas.microsoft.com/office/drawing/2014/main" id="{BAFCC2A8-C8AA-B434-D9D3-065A9E98E5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0" name="Text Box 635">
          <a:extLst>
            <a:ext uri="{FF2B5EF4-FFF2-40B4-BE49-F238E27FC236}">
              <a16:creationId xmlns:a16="http://schemas.microsoft.com/office/drawing/2014/main" id="{97A26207-4100-F9B6-2FAD-E9E3DB0B0A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1" name="Text Box 636">
          <a:extLst>
            <a:ext uri="{FF2B5EF4-FFF2-40B4-BE49-F238E27FC236}">
              <a16:creationId xmlns:a16="http://schemas.microsoft.com/office/drawing/2014/main" id="{0CB0ECA1-EFE6-063A-3D76-0341AC2703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2" name="Text Box 637">
          <a:extLst>
            <a:ext uri="{FF2B5EF4-FFF2-40B4-BE49-F238E27FC236}">
              <a16:creationId xmlns:a16="http://schemas.microsoft.com/office/drawing/2014/main" id="{4732238F-3D71-7C28-3F92-E80A2B78ED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3" name="Text Box 638">
          <a:extLst>
            <a:ext uri="{FF2B5EF4-FFF2-40B4-BE49-F238E27FC236}">
              <a16:creationId xmlns:a16="http://schemas.microsoft.com/office/drawing/2014/main" id="{FE6FA300-4F90-2D34-6D2B-FA186C45682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4" name="Text Box 639">
          <a:extLst>
            <a:ext uri="{FF2B5EF4-FFF2-40B4-BE49-F238E27FC236}">
              <a16:creationId xmlns:a16="http://schemas.microsoft.com/office/drawing/2014/main" id="{801A5F3F-8228-7A7A-80E7-A64299B2B3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5" name="Text Box 640">
          <a:extLst>
            <a:ext uri="{FF2B5EF4-FFF2-40B4-BE49-F238E27FC236}">
              <a16:creationId xmlns:a16="http://schemas.microsoft.com/office/drawing/2014/main" id="{8BF1F0FE-674E-6815-8B05-E9A5B3CE09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6" name="Text Box 641">
          <a:extLst>
            <a:ext uri="{FF2B5EF4-FFF2-40B4-BE49-F238E27FC236}">
              <a16:creationId xmlns:a16="http://schemas.microsoft.com/office/drawing/2014/main" id="{710F9BAC-DEB0-B147-0448-193941E0C4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7" name="Text Box 642">
          <a:extLst>
            <a:ext uri="{FF2B5EF4-FFF2-40B4-BE49-F238E27FC236}">
              <a16:creationId xmlns:a16="http://schemas.microsoft.com/office/drawing/2014/main" id="{E935C386-F35B-9609-8C59-CE90378C28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8" name="Text Box 643">
          <a:extLst>
            <a:ext uri="{FF2B5EF4-FFF2-40B4-BE49-F238E27FC236}">
              <a16:creationId xmlns:a16="http://schemas.microsoft.com/office/drawing/2014/main" id="{2AF6AD26-70EA-A8A1-1AF0-FE8FF394EC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39" name="Text Box 644">
          <a:extLst>
            <a:ext uri="{FF2B5EF4-FFF2-40B4-BE49-F238E27FC236}">
              <a16:creationId xmlns:a16="http://schemas.microsoft.com/office/drawing/2014/main" id="{DAD33EEF-2ADC-7B38-4C60-0BCC3480E4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0" name="Text Box 645">
          <a:extLst>
            <a:ext uri="{FF2B5EF4-FFF2-40B4-BE49-F238E27FC236}">
              <a16:creationId xmlns:a16="http://schemas.microsoft.com/office/drawing/2014/main" id="{E1B44446-5E78-8E91-808D-EAEDD3E5EB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1" name="Text Box 646">
          <a:extLst>
            <a:ext uri="{FF2B5EF4-FFF2-40B4-BE49-F238E27FC236}">
              <a16:creationId xmlns:a16="http://schemas.microsoft.com/office/drawing/2014/main" id="{2A2DD62F-43CA-0A3E-50B9-3D9F1F1106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2" name="Text Box 647">
          <a:extLst>
            <a:ext uri="{FF2B5EF4-FFF2-40B4-BE49-F238E27FC236}">
              <a16:creationId xmlns:a16="http://schemas.microsoft.com/office/drawing/2014/main" id="{AB9DDD3D-A5F6-BA8B-93C1-56DC0FCA77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3" name="Text Box 648">
          <a:extLst>
            <a:ext uri="{FF2B5EF4-FFF2-40B4-BE49-F238E27FC236}">
              <a16:creationId xmlns:a16="http://schemas.microsoft.com/office/drawing/2014/main" id="{DB36F53F-BC33-32AF-FA8D-4DABA473E6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4" name="Text Box 649">
          <a:extLst>
            <a:ext uri="{FF2B5EF4-FFF2-40B4-BE49-F238E27FC236}">
              <a16:creationId xmlns:a16="http://schemas.microsoft.com/office/drawing/2014/main" id="{51F3EA3D-F5E3-ADB0-0AF6-32EF728BA9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5" name="Text Box 650">
          <a:extLst>
            <a:ext uri="{FF2B5EF4-FFF2-40B4-BE49-F238E27FC236}">
              <a16:creationId xmlns:a16="http://schemas.microsoft.com/office/drawing/2014/main" id="{34C291EA-D274-0ED7-4465-37284A7D05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6" name="Text Box 651">
          <a:extLst>
            <a:ext uri="{FF2B5EF4-FFF2-40B4-BE49-F238E27FC236}">
              <a16:creationId xmlns:a16="http://schemas.microsoft.com/office/drawing/2014/main" id="{E95E6FFF-9E99-A421-6682-D687B97087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7" name="Text Box 652">
          <a:extLst>
            <a:ext uri="{FF2B5EF4-FFF2-40B4-BE49-F238E27FC236}">
              <a16:creationId xmlns:a16="http://schemas.microsoft.com/office/drawing/2014/main" id="{AB3502A2-3FC7-700C-A09D-563FDC6A48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8" name="Text Box 653">
          <a:extLst>
            <a:ext uri="{FF2B5EF4-FFF2-40B4-BE49-F238E27FC236}">
              <a16:creationId xmlns:a16="http://schemas.microsoft.com/office/drawing/2014/main" id="{3AD97129-217F-E26A-0B99-81FAD366BC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49" name="Text Box 654">
          <a:extLst>
            <a:ext uri="{FF2B5EF4-FFF2-40B4-BE49-F238E27FC236}">
              <a16:creationId xmlns:a16="http://schemas.microsoft.com/office/drawing/2014/main" id="{AF8E2876-4FF9-ADAB-1B34-F33DFD5E92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0" name="Text Box 655">
          <a:extLst>
            <a:ext uri="{FF2B5EF4-FFF2-40B4-BE49-F238E27FC236}">
              <a16:creationId xmlns:a16="http://schemas.microsoft.com/office/drawing/2014/main" id="{F9F9B4B1-0E60-9EE1-F10C-FEE8272076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1" name="Text Box 656">
          <a:extLst>
            <a:ext uri="{FF2B5EF4-FFF2-40B4-BE49-F238E27FC236}">
              <a16:creationId xmlns:a16="http://schemas.microsoft.com/office/drawing/2014/main" id="{2061B94B-7487-7FC8-16E8-13FB8DABDC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2" name="Text Box 657">
          <a:extLst>
            <a:ext uri="{FF2B5EF4-FFF2-40B4-BE49-F238E27FC236}">
              <a16:creationId xmlns:a16="http://schemas.microsoft.com/office/drawing/2014/main" id="{349020C5-7ACA-1A2E-05EC-17B9CD3059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3" name="Text Box 658">
          <a:extLst>
            <a:ext uri="{FF2B5EF4-FFF2-40B4-BE49-F238E27FC236}">
              <a16:creationId xmlns:a16="http://schemas.microsoft.com/office/drawing/2014/main" id="{F2DB381F-A9C5-DC42-650B-BE16721424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4" name="Text Box 659">
          <a:extLst>
            <a:ext uri="{FF2B5EF4-FFF2-40B4-BE49-F238E27FC236}">
              <a16:creationId xmlns:a16="http://schemas.microsoft.com/office/drawing/2014/main" id="{55CACE85-6357-B925-1889-304B869883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5" name="Text Box 660">
          <a:extLst>
            <a:ext uri="{FF2B5EF4-FFF2-40B4-BE49-F238E27FC236}">
              <a16:creationId xmlns:a16="http://schemas.microsoft.com/office/drawing/2014/main" id="{BB5D5135-42D5-E3CC-47DE-81D92A79C8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6" name="Text Box 661">
          <a:extLst>
            <a:ext uri="{FF2B5EF4-FFF2-40B4-BE49-F238E27FC236}">
              <a16:creationId xmlns:a16="http://schemas.microsoft.com/office/drawing/2014/main" id="{22C3CB02-EA34-598C-238E-847DCE94E1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7" name="Text Box 662">
          <a:extLst>
            <a:ext uri="{FF2B5EF4-FFF2-40B4-BE49-F238E27FC236}">
              <a16:creationId xmlns:a16="http://schemas.microsoft.com/office/drawing/2014/main" id="{313CCCA5-2848-212C-BF69-EC59CF1F33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8" name="Text Box 663">
          <a:extLst>
            <a:ext uri="{FF2B5EF4-FFF2-40B4-BE49-F238E27FC236}">
              <a16:creationId xmlns:a16="http://schemas.microsoft.com/office/drawing/2014/main" id="{A82D2EBA-2B90-B7BD-25A4-A279B7E2A6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59" name="Text Box 664">
          <a:extLst>
            <a:ext uri="{FF2B5EF4-FFF2-40B4-BE49-F238E27FC236}">
              <a16:creationId xmlns:a16="http://schemas.microsoft.com/office/drawing/2014/main" id="{D4E0BCED-3D92-7AD0-90F4-D4035A5735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0" name="Text Box 665">
          <a:extLst>
            <a:ext uri="{FF2B5EF4-FFF2-40B4-BE49-F238E27FC236}">
              <a16:creationId xmlns:a16="http://schemas.microsoft.com/office/drawing/2014/main" id="{1D13C889-2F59-D12C-FC4B-BDF3B09BC7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1" name="Text Box 666">
          <a:extLst>
            <a:ext uri="{FF2B5EF4-FFF2-40B4-BE49-F238E27FC236}">
              <a16:creationId xmlns:a16="http://schemas.microsoft.com/office/drawing/2014/main" id="{8B7B1369-65B0-FDEE-30C3-244C039A75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2" name="Text Box 667">
          <a:extLst>
            <a:ext uri="{FF2B5EF4-FFF2-40B4-BE49-F238E27FC236}">
              <a16:creationId xmlns:a16="http://schemas.microsoft.com/office/drawing/2014/main" id="{7C55B06F-D542-779B-BE35-46BE7016B9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3" name="Text Box 668">
          <a:extLst>
            <a:ext uri="{FF2B5EF4-FFF2-40B4-BE49-F238E27FC236}">
              <a16:creationId xmlns:a16="http://schemas.microsoft.com/office/drawing/2014/main" id="{4F57508A-B355-B220-0765-E082766661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4" name="Text Box 669">
          <a:extLst>
            <a:ext uri="{FF2B5EF4-FFF2-40B4-BE49-F238E27FC236}">
              <a16:creationId xmlns:a16="http://schemas.microsoft.com/office/drawing/2014/main" id="{BC7A61C1-B0CE-1A1A-FC2E-80A0676F4E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5" name="Text Box 670">
          <a:extLst>
            <a:ext uri="{FF2B5EF4-FFF2-40B4-BE49-F238E27FC236}">
              <a16:creationId xmlns:a16="http://schemas.microsoft.com/office/drawing/2014/main" id="{53529CDB-B559-A255-EBCC-5F69BD088F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6" name="Text Box 671">
          <a:extLst>
            <a:ext uri="{FF2B5EF4-FFF2-40B4-BE49-F238E27FC236}">
              <a16:creationId xmlns:a16="http://schemas.microsoft.com/office/drawing/2014/main" id="{3D570283-97C3-61B1-5590-A00B45CC5B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7" name="Text Box 672">
          <a:extLst>
            <a:ext uri="{FF2B5EF4-FFF2-40B4-BE49-F238E27FC236}">
              <a16:creationId xmlns:a16="http://schemas.microsoft.com/office/drawing/2014/main" id="{D7F72A46-987B-A9E4-D0AA-8EC426BDD0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8" name="Text Box 673">
          <a:extLst>
            <a:ext uri="{FF2B5EF4-FFF2-40B4-BE49-F238E27FC236}">
              <a16:creationId xmlns:a16="http://schemas.microsoft.com/office/drawing/2014/main" id="{8E8BE806-261B-E017-0299-B408B35C70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69" name="Text Box 674">
          <a:extLst>
            <a:ext uri="{FF2B5EF4-FFF2-40B4-BE49-F238E27FC236}">
              <a16:creationId xmlns:a16="http://schemas.microsoft.com/office/drawing/2014/main" id="{96CBDD7D-E399-50A4-1403-34DBFBE8E4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0" name="Text Box 675">
          <a:extLst>
            <a:ext uri="{FF2B5EF4-FFF2-40B4-BE49-F238E27FC236}">
              <a16:creationId xmlns:a16="http://schemas.microsoft.com/office/drawing/2014/main" id="{40DB197D-00FE-00EB-5236-977D43D620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1" name="Text Box 676">
          <a:extLst>
            <a:ext uri="{FF2B5EF4-FFF2-40B4-BE49-F238E27FC236}">
              <a16:creationId xmlns:a16="http://schemas.microsoft.com/office/drawing/2014/main" id="{63886A77-3B8D-0DC6-2D5C-AC8F41A82A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2" name="Text Box 677">
          <a:extLst>
            <a:ext uri="{FF2B5EF4-FFF2-40B4-BE49-F238E27FC236}">
              <a16:creationId xmlns:a16="http://schemas.microsoft.com/office/drawing/2014/main" id="{668794C5-0E5D-E8C8-D9D6-C4E85C974C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3" name="Text Box 678">
          <a:extLst>
            <a:ext uri="{FF2B5EF4-FFF2-40B4-BE49-F238E27FC236}">
              <a16:creationId xmlns:a16="http://schemas.microsoft.com/office/drawing/2014/main" id="{668CD760-8262-28C6-8734-F96D365B50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4" name="Text Box 679">
          <a:extLst>
            <a:ext uri="{FF2B5EF4-FFF2-40B4-BE49-F238E27FC236}">
              <a16:creationId xmlns:a16="http://schemas.microsoft.com/office/drawing/2014/main" id="{76FE6662-8E9B-5EBD-7AFE-133A46D23E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5" name="Text Box 680">
          <a:extLst>
            <a:ext uri="{FF2B5EF4-FFF2-40B4-BE49-F238E27FC236}">
              <a16:creationId xmlns:a16="http://schemas.microsoft.com/office/drawing/2014/main" id="{8011B8BE-1EE6-B7DD-B244-6D4D944E9F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6" name="Text Box 681">
          <a:extLst>
            <a:ext uri="{FF2B5EF4-FFF2-40B4-BE49-F238E27FC236}">
              <a16:creationId xmlns:a16="http://schemas.microsoft.com/office/drawing/2014/main" id="{AE419CEE-9C39-4EBB-F762-72392AAE8B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7" name="Text Box 682">
          <a:extLst>
            <a:ext uri="{FF2B5EF4-FFF2-40B4-BE49-F238E27FC236}">
              <a16:creationId xmlns:a16="http://schemas.microsoft.com/office/drawing/2014/main" id="{99BC7B90-7CC9-2746-98B2-92860F9600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8" name="Text Box 683">
          <a:extLst>
            <a:ext uri="{FF2B5EF4-FFF2-40B4-BE49-F238E27FC236}">
              <a16:creationId xmlns:a16="http://schemas.microsoft.com/office/drawing/2014/main" id="{6426C863-6B9B-5AF8-80B3-6EFE6B94A9F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79" name="Text Box 684">
          <a:extLst>
            <a:ext uri="{FF2B5EF4-FFF2-40B4-BE49-F238E27FC236}">
              <a16:creationId xmlns:a16="http://schemas.microsoft.com/office/drawing/2014/main" id="{2B8DFEC2-9F1D-19CE-0A4B-A11B83E38B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0" name="Text Box 685">
          <a:extLst>
            <a:ext uri="{FF2B5EF4-FFF2-40B4-BE49-F238E27FC236}">
              <a16:creationId xmlns:a16="http://schemas.microsoft.com/office/drawing/2014/main" id="{9ED22410-3534-7440-F2C0-F9FD723076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1" name="Text Box 686">
          <a:extLst>
            <a:ext uri="{FF2B5EF4-FFF2-40B4-BE49-F238E27FC236}">
              <a16:creationId xmlns:a16="http://schemas.microsoft.com/office/drawing/2014/main" id="{6717E6CB-CEFB-1459-D831-E0A25E0F88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2" name="Text Box 687">
          <a:extLst>
            <a:ext uri="{FF2B5EF4-FFF2-40B4-BE49-F238E27FC236}">
              <a16:creationId xmlns:a16="http://schemas.microsoft.com/office/drawing/2014/main" id="{288B63CA-5E96-BFB6-C7E4-3DB4647F74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3" name="Text Box 688">
          <a:extLst>
            <a:ext uri="{FF2B5EF4-FFF2-40B4-BE49-F238E27FC236}">
              <a16:creationId xmlns:a16="http://schemas.microsoft.com/office/drawing/2014/main" id="{BCBBFB4B-E92C-32A2-AB9D-BA4D45F33E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4" name="Text Box 689">
          <a:extLst>
            <a:ext uri="{FF2B5EF4-FFF2-40B4-BE49-F238E27FC236}">
              <a16:creationId xmlns:a16="http://schemas.microsoft.com/office/drawing/2014/main" id="{A7B2F3FC-84A4-DAB8-6482-EFC477E4B5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5" name="Text Box 690">
          <a:extLst>
            <a:ext uri="{FF2B5EF4-FFF2-40B4-BE49-F238E27FC236}">
              <a16:creationId xmlns:a16="http://schemas.microsoft.com/office/drawing/2014/main" id="{E00A76EE-07B2-B47B-F957-CABE54A1AA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6" name="Text Box 691">
          <a:extLst>
            <a:ext uri="{FF2B5EF4-FFF2-40B4-BE49-F238E27FC236}">
              <a16:creationId xmlns:a16="http://schemas.microsoft.com/office/drawing/2014/main" id="{13973578-368C-07F8-38C4-F0E5AF68DF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7" name="Text Box 692">
          <a:extLst>
            <a:ext uri="{FF2B5EF4-FFF2-40B4-BE49-F238E27FC236}">
              <a16:creationId xmlns:a16="http://schemas.microsoft.com/office/drawing/2014/main" id="{482E807C-7CB7-4866-14E1-C02A360365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8" name="Text Box 693">
          <a:extLst>
            <a:ext uri="{FF2B5EF4-FFF2-40B4-BE49-F238E27FC236}">
              <a16:creationId xmlns:a16="http://schemas.microsoft.com/office/drawing/2014/main" id="{95783228-B088-86E3-6583-36CBE91533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89" name="Text Box 694">
          <a:extLst>
            <a:ext uri="{FF2B5EF4-FFF2-40B4-BE49-F238E27FC236}">
              <a16:creationId xmlns:a16="http://schemas.microsoft.com/office/drawing/2014/main" id="{5EC70E08-EB91-AE54-50A1-62F8E8DB41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0" name="Text Box 695">
          <a:extLst>
            <a:ext uri="{FF2B5EF4-FFF2-40B4-BE49-F238E27FC236}">
              <a16:creationId xmlns:a16="http://schemas.microsoft.com/office/drawing/2014/main" id="{AFDF3AF5-2022-7C6A-FFF5-9D12E0D36E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1" name="Text Box 696">
          <a:extLst>
            <a:ext uri="{FF2B5EF4-FFF2-40B4-BE49-F238E27FC236}">
              <a16:creationId xmlns:a16="http://schemas.microsoft.com/office/drawing/2014/main" id="{EA2C3A4A-CFAD-B1C8-238A-F5B21F1021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2" name="Text Box 697">
          <a:extLst>
            <a:ext uri="{FF2B5EF4-FFF2-40B4-BE49-F238E27FC236}">
              <a16:creationId xmlns:a16="http://schemas.microsoft.com/office/drawing/2014/main" id="{4D2F7CC9-7568-4B7A-3C3F-B02E5DC3A5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3" name="Text Box 698">
          <a:extLst>
            <a:ext uri="{FF2B5EF4-FFF2-40B4-BE49-F238E27FC236}">
              <a16:creationId xmlns:a16="http://schemas.microsoft.com/office/drawing/2014/main" id="{9239FAD5-03E9-F3D9-D8ED-739D38328C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4" name="Text Box 699">
          <a:extLst>
            <a:ext uri="{FF2B5EF4-FFF2-40B4-BE49-F238E27FC236}">
              <a16:creationId xmlns:a16="http://schemas.microsoft.com/office/drawing/2014/main" id="{59BD2C78-BEAD-2E1D-AC37-12460F37F8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5" name="Text Box 700">
          <a:extLst>
            <a:ext uri="{FF2B5EF4-FFF2-40B4-BE49-F238E27FC236}">
              <a16:creationId xmlns:a16="http://schemas.microsoft.com/office/drawing/2014/main" id="{01A6CB18-D177-ABE2-B13D-FEC5B243CA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6" name="Text Box 701">
          <a:extLst>
            <a:ext uri="{FF2B5EF4-FFF2-40B4-BE49-F238E27FC236}">
              <a16:creationId xmlns:a16="http://schemas.microsoft.com/office/drawing/2014/main" id="{252A6779-A1DF-7CF6-17B6-85C35AD289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7" name="Text Box 702">
          <a:extLst>
            <a:ext uri="{FF2B5EF4-FFF2-40B4-BE49-F238E27FC236}">
              <a16:creationId xmlns:a16="http://schemas.microsoft.com/office/drawing/2014/main" id="{2200BBB7-E7D9-3032-2897-8C568935B8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8" name="Text Box 703">
          <a:extLst>
            <a:ext uri="{FF2B5EF4-FFF2-40B4-BE49-F238E27FC236}">
              <a16:creationId xmlns:a16="http://schemas.microsoft.com/office/drawing/2014/main" id="{CD6F9295-F2DB-C680-8A56-18286D6F18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799" name="Text Box 704">
          <a:extLst>
            <a:ext uri="{FF2B5EF4-FFF2-40B4-BE49-F238E27FC236}">
              <a16:creationId xmlns:a16="http://schemas.microsoft.com/office/drawing/2014/main" id="{CAB20425-8F30-BB5A-385A-0411845AE1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0" name="Text Box 705">
          <a:extLst>
            <a:ext uri="{FF2B5EF4-FFF2-40B4-BE49-F238E27FC236}">
              <a16:creationId xmlns:a16="http://schemas.microsoft.com/office/drawing/2014/main" id="{FE43F521-E6AF-64DA-5861-5AC11F9F15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1" name="Text Box 706">
          <a:extLst>
            <a:ext uri="{FF2B5EF4-FFF2-40B4-BE49-F238E27FC236}">
              <a16:creationId xmlns:a16="http://schemas.microsoft.com/office/drawing/2014/main" id="{FCCAFA49-8CD0-B2D5-E28D-0F269DFDCE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2" name="Text Box 707">
          <a:extLst>
            <a:ext uri="{FF2B5EF4-FFF2-40B4-BE49-F238E27FC236}">
              <a16:creationId xmlns:a16="http://schemas.microsoft.com/office/drawing/2014/main" id="{9EF6B1D4-2E82-F676-658A-5724E8E227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3" name="Text Box 708">
          <a:extLst>
            <a:ext uri="{FF2B5EF4-FFF2-40B4-BE49-F238E27FC236}">
              <a16:creationId xmlns:a16="http://schemas.microsoft.com/office/drawing/2014/main" id="{2599E536-DAA1-24C7-B6D6-84569C473A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4" name="Text Box 709">
          <a:extLst>
            <a:ext uri="{FF2B5EF4-FFF2-40B4-BE49-F238E27FC236}">
              <a16:creationId xmlns:a16="http://schemas.microsoft.com/office/drawing/2014/main" id="{7CE885D0-F26C-31C2-1E61-E7F4488E8C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5" name="Text Box 710">
          <a:extLst>
            <a:ext uri="{FF2B5EF4-FFF2-40B4-BE49-F238E27FC236}">
              <a16:creationId xmlns:a16="http://schemas.microsoft.com/office/drawing/2014/main" id="{F8BC123D-C424-BD42-8DC9-B12F565C3F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6" name="Text Box 711">
          <a:extLst>
            <a:ext uri="{FF2B5EF4-FFF2-40B4-BE49-F238E27FC236}">
              <a16:creationId xmlns:a16="http://schemas.microsoft.com/office/drawing/2014/main" id="{0F695240-0135-E321-CA69-7AD50ADA54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7" name="Text Box 713">
          <a:extLst>
            <a:ext uri="{FF2B5EF4-FFF2-40B4-BE49-F238E27FC236}">
              <a16:creationId xmlns:a16="http://schemas.microsoft.com/office/drawing/2014/main" id="{1A361D02-B9A5-224C-8119-B7FDCD8E87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8" name="Text Box 715">
          <a:extLst>
            <a:ext uri="{FF2B5EF4-FFF2-40B4-BE49-F238E27FC236}">
              <a16:creationId xmlns:a16="http://schemas.microsoft.com/office/drawing/2014/main" id="{1823BB77-BEFA-35FA-ED11-0DDD5E7056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09" name="Text Box 716">
          <a:extLst>
            <a:ext uri="{FF2B5EF4-FFF2-40B4-BE49-F238E27FC236}">
              <a16:creationId xmlns:a16="http://schemas.microsoft.com/office/drawing/2014/main" id="{7018C541-DF8C-50A0-FB33-3C3ECA9843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0" name="Text Box 717">
          <a:extLst>
            <a:ext uri="{FF2B5EF4-FFF2-40B4-BE49-F238E27FC236}">
              <a16:creationId xmlns:a16="http://schemas.microsoft.com/office/drawing/2014/main" id="{A31EEFC1-0CE6-34BC-8801-EFECCBD8C8A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1" name="Text Box 718">
          <a:extLst>
            <a:ext uri="{FF2B5EF4-FFF2-40B4-BE49-F238E27FC236}">
              <a16:creationId xmlns:a16="http://schemas.microsoft.com/office/drawing/2014/main" id="{B75B443D-6511-A090-D914-4C77860AE7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2" name="Text Box 719">
          <a:extLst>
            <a:ext uri="{FF2B5EF4-FFF2-40B4-BE49-F238E27FC236}">
              <a16:creationId xmlns:a16="http://schemas.microsoft.com/office/drawing/2014/main" id="{902095F8-0748-16DE-2966-E87FCDFADC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3" name="Text Box 720">
          <a:extLst>
            <a:ext uri="{FF2B5EF4-FFF2-40B4-BE49-F238E27FC236}">
              <a16:creationId xmlns:a16="http://schemas.microsoft.com/office/drawing/2014/main" id="{326AB6C5-DC63-26C7-3458-C1A9B43EF6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4" name="Text Box 721">
          <a:extLst>
            <a:ext uri="{FF2B5EF4-FFF2-40B4-BE49-F238E27FC236}">
              <a16:creationId xmlns:a16="http://schemas.microsoft.com/office/drawing/2014/main" id="{D5716C24-50E9-5CA9-BEC7-D612BEB62A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5" name="Text Box 722">
          <a:extLst>
            <a:ext uri="{FF2B5EF4-FFF2-40B4-BE49-F238E27FC236}">
              <a16:creationId xmlns:a16="http://schemas.microsoft.com/office/drawing/2014/main" id="{FEEBA494-A932-4885-610B-D5A63318CB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6" name="Text Box 723">
          <a:extLst>
            <a:ext uri="{FF2B5EF4-FFF2-40B4-BE49-F238E27FC236}">
              <a16:creationId xmlns:a16="http://schemas.microsoft.com/office/drawing/2014/main" id="{FC475C37-B65C-F54C-EBCC-2041EDB2DE5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7" name="Text Box 724">
          <a:extLst>
            <a:ext uri="{FF2B5EF4-FFF2-40B4-BE49-F238E27FC236}">
              <a16:creationId xmlns:a16="http://schemas.microsoft.com/office/drawing/2014/main" id="{E3BA4C31-24CF-99F0-77FC-3F6AAF0AAB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8" name="Text Box 727">
          <a:extLst>
            <a:ext uri="{FF2B5EF4-FFF2-40B4-BE49-F238E27FC236}">
              <a16:creationId xmlns:a16="http://schemas.microsoft.com/office/drawing/2014/main" id="{50D856E3-DBD0-3AF8-4DE0-585D1D4558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19" name="Text Box 728">
          <a:extLst>
            <a:ext uri="{FF2B5EF4-FFF2-40B4-BE49-F238E27FC236}">
              <a16:creationId xmlns:a16="http://schemas.microsoft.com/office/drawing/2014/main" id="{016982C8-923A-028C-8DD5-E66DC95A7E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0" name="Text Box 729">
          <a:extLst>
            <a:ext uri="{FF2B5EF4-FFF2-40B4-BE49-F238E27FC236}">
              <a16:creationId xmlns:a16="http://schemas.microsoft.com/office/drawing/2014/main" id="{4CEDA833-2BFC-D8C0-ACEC-3FC1FB9478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1" name="Text Box 730">
          <a:extLst>
            <a:ext uri="{FF2B5EF4-FFF2-40B4-BE49-F238E27FC236}">
              <a16:creationId xmlns:a16="http://schemas.microsoft.com/office/drawing/2014/main" id="{082FDF36-FCA6-6A09-9BBA-C364E5B1AE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2" name="Text Box 731">
          <a:extLst>
            <a:ext uri="{FF2B5EF4-FFF2-40B4-BE49-F238E27FC236}">
              <a16:creationId xmlns:a16="http://schemas.microsoft.com/office/drawing/2014/main" id="{922D8734-BB0D-C595-4871-16315C5A58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3" name="Text Box 732">
          <a:extLst>
            <a:ext uri="{FF2B5EF4-FFF2-40B4-BE49-F238E27FC236}">
              <a16:creationId xmlns:a16="http://schemas.microsoft.com/office/drawing/2014/main" id="{A62A5772-9326-1629-EF5E-1DE45470DF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4" name="Text Box 733">
          <a:extLst>
            <a:ext uri="{FF2B5EF4-FFF2-40B4-BE49-F238E27FC236}">
              <a16:creationId xmlns:a16="http://schemas.microsoft.com/office/drawing/2014/main" id="{0115041B-D18D-3B0F-0EDD-FA5130CEE7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5" name="Text Box 734">
          <a:extLst>
            <a:ext uri="{FF2B5EF4-FFF2-40B4-BE49-F238E27FC236}">
              <a16:creationId xmlns:a16="http://schemas.microsoft.com/office/drawing/2014/main" id="{4CC3ED12-99BF-1DFA-4996-1672F9DA66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6" name="Text Box 735">
          <a:extLst>
            <a:ext uri="{FF2B5EF4-FFF2-40B4-BE49-F238E27FC236}">
              <a16:creationId xmlns:a16="http://schemas.microsoft.com/office/drawing/2014/main" id="{CF0B4A1E-C267-664D-52E4-61D0A31074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7" name="Text Box 736">
          <a:extLst>
            <a:ext uri="{FF2B5EF4-FFF2-40B4-BE49-F238E27FC236}">
              <a16:creationId xmlns:a16="http://schemas.microsoft.com/office/drawing/2014/main" id="{C7A8C02F-861B-14A8-A8C2-E627ED76DC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8" name="Text Box 737">
          <a:extLst>
            <a:ext uri="{FF2B5EF4-FFF2-40B4-BE49-F238E27FC236}">
              <a16:creationId xmlns:a16="http://schemas.microsoft.com/office/drawing/2014/main" id="{A13C4722-F54E-B686-F774-71DF1E320C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29" name="Text Box 738">
          <a:extLst>
            <a:ext uri="{FF2B5EF4-FFF2-40B4-BE49-F238E27FC236}">
              <a16:creationId xmlns:a16="http://schemas.microsoft.com/office/drawing/2014/main" id="{C3D9423E-D361-E534-7BED-C1F0B05F63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0" name="Text Box 739">
          <a:extLst>
            <a:ext uri="{FF2B5EF4-FFF2-40B4-BE49-F238E27FC236}">
              <a16:creationId xmlns:a16="http://schemas.microsoft.com/office/drawing/2014/main" id="{24AFCD04-0AF1-243A-FC56-F1541B055A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1" name="Text Box 740">
          <a:extLst>
            <a:ext uri="{FF2B5EF4-FFF2-40B4-BE49-F238E27FC236}">
              <a16:creationId xmlns:a16="http://schemas.microsoft.com/office/drawing/2014/main" id="{2768E0A0-FD6B-D3F3-A8DF-301092F97C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2" name="Text Box 741">
          <a:extLst>
            <a:ext uri="{FF2B5EF4-FFF2-40B4-BE49-F238E27FC236}">
              <a16:creationId xmlns:a16="http://schemas.microsoft.com/office/drawing/2014/main" id="{C87113A9-0155-7487-0AC7-13BF10528F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3" name="Text Box 742">
          <a:extLst>
            <a:ext uri="{FF2B5EF4-FFF2-40B4-BE49-F238E27FC236}">
              <a16:creationId xmlns:a16="http://schemas.microsoft.com/office/drawing/2014/main" id="{8B4C4A41-A210-201E-3938-86651BD2B7D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4" name="Text Box 743">
          <a:extLst>
            <a:ext uri="{FF2B5EF4-FFF2-40B4-BE49-F238E27FC236}">
              <a16:creationId xmlns:a16="http://schemas.microsoft.com/office/drawing/2014/main" id="{F4DE1AEF-2465-9E2F-8007-3181637260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5" name="Text Box 744">
          <a:extLst>
            <a:ext uri="{FF2B5EF4-FFF2-40B4-BE49-F238E27FC236}">
              <a16:creationId xmlns:a16="http://schemas.microsoft.com/office/drawing/2014/main" id="{BC9A7C3B-8C21-712F-2040-7F7E2AFADF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6" name="Text Box 745">
          <a:extLst>
            <a:ext uri="{FF2B5EF4-FFF2-40B4-BE49-F238E27FC236}">
              <a16:creationId xmlns:a16="http://schemas.microsoft.com/office/drawing/2014/main" id="{99B5C63C-0E56-5447-F8B6-0B18D9D763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7" name="Text Box 746">
          <a:extLst>
            <a:ext uri="{FF2B5EF4-FFF2-40B4-BE49-F238E27FC236}">
              <a16:creationId xmlns:a16="http://schemas.microsoft.com/office/drawing/2014/main" id="{9799C156-921B-D013-6A18-400133AAE2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8" name="Text Box 747">
          <a:extLst>
            <a:ext uri="{FF2B5EF4-FFF2-40B4-BE49-F238E27FC236}">
              <a16:creationId xmlns:a16="http://schemas.microsoft.com/office/drawing/2014/main" id="{1AE4B1D3-49F8-F3F7-D1A8-6BD6E787DE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39" name="Text Box 748">
          <a:extLst>
            <a:ext uri="{FF2B5EF4-FFF2-40B4-BE49-F238E27FC236}">
              <a16:creationId xmlns:a16="http://schemas.microsoft.com/office/drawing/2014/main" id="{E26A7187-B5FC-3D2C-4C42-7BF522EBED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0" name="Text Box 749">
          <a:extLst>
            <a:ext uri="{FF2B5EF4-FFF2-40B4-BE49-F238E27FC236}">
              <a16:creationId xmlns:a16="http://schemas.microsoft.com/office/drawing/2014/main" id="{4FD75D18-B000-C9CB-A535-DD5F13D594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1" name="Text Box 750">
          <a:extLst>
            <a:ext uri="{FF2B5EF4-FFF2-40B4-BE49-F238E27FC236}">
              <a16:creationId xmlns:a16="http://schemas.microsoft.com/office/drawing/2014/main" id="{7E76D4B9-D258-1429-440C-FF2805736E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2" name="Text Box 751">
          <a:extLst>
            <a:ext uri="{FF2B5EF4-FFF2-40B4-BE49-F238E27FC236}">
              <a16:creationId xmlns:a16="http://schemas.microsoft.com/office/drawing/2014/main" id="{E67CD3C7-6C0F-402A-7FCB-8DB4DE560F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3" name="Text Box 752">
          <a:extLst>
            <a:ext uri="{FF2B5EF4-FFF2-40B4-BE49-F238E27FC236}">
              <a16:creationId xmlns:a16="http://schemas.microsoft.com/office/drawing/2014/main" id="{7101B2AE-37A5-F65F-83E4-F9A6E1ADFE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4" name="Text Box 753">
          <a:extLst>
            <a:ext uri="{FF2B5EF4-FFF2-40B4-BE49-F238E27FC236}">
              <a16:creationId xmlns:a16="http://schemas.microsoft.com/office/drawing/2014/main" id="{C7B556F6-C7D3-4B1F-2427-5D8453BDB1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5" name="Text Box 754">
          <a:extLst>
            <a:ext uri="{FF2B5EF4-FFF2-40B4-BE49-F238E27FC236}">
              <a16:creationId xmlns:a16="http://schemas.microsoft.com/office/drawing/2014/main" id="{1535D656-2278-CB90-79E9-A5B75AF696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6" name="Text Box 755">
          <a:extLst>
            <a:ext uri="{FF2B5EF4-FFF2-40B4-BE49-F238E27FC236}">
              <a16:creationId xmlns:a16="http://schemas.microsoft.com/office/drawing/2014/main" id="{935ABDED-CCF3-DBD1-7D12-914B6CFFF2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7" name="Text Box 756">
          <a:extLst>
            <a:ext uri="{FF2B5EF4-FFF2-40B4-BE49-F238E27FC236}">
              <a16:creationId xmlns:a16="http://schemas.microsoft.com/office/drawing/2014/main" id="{BD330C84-86D0-D502-3EFB-C1F66908A6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8" name="Text Box 757">
          <a:extLst>
            <a:ext uri="{FF2B5EF4-FFF2-40B4-BE49-F238E27FC236}">
              <a16:creationId xmlns:a16="http://schemas.microsoft.com/office/drawing/2014/main" id="{8831B94E-4781-2C57-8413-1502035838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49" name="Text Box 758">
          <a:extLst>
            <a:ext uri="{FF2B5EF4-FFF2-40B4-BE49-F238E27FC236}">
              <a16:creationId xmlns:a16="http://schemas.microsoft.com/office/drawing/2014/main" id="{4E69E460-4463-8256-BAC6-43373D2F5D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0" name="Text Box 759">
          <a:extLst>
            <a:ext uri="{FF2B5EF4-FFF2-40B4-BE49-F238E27FC236}">
              <a16:creationId xmlns:a16="http://schemas.microsoft.com/office/drawing/2014/main" id="{3D10C076-A6E5-AB6A-6EF9-FA982029DB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1" name="Text Box 760">
          <a:extLst>
            <a:ext uri="{FF2B5EF4-FFF2-40B4-BE49-F238E27FC236}">
              <a16:creationId xmlns:a16="http://schemas.microsoft.com/office/drawing/2014/main" id="{2657BBB0-73C7-F6A1-4BDA-F5F2026A92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2" name="Text Box 761">
          <a:extLst>
            <a:ext uri="{FF2B5EF4-FFF2-40B4-BE49-F238E27FC236}">
              <a16:creationId xmlns:a16="http://schemas.microsoft.com/office/drawing/2014/main" id="{E305D683-0998-27A8-1B11-DF70D571EB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3" name="Text Box 762">
          <a:extLst>
            <a:ext uri="{FF2B5EF4-FFF2-40B4-BE49-F238E27FC236}">
              <a16:creationId xmlns:a16="http://schemas.microsoft.com/office/drawing/2014/main" id="{7E705639-21C6-9BCF-923D-68EDE0D77E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4" name="Text Box 763">
          <a:extLst>
            <a:ext uri="{FF2B5EF4-FFF2-40B4-BE49-F238E27FC236}">
              <a16:creationId xmlns:a16="http://schemas.microsoft.com/office/drawing/2014/main" id="{7B15661C-DE65-D938-B52F-C54D855FDD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5" name="Text Box 764">
          <a:extLst>
            <a:ext uri="{FF2B5EF4-FFF2-40B4-BE49-F238E27FC236}">
              <a16:creationId xmlns:a16="http://schemas.microsoft.com/office/drawing/2014/main" id="{4011C0C5-9C41-3971-B524-022320DABA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6" name="Text Box 765">
          <a:extLst>
            <a:ext uri="{FF2B5EF4-FFF2-40B4-BE49-F238E27FC236}">
              <a16:creationId xmlns:a16="http://schemas.microsoft.com/office/drawing/2014/main" id="{65C83D38-6ED1-945F-AC43-8D6C176B52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7" name="Text Box 766">
          <a:extLst>
            <a:ext uri="{FF2B5EF4-FFF2-40B4-BE49-F238E27FC236}">
              <a16:creationId xmlns:a16="http://schemas.microsoft.com/office/drawing/2014/main" id="{4ACB383C-9CF8-54E9-F257-736216D8CF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8" name="Text Box 767">
          <a:extLst>
            <a:ext uri="{FF2B5EF4-FFF2-40B4-BE49-F238E27FC236}">
              <a16:creationId xmlns:a16="http://schemas.microsoft.com/office/drawing/2014/main" id="{64916D75-FF78-F1B0-9420-ABC2BF9B1F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59" name="Text Box 768">
          <a:extLst>
            <a:ext uri="{FF2B5EF4-FFF2-40B4-BE49-F238E27FC236}">
              <a16:creationId xmlns:a16="http://schemas.microsoft.com/office/drawing/2014/main" id="{7EAFB2F8-D959-CF68-9E33-F51C893FFA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0" name="Text Box 769">
          <a:extLst>
            <a:ext uri="{FF2B5EF4-FFF2-40B4-BE49-F238E27FC236}">
              <a16:creationId xmlns:a16="http://schemas.microsoft.com/office/drawing/2014/main" id="{CF2904AF-DCC5-AF16-573D-1F8C9D7413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1" name="Text Box 770">
          <a:extLst>
            <a:ext uri="{FF2B5EF4-FFF2-40B4-BE49-F238E27FC236}">
              <a16:creationId xmlns:a16="http://schemas.microsoft.com/office/drawing/2014/main" id="{CA63C172-0551-4C33-9A34-030D9D58DB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2" name="Text Box 771">
          <a:extLst>
            <a:ext uri="{FF2B5EF4-FFF2-40B4-BE49-F238E27FC236}">
              <a16:creationId xmlns:a16="http://schemas.microsoft.com/office/drawing/2014/main" id="{3AC7706C-6E58-FF8C-46AA-E4968852A9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3" name="Text Box 772">
          <a:extLst>
            <a:ext uri="{FF2B5EF4-FFF2-40B4-BE49-F238E27FC236}">
              <a16:creationId xmlns:a16="http://schemas.microsoft.com/office/drawing/2014/main" id="{705012C0-191F-EA15-70BD-CA17A7550A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4" name="Text Box 773">
          <a:extLst>
            <a:ext uri="{FF2B5EF4-FFF2-40B4-BE49-F238E27FC236}">
              <a16:creationId xmlns:a16="http://schemas.microsoft.com/office/drawing/2014/main" id="{2094658B-76D3-4510-8252-F2AF5BC5A6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5" name="Text Box 774">
          <a:extLst>
            <a:ext uri="{FF2B5EF4-FFF2-40B4-BE49-F238E27FC236}">
              <a16:creationId xmlns:a16="http://schemas.microsoft.com/office/drawing/2014/main" id="{3C0FE810-B736-FD34-7A74-8F592C1333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6" name="Text Box 775">
          <a:extLst>
            <a:ext uri="{FF2B5EF4-FFF2-40B4-BE49-F238E27FC236}">
              <a16:creationId xmlns:a16="http://schemas.microsoft.com/office/drawing/2014/main" id="{D77508D9-6ABB-B65E-9E4B-0650895507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7" name="Text Box 776">
          <a:extLst>
            <a:ext uri="{FF2B5EF4-FFF2-40B4-BE49-F238E27FC236}">
              <a16:creationId xmlns:a16="http://schemas.microsoft.com/office/drawing/2014/main" id="{C00A0C0F-45C9-F6D4-A8F0-F8307A57C4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8" name="Text Box 777">
          <a:extLst>
            <a:ext uri="{FF2B5EF4-FFF2-40B4-BE49-F238E27FC236}">
              <a16:creationId xmlns:a16="http://schemas.microsoft.com/office/drawing/2014/main" id="{E2B78139-A978-6F68-7471-95440FAE98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69" name="Text Box 778">
          <a:extLst>
            <a:ext uri="{FF2B5EF4-FFF2-40B4-BE49-F238E27FC236}">
              <a16:creationId xmlns:a16="http://schemas.microsoft.com/office/drawing/2014/main" id="{78052B42-2BCE-8B42-A0B0-089E771208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0" name="Text Box 779">
          <a:extLst>
            <a:ext uri="{FF2B5EF4-FFF2-40B4-BE49-F238E27FC236}">
              <a16:creationId xmlns:a16="http://schemas.microsoft.com/office/drawing/2014/main" id="{873269A3-75E8-5C63-F055-46A2A929EC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1" name="Text Box 780">
          <a:extLst>
            <a:ext uri="{FF2B5EF4-FFF2-40B4-BE49-F238E27FC236}">
              <a16:creationId xmlns:a16="http://schemas.microsoft.com/office/drawing/2014/main" id="{D021DBC8-E38A-1684-58EB-E16DE27409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2" name="Text Box 781">
          <a:extLst>
            <a:ext uri="{FF2B5EF4-FFF2-40B4-BE49-F238E27FC236}">
              <a16:creationId xmlns:a16="http://schemas.microsoft.com/office/drawing/2014/main" id="{3556EB3B-5042-134E-5032-38FCC7D955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3" name="Text Box 782">
          <a:extLst>
            <a:ext uri="{FF2B5EF4-FFF2-40B4-BE49-F238E27FC236}">
              <a16:creationId xmlns:a16="http://schemas.microsoft.com/office/drawing/2014/main" id="{927DF9C2-54FE-484D-EE03-8590165C2B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4" name="Text Box 783">
          <a:extLst>
            <a:ext uri="{FF2B5EF4-FFF2-40B4-BE49-F238E27FC236}">
              <a16:creationId xmlns:a16="http://schemas.microsoft.com/office/drawing/2014/main" id="{6DD0CCCD-6447-6642-B1CF-E5713C1E3D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5" name="Text Box 784">
          <a:extLst>
            <a:ext uri="{FF2B5EF4-FFF2-40B4-BE49-F238E27FC236}">
              <a16:creationId xmlns:a16="http://schemas.microsoft.com/office/drawing/2014/main" id="{5ABC166B-1EB9-E469-EBE9-9EB12767BF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6" name="Text Box 785">
          <a:extLst>
            <a:ext uri="{FF2B5EF4-FFF2-40B4-BE49-F238E27FC236}">
              <a16:creationId xmlns:a16="http://schemas.microsoft.com/office/drawing/2014/main" id="{4967C29B-0945-5EA2-4F10-18D1F9834D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7" name="Text Box 786">
          <a:extLst>
            <a:ext uri="{FF2B5EF4-FFF2-40B4-BE49-F238E27FC236}">
              <a16:creationId xmlns:a16="http://schemas.microsoft.com/office/drawing/2014/main" id="{F6C76249-A1D4-74A1-D761-42472D29C4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8" name="Text Box 787">
          <a:extLst>
            <a:ext uri="{FF2B5EF4-FFF2-40B4-BE49-F238E27FC236}">
              <a16:creationId xmlns:a16="http://schemas.microsoft.com/office/drawing/2014/main" id="{EC55DEBC-71DB-583F-DA90-B23110A662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79" name="Text Box 788">
          <a:extLst>
            <a:ext uri="{FF2B5EF4-FFF2-40B4-BE49-F238E27FC236}">
              <a16:creationId xmlns:a16="http://schemas.microsoft.com/office/drawing/2014/main" id="{B8B63622-3364-DC5B-E3AE-36C930F483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0" name="Text Box 789">
          <a:extLst>
            <a:ext uri="{FF2B5EF4-FFF2-40B4-BE49-F238E27FC236}">
              <a16:creationId xmlns:a16="http://schemas.microsoft.com/office/drawing/2014/main" id="{65268D4F-9BE4-AE16-E18A-3B7E924541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1" name="Text Box 790">
          <a:extLst>
            <a:ext uri="{FF2B5EF4-FFF2-40B4-BE49-F238E27FC236}">
              <a16:creationId xmlns:a16="http://schemas.microsoft.com/office/drawing/2014/main" id="{2A109B33-91B6-E14F-3CB0-4735DA3FF3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2" name="Text Box 791">
          <a:extLst>
            <a:ext uri="{FF2B5EF4-FFF2-40B4-BE49-F238E27FC236}">
              <a16:creationId xmlns:a16="http://schemas.microsoft.com/office/drawing/2014/main" id="{D67C2EE1-E9C7-7E83-9CBB-DC8DFBCB9D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3" name="Text Box 792">
          <a:extLst>
            <a:ext uri="{FF2B5EF4-FFF2-40B4-BE49-F238E27FC236}">
              <a16:creationId xmlns:a16="http://schemas.microsoft.com/office/drawing/2014/main" id="{058D3C6D-CC94-C18B-EAC4-246B3E2D3A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4" name="Text Box 793">
          <a:extLst>
            <a:ext uri="{FF2B5EF4-FFF2-40B4-BE49-F238E27FC236}">
              <a16:creationId xmlns:a16="http://schemas.microsoft.com/office/drawing/2014/main" id="{3272C410-24BE-BD86-50B4-16DEB231E6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5" name="Text Box 794">
          <a:extLst>
            <a:ext uri="{FF2B5EF4-FFF2-40B4-BE49-F238E27FC236}">
              <a16:creationId xmlns:a16="http://schemas.microsoft.com/office/drawing/2014/main" id="{854A9AFF-8E2D-7200-78CA-A1B17A910E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6" name="Text Box 795">
          <a:extLst>
            <a:ext uri="{FF2B5EF4-FFF2-40B4-BE49-F238E27FC236}">
              <a16:creationId xmlns:a16="http://schemas.microsoft.com/office/drawing/2014/main" id="{0C9AB556-93C7-2276-769F-2586F2F7BD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7" name="Text Box 796">
          <a:extLst>
            <a:ext uri="{FF2B5EF4-FFF2-40B4-BE49-F238E27FC236}">
              <a16:creationId xmlns:a16="http://schemas.microsoft.com/office/drawing/2014/main" id="{EEBBEB2E-B537-BB26-F531-F9EAAB801E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8" name="Text Box 797">
          <a:extLst>
            <a:ext uri="{FF2B5EF4-FFF2-40B4-BE49-F238E27FC236}">
              <a16:creationId xmlns:a16="http://schemas.microsoft.com/office/drawing/2014/main" id="{3AF6F366-E2C1-DD7F-4338-906FCB6189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89" name="Text Box 798">
          <a:extLst>
            <a:ext uri="{FF2B5EF4-FFF2-40B4-BE49-F238E27FC236}">
              <a16:creationId xmlns:a16="http://schemas.microsoft.com/office/drawing/2014/main" id="{CB61E837-DFE8-3AE0-D8C1-B5E33E4334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0" name="Text Box 799">
          <a:extLst>
            <a:ext uri="{FF2B5EF4-FFF2-40B4-BE49-F238E27FC236}">
              <a16:creationId xmlns:a16="http://schemas.microsoft.com/office/drawing/2014/main" id="{50A1F14C-791E-61DB-C27E-35591F57D5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1" name="Text Box 800">
          <a:extLst>
            <a:ext uri="{FF2B5EF4-FFF2-40B4-BE49-F238E27FC236}">
              <a16:creationId xmlns:a16="http://schemas.microsoft.com/office/drawing/2014/main" id="{B4105307-9DA6-CDF0-0C73-15264B2986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2" name="Text Box 801">
          <a:extLst>
            <a:ext uri="{FF2B5EF4-FFF2-40B4-BE49-F238E27FC236}">
              <a16:creationId xmlns:a16="http://schemas.microsoft.com/office/drawing/2014/main" id="{542E8D4A-28C5-BCF4-10B4-FDFB96711B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3" name="Text Box 802">
          <a:extLst>
            <a:ext uri="{FF2B5EF4-FFF2-40B4-BE49-F238E27FC236}">
              <a16:creationId xmlns:a16="http://schemas.microsoft.com/office/drawing/2014/main" id="{45D2A4DB-F3C2-EB81-9B4D-54DDBF1193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4" name="Text Box 803">
          <a:extLst>
            <a:ext uri="{FF2B5EF4-FFF2-40B4-BE49-F238E27FC236}">
              <a16:creationId xmlns:a16="http://schemas.microsoft.com/office/drawing/2014/main" id="{BFE7B7F4-3A78-B872-5727-70326BEA6C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5" name="Text Box 804">
          <a:extLst>
            <a:ext uri="{FF2B5EF4-FFF2-40B4-BE49-F238E27FC236}">
              <a16:creationId xmlns:a16="http://schemas.microsoft.com/office/drawing/2014/main" id="{AF749279-0FBD-F50B-A379-404BECBB97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6" name="Text Box 805">
          <a:extLst>
            <a:ext uri="{FF2B5EF4-FFF2-40B4-BE49-F238E27FC236}">
              <a16:creationId xmlns:a16="http://schemas.microsoft.com/office/drawing/2014/main" id="{30B293D8-4BA6-88DA-C4B2-C93F0AB302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7" name="Text Box 806">
          <a:extLst>
            <a:ext uri="{FF2B5EF4-FFF2-40B4-BE49-F238E27FC236}">
              <a16:creationId xmlns:a16="http://schemas.microsoft.com/office/drawing/2014/main" id="{22B81F23-34E2-F515-3549-DEA2FD03FC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8" name="Text Box 807">
          <a:extLst>
            <a:ext uri="{FF2B5EF4-FFF2-40B4-BE49-F238E27FC236}">
              <a16:creationId xmlns:a16="http://schemas.microsoft.com/office/drawing/2014/main" id="{AFBC54A7-B008-7492-F01F-36CAC80B96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899" name="Text Box 808">
          <a:extLst>
            <a:ext uri="{FF2B5EF4-FFF2-40B4-BE49-F238E27FC236}">
              <a16:creationId xmlns:a16="http://schemas.microsoft.com/office/drawing/2014/main" id="{E21E242F-9E7F-2F22-9AFE-BA9B39D67B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0" name="Text Box 809">
          <a:extLst>
            <a:ext uri="{FF2B5EF4-FFF2-40B4-BE49-F238E27FC236}">
              <a16:creationId xmlns:a16="http://schemas.microsoft.com/office/drawing/2014/main" id="{7E6D9D77-6148-A704-6E88-F46CED9D6A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1" name="Text Box 810">
          <a:extLst>
            <a:ext uri="{FF2B5EF4-FFF2-40B4-BE49-F238E27FC236}">
              <a16:creationId xmlns:a16="http://schemas.microsoft.com/office/drawing/2014/main" id="{85835D5E-F953-D275-6BC8-3C06CC525B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2" name="Text Box 811">
          <a:extLst>
            <a:ext uri="{FF2B5EF4-FFF2-40B4-BE49-F238E27FC236}">
              <a16:creationId xmlns:a16="http://schemas.microsoft.com/office/drawing/2014/main" id="{D387273C-10DD-289D-7F98-F8F84A1C56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3" name="Text Box 812">
          <a:extLst>
            <a:ext uri="{FF2B5EF4-FFF2-40B4-BE49-F238E27FC236}">
              <a16:creationId xmlns:a16="http://schemas.microsoft.com/office/drawing/2014/main" id="{794D8FD7-FBFB-BD25-C5C7-5896FC8426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4" name="Text Box 813">
          <a:extLst>
            <a:ext uri="{FF2B5EF4-FFF2-40B4-BE49-F238E27FC236}">
              <a16:creationId xmlns:a16="http://schemas.microsoft.com/office/drawing/2014/main" id="{23D945BB-5831-3EDB-E848-B5AAA36196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5" name="Text Box 814">
          <a:extLst>
            <a:ext uri="{FF2B5EF4-FFF2-40B4-BE49-F238E27FC236}">
              <a16:creationId xmlns:a16="http://schemas.microsoft.com/office/drawing/2014/main" id="{22EB1B16-4E1B-75E9-2BF2-AAFCC640CA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6" name="Text Box 815">
          <a:extLst>
            <a:ext uri="{FF2B5EF4-FFF2-40B4-BE49-F238E27FC236}">
              <a16:creationId xmlns:a16="http://schemas.microsoft.com/office/drawing/2014/main" id="{148E2081-00BE-D86D-072A-C6B54C4C08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7" name="Text Box 816">
          <a:extLst>
            <a:ext uri="{FF2B5EF4-FFF2-40B4-BE49-F238E27FC236}">
              <a16:creationId xmlns:a16="http://schemas.microsoft.com/office/drawing/2014/main" id="{A0436EFA-DFC6-E8A7-3952-8EDF1656A5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8" name="Text Box 817">
          <a:extLst>
            <a:ext uri="{FF2B5EF4-FFF2-40B4-BE49-F238E27FC236}">
              <a16:creationId xmlns:a16="http://schemas.microsoft.com/office/drawing/2014/main" id="{D07A1CCC-6FF1-CC8B-59CE-33FEC4FB03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09" name="Text Box 818">
          <a:extLst>
            <a:ext uri="{FF2B5EF4-FFF2-40B4-BE49-F238E27FC236}">
              <a16:creationId xmlns:a16="http://schemas.microsoft.com/office/drawing/2014/main" id="{FC1A8722-D005-BFA1-268C-EEA8E26A45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0" name="Text Box 819">
          <a:extLst>
            <a:ext uri="{FF2B5EF4-FFF2-40B4-BE49-F238E27FC236}">
              <a16:creationId xmlns:a16="http://schemas.microsoft.com/office/drawing/2014/main" id="{ABC14C25-8FF2-1C29-00E1-90042FFDC1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1" name="Text Box 820">
          <a:extLst>
            <a:ext uri="{FF2B5EF4-FFF2-40B4-BE49-F238E27FC236}">
              <a16:creationId xmlns:a16="http://schemas.microsoft.com/office/drawing/2014/main" id="{8937BF00-4D29-C235-581D-8351572EDF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2" name="Text Box 821">
          <a:extLst>
            <a:ext uri="{FF2B5EF4-FFF2-40B4-BE49-F238E27FC236}">
              <a16:creationId xmlns:a16="http://schemas.microsoft.com/office/drawing/2014/main" id="{0BFDE3D5-8AED-E29A-5205-31CB534398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3" name="Text Box 822">
          <a:extLst>
            <a:ext uri="{FF2B5EF4-FFF2-40B4-BE49-F238E27FC236}">
              <a16:creationId xmlns:a16="http://schemas.microsoft.com/office/drawing/2014/main" id="{F3F37FB2-2184-0DA5-B424-195AB018F5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4" name="Text Box 823">
          <a:extLst>
            <a:ext uri="{FF2B5EF4-FFF2-40B4-BE49-F238E27FC236}">
              <a16:creationId xmlns:a16="http://schemas.microsoft.com/office/drawing/2014/main" id="{96ABDC7C-3319-CB08-AC92-38F2EB8C3C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5" name="Text Box 824">
          <a:extLst>
            <a:ext uri="{FF2B5EF4-FFF2-40B4-BE49-F238E27FC236}">
              <a16:creationId xmlns:a16="http://schemas.microsoft.com/office/drawing/2014/main" id="{383DBD69-8A95-D9BB-9056-FB08AA938A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6" name="Text Box 825">
          <a:extLst>
            <a:ext uri="{FF2B5EF4-FFF2-40B4-BE49-F238E27FC236}">
              <a16:creationId xmlns:a16="http://schemas.microsoft.com/office/drawing/2014/main" id="{0ABFBF39-E54D-FC01-6DBB-69CEAE7BC9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7" name="Text Box 826">
          <a:extLst>
            <a:ext uri="{FF2B5EF4-FFF2-40B4-BE49-F238E27FC236}">
              <a16:creationId xmlns:a16="http://schemas.microsoft.com/office/drawing/2014/main" id="{A2C7BDC4-D0C9-0CF0-7EE0-D4B7E0124D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8" name="Text Box 827">
          <a:extLst>
            <a:ext uri="{FF2B5EF4-FFF2-40B4-BE49-F238E27FC236}">
              <a16:creationId xmlns:a16="http://schemas.microsoft.com/office/drawing/2014/main" id="{DF5D28FD-D20A-5CC3-79BA-CBE885D674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19" name="Text Box 828">
          <a:extLst>
            <a:ext uri="{FF2B5EF4-FFF2-40B4-BE49-F238E27FC236}">
              <a16:creationId xmlns:a16="http://schemas.microsoft.com/office/drawing/2014/main" id="{0478FD71-486C-7351-EDE9-8D8DCE6F74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0" name="Text Box 829">
          <a:extLst>
            <a:ext uri="{FF2B5EF4-FFF2-40B4-BE49-F238E27FC236}">
              <a16:creationId xmlns:a16="http://schemas.microsoft.com/office/drawing/2014/main" id="{CC100017-8DC3-512A-2D08-5C16BD2C48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1" name="Text Box 830">
          <a:extLst>
            <a:ext uri="{FF2B5EF4-FFF2-40B4-BE49-F238E27FC236}">
              <a16:creationId xmlns:a16="http://schemas.microsoft.com/office/drawing/2014/main" id="{4FAAB447-F7D5-D2BC-74BB-AE618C84E1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2" name="Text Box 831">
          <a:extLst>
            <a:ext uri="{FF2B5EF4-FFF2-40B4-BE49-F238E27FC236}">
              <a16:creationId xmlns:a16="http://schemas.microsoft.com/office/drawing/2014/main" id="{6421B185-4742-C8F1-D99E-1559263ECF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3" name="Text Box 832">
          <a:extLst>
            <a:ext uri="{FF2B5EF4-FFF2-40B4-BE49-F238E27FC236}">
              <a16:creationId xmlns:a16="http://schemas.microsoft.com/office/drawing/2014/main" id="{E7F2DFDD-E347-FCCB-EB7F-242765A707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4" name="Text Box 833">
          <a:extLst>
            <a:ext uri="{FF2B5EF4-FFF2-40B4-BE49-F238E27FC236}">
              <a16:creationId xmlns:a16="http://schemas.microsoft.com/office/drawing/2014/main" id="{455FA5C5-AB8E-B6C2-F036-EF3DA748EF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5" name="Text Box 834">
          <a:extLst>
            <a:ext uri="{FF2B5EF4-FFF2-40B4-BE49-F238E27FC236}">
              <a16:creationId xmlns:a16="http://schemas.microsoft.com/office/drawing/2014/main" id="{7CD9EFD8-083F-93BB-9785-8A0A7246C3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6" name="Text Box 835">
          <a:extLst>
            <a:ext uri="{FF2B5EF4-FFF2-40B4-BE49-F238E27FC236}">
              <a16:creationId xmlns:a16="http://schemas.microsoft.com/office/drawing/2014/main" id="{4511FC13-37C2-AFD7-63BB-8B1B04746F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7" name="Text Box 836">
          <a:extLst>
            <a:ext uri="{FF2B5EF4-FFF2-40B4-BE49-F238E27FC236}">
              <a16:creationId xmlns:a16="http://schemas.microsoft.com/office/drawing/2014/main" id="{2873FB55-3CFD-7D61-E06D-9CCD74C3C39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8" name="Text Box 837">
          <a:extLst>
            <a:ext uri="{FF2B5EF4-FFF2-40B4-BE49-F238E27FC236}">
              <a16:creationId xmlns:a16="http://schemas.microsoft.com/office/drawing/2014/main" id="{D8F15B00-BC23-4735-90F2-B8B4B9674D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29" name="Text Box 838">
          <a:extLst>
            <a:ext uri="{FF2B5EF4-FFF2-40B4-BE49-F238E27FC236}">
              <a16:creationId xmlns:a16="http://schemas.microsoft.com/office/drawing/2014/main" id="{E1771F31-7C78-DE73-F4FF-967B92ECD5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0" name="Text Box 839">
          <a:extLst>
            <a:ext uri="{FF2B5EF4-FFF2-40B4-BE49-F238E27FC236}">
              <a16:creationId xmlns:a16="http://schemas.microsoft.com/office/drawing/2014/main" id="{5B47D1F9-4C60-0050-BCAF-2E7DB8A1C8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1" name="Text Box 840">
          <a:extLst>
            <a:ext uri="{FF2B5EF4-FFF2-40B4-BE49-F238E27FC236}">
              <a16:creationId xmlns:a16="http://schemas.microsoft.com/office/drawing/2014/main" id="{627A2377-8251-6D29-8161-C9B1F732A1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2" name="Text Box 841">
          <a:extLst>
            <a:ext uri="{FF2B5EF4-FFF2-40B4-BE49-F238E27FC236}">
              <a16:creationId xmlns:a16="http://schemas.microsoft.com/office/drawing/2014/main" id="{2FF78A66-1414-629E-2389-5EE5FC3E85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3" name="Text Box 842">
          <a:extLst>
            <a:ext uri="{FF2B5EF4-FFF2-40B4-BE49-F238E27FC236}">
              <a16:creationId xmlns:a16="http://schemas.microsoft.com/office/drawing/2014/main" id="{D30D6E01-9EE0-B5D0-265D-C6DB297FD0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4" name="Text Box 843">
          <a:extLst>
            <a:ext uri="{FF2B5EF4-FFF2-40B4-BE49-F238E27FC236}">
              <a16:creationId xmlns:a16="http://schemas.microsoft.com/office/drawing/2014/main" id="{29432851-921B-C752-0BB2-8E15784EF5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5" name="Text Box 844">
          <a:extLst>
            <a:ext uri="{FF2B5EF4-FFF2-40B4-BE49-F238E27FC236}">
              <a16:creationId xmlns:a16="http://schemas.microsoft.com/office/drawing/2014/main" id="{7630A700-B2A7-F71E-F917-35013ADFF5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6" name="Text Box 845">
          <a:extLst>
            <a:ext uri="{FF2B5EF4-FFF2-40B4-BE49-F238E27FC236}">
              <a16:creationId xmlns:a16="http://schemas.microsoft.com/office/drawing/2014/main" id="{7A2668BD-D412-8741-EB0C-9FCA25484F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7" name="Text Box 846">
          <a:extLst>
            <a:ext uri="{FF2B5EF4-FFF2-40B4-BE49-F238E27FC236}">
              <a16:creationId xmlns:a16="http://schemas.microsoft.com/office/drawing/2014/main" id="{8D8B4BC8-029B-813D-2F25-D28631101C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8" name="Text Box 847">
          <a:extLst>
            <a:ext uri="{FF2B5EF4-FFF2-40B4-BE49-F238E27FC236}">
              <a16:creationId xmlns:a16="http://schemas.microsoft.com/office/drawing/2014/main" id="{0B014E37-205D-4F3B-EAC9-ED37EB74A7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39" name="Text Box 848">
          <a:extLst>
            <a:ext uri="{FF2B5EF4-FFF2-40B4-BE49-F238E27FC236}">
              <a16:creationId xmlns:a16="http://schemas.microsoft.com/office/drawing/2014/main" id="{ECEAFFFD-2C89-3AAB-8C89-37C90B9969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0" name="Text Box 849">
          <a:extLst>
            <a:ext uri="{FF2B5EF4-FFF2-40B4-BE49-F238E27FC236}">
              <a16:creationId xmlns:a16="http://schemas.microsoft.com/office/drawing/2014/main" id="{2FABF330-E259-FEAD-8505-F34BE56417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1" name="Text Box 850">
          <a:extLst>
            <a:ext uri="{FF2B5EF4-FFF2-40B4-BE49-F238E27FC236}">
              <a16:creationId xmlns:a16="http://schemas.microsoft.com/office/drawing/2014/main" id="{41C66B8E-633C-2C80-0A95-8E2049FB6A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2" name="Text Box 851">
          <a:extLst>
            <a:ext uri="{FF2B5EF4-FFF2-40B4-BE49-F238E27FC236}">
              <a16:creationId xmlns:a16="http://schemas.microsoft.com/office/drawing/2014/main" id="{13188CA2-1FBD-25C8-EEEA-24F4594E8A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3" name="Text Box 852">
          <a:extLst>
            <a:ext uri="{FF2B5EF4-FFF2-40B4-BE49-F238E27FC236}">
              <a16:creationId xmlns:a16="http://schemas.microsoft.com/office/drawing/2014/main" id="{714B14AB-CE6F-9DA7-1AB0-ED199675EF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4" name="Text Box 853">
          <a:extLst>
            <a:ext uri="{FF2B5EF4-FFF2-40B4-BE49-F238E27FC236}">
              <a16:creationId xmlns:a16="http://schemas.microsoft.com/office/drawing/2014/main" id="{935F3F4C-451C-4D16-36F2-2BDA6A4885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5" name="Text Box 854">
          <a:extLst>
            <a:ext uri="{FF2B5EF4-FFF2-40B4-BE49-F238E27FC236}">
              <a16:creationId xmlns:a16="http://schemas.microsoft.com/office/drawing/2014/main" id="{D4717173-B674-1705-0A21-36BA133C05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6" name="Text Box 855">
          <a:extLst>
            <a:ext uri="{FF2B5EF4-FFF2-40B4-BE49-F238E27FC236}">
              <a16:creationId xmlns:a16="http://schemas.microsoft.com/office/drawing/2014/main" id="{13768561-48A3-B80E-8ED2-7E2A264140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7" name="Text Box 856">
          <a:extLst>
            <a:ext uri="{FF2B5EF4-FFF2-40B4-BE49-F238E27FC236}">
              <a16:creationId xmlns:a16="http://schemas.microsoft.com/office/drawing/2014/main" id="{64A4BE1C-7FC7-05A0-6C20-660F442484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8" name="Text Box 857">
          <a:extLst>
            <a:ext uri="{FF2B5EF4-FFF2-40B4-BE49-F238E27FC236}">
              <a16:creationId xmlns:a16="http://schemas.microsoft.com/office/drawing/2014/main" id="{30DA8E15-6D15-5FC5-E045-BA5FE60E97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49" name="Text Box 858">
          <a:extLst>
            <a:ext uri="{FF2B5EF4-FFF2-40B4-BE49-F238E27FC236}">
              <a16:creationId xmlns:a16="http://schemas.microsoft.com/office/drawing/2014/main" id="{0E70A325-EA3E-A52E-F483-6E5AA9A004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0" name="Text Box 859">
          <a:extLst>
            <a:ext uri="{FF2B5EF4-FFF2-40B4-BE49-F238E27FC236}">
              <a16:creationId xmlns:a16="http://schemas.microsoft.com/office/drawing/2014/main" id="{44B3B6F6-8D71-BAAB-F66B-76557AF0ED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1" name="Text Box 860">
          <a:extLst>
            <a:ext uri="{FF2B5EF4-FFF2-40B4-BE49-F238E27FC236}">
              <a16:creationId xmlns:a16="http://schemas.microsoft.com/office/drawing/2014/main" id="{DE00C9BD-1FA8-9E04-DAD2-E218048A06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2" name="Text Box 861">
          <a:extLst>
            <a:ext uri="{FF2B5EF4-FFF2-40B4-BE49-F238E27FC236}">
              <a16:creationId xmlns:a16="http://schemas.microsoft.com/office/drawing/2014/main" id="{33BE0713-164E-9230-5782-7A0C6BC1CA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3" name="Text Box 862">
          <a:extLst>
            <a:ext uri="{FF2B5EF4-FFF2-40B4-BE49-F238E27FC236}">
              <a16:creationId xmlns:a16="http://schemas.microsoft.com/office/drawing/2014/main" id="{FB371469-20D8-B4A1-85E4-C756C20713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4" name="Text Box 863">
          <a:extLst>
            <a:ext uri="{FF2B5EF4-FFF2-40B4-BE49-F238E27FC236}">
              <a16:creationId xmlns:a16="http://schemas.microsoft.com/office/drawing/2014/main" id="{78BBAF93-92FC-AA5C-C9A8-06E58E9DF65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5" name="Text Box 864">
          <a:extLst>
            <a:ext uri="{FF2B5EF4-FFF2-40B4-BE49-F238E27FC236}">
              <a16:creationId xmlns:a16="http://schemas.microsoft.com/office/drawing/2014/main" id="{0AA942CA-1D82-9194-71CB-C5FD8A1FE6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6" name="Text Box 865">
          <a:extLst>
            <a:ext uri="{FF2B5EF4-FFF2-40B4-BE49-F238E27FC236}">
              <a16:creationId xmlns:a16="http://schemas.microsoft.com/office/drawing/2014/main" id="{9816112B-1758-AF34-30B2-0EA0CC6CA8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7" name="Text Box 866">
          <a:extLst>
            <a:ext uri="{FF2B5EF4-FFF2-40B4-BE49-F238E27FC236}">
              <a16:creationId xmlns:a16="http://schemas.microsoft.com/office/drawing/2014/main" id="{7BE98EF8-01DA-9379-612C-32DABE1EB3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8" name="Text Box 867">
          <a:extLst>
            <a:ext uri="{FF2B5EF4-FFF2-40B4-BE49-F238E27FC236}">
              <a16:creationId xmlns:a16="http://schemas.microsoft.com/office/drawing/2014/main" id="{892BC0DE-6608-D6FE-7A18-F7BB1FA631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59" name="Text Box 868">
          <a:extLst>
            <a:ext uri="{FF2B5EF4-FFF2-40B4-BE49-F238E27FC236}">
              <a16:creationId xmlns:a16="http://schemas.microsoft.com/office/drawing/2014/main" id="{93CE166E-8F27-20E0-C95A-693A89F1E4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0" name="Text Box 869">
          <a:extLst>
            <a:ext uri="{FF2B5EF4-FFF2-40B4-BE49-F238E27FC236}">
              <a16:creationId xmlns:a16="http://schemas.microsoft.com/office/drawing/2014/main" id="{91882C93-B798-4B1B-2C1A-EDDA3CB35E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1" name="Text Box 870">
          <a:extLst>
            <a:ext uri="{FF2B5EF4-FFF2-40B4-BE49-F238E27FC236}">
              <a16:creationId xmlns:a16="http://schemas.microsoft.com/office/drawing/2014/main" id="{15C23F91-462B-ACAE-1B03-72B9A1C1DA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2" name="Text Box 871">
          <a:extLst>
            <a:ext uri="{FF2B5EF4-FFF2-40B4-BE49-F238E27FC236}">
              <a16:creationId xmlns:a16="http://schemas.microsoft.com/office/drawing/2014/main" id="{FF22E8C7-6514-9F03-EC15-F50C51E0CC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3" name="Text Box 872">
          <a:extLst>
            <a:ext uri="{FF2B5EF4-FFF2-40B4-BE49-F238E27FC236}">
              <a16:creationId xmlns:a16="http://schemas.microsoft.com/office/drawing/2014/main" id="{942499B1-FEAC-6CD1-D3D6-2F6595CFA8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4" name="Text Box 873">
          <a:extLst>
            <a:ext uri="{FF2B5EF4-FFF2-40B4-BE49-F238E27FC236}">
              <a16:creationId xmlns:a16="http://schemas.microsoft.com/office/drawing/2014/main" id="{79D247B2-3E91-3654-E1BF-33B82E423D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5" name="Text Box 874">
          <a:extLst>
            <a:ext uri="{FF2B5EF4-FFF2-40B4-BE49-F238E27FC236}">
              <a16:creationId xmlns:a16="http://schemas.microsoft.com/office/drawing/2014/main" id="{37B1A885-F345-A1EF-99C1-A9A579935F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6" name="Text Box 875">
          <a:extLst>
            <a:ext uri="{FF2B5EF4-FFF2-40B4-BE49-F238E27FC236}">
              <a16:creationId xmlns:a16="http://schemas.microsoft.com/office/drawing/2014/main" id="{8A44FBA2-FC78-3646-6A0E-0D1B688389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7" name="Text Box 876">
          <a:extLst>
            <a:ext uri="{FF2B5EF4-FFF2-40B4-BE49-F238E27FC236}">
              <a16:creationId xmlns:a16="http://schemas.microsoft.com/office/drawing/2014/main" id="{08E0088D-A95C-DBFB-8E83-35A0A410D6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8" name="Text Box 877">
          <a:extLst>
            <a:ext uri="{FF2B5EF4-FFF2-40B4-BE49-F238E27FC236}">
              <a16:creationId xmlns:a16="http://schemas.microsoft.com/office/drawing/2014/main" id="{560B3E91-B59C-38A4-0653-53700BE288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69" name="Text Box 878">
          <a:extLst>
            <a:ext uri="{FF2B5EF4-FFF2-40B4-BE49-F238E27FC236}">
              <a16:creationId xmlns:a16="http://schemas.microsoft.com/office/drawing/2014/main" id="{C5282639-C8EA-F767-FD70-058865D0E3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0" name="Text Box 879">
          <a:extLst>
            <a:ext uri="{FF2B5EF4-FFF2-40B4-BE49-F238E27FC236}">
              <a16:creationId xmlns:a16="http://schemas.microsoft.com/office/drawing/2014/main" id="{0C7E9095-85F0-C9EE-11E3-CC423F8029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1" name="Text Box 880">
          <a:extLst>
            <a:ext uri="{FF2B5EF4-FFF2-40B4-BE49-F238E27FC236}">
              <a16:creationId xmlns:a16="http://schemas.microsoft.com/office/drawing/2014/main" id="{FA5CEF52-60C1-4ED1-8639-5552DCDEAB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2" name="Text Box 881">
          <a:extLst>
            <a:ext uri="{FF2B5EF4-FFF2-40B4-BE49-F238E27FC236}">
              <a16:creationId xmlns:a16="http://schemas.microsoft.com/office/drawing/2014/main" id="{7D657E14-354C-5F8F-5784-5B5B50063F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3" name="Text Box 882">
          <a:extLst>
            <a:ext uri="{FF2B5EF4-FFF2-40B4-BE49-F238E27FC236}">
              <a16:creationId xmlns:a16="http://schemas.microsoft.com/office/drawing/2014/main" id="{2BC92C5F-AEBB-5FFC-44D6-9208637B37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4" name="Text Box 883">
          <a:extLst>
            <a:ext uri="{FF2B5EF4-FFF2-40B4-BE49-F238E27FC236}">
              <a16:creationId xmlns:a16="http://schemas.microsoft.com/office/drawing/2014/main" id="{B6AEF243-F1E9-F6C1-8DF1-9AE6C7BB18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5" name="Text Box 884">
          <a:extLst>
            <a:ext uri="{FF2B5EF4-FFF2-40B4-BE49-F238E27FC236}">
              <a16:creationId xmlns:a16="http://schemas.microsoft.com/office/drawing/2014/main" id="{7AEFF9C8-13A3-23A5-136C-D56DDB79D5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6" name="Text Box 885">
          <a:extLst>
            <a:ext uri="{FF2B5EF4-FFF2-40B4-BE49-F238E27FC236}">
              <a16:creationId xmlns:a16="http://schemas.microsoft.com/office/drawing/2014/main" id="{A9B0B697-B780-0420-11B4-F731733DEB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7" name="Text Box 886">
          <a:extLst>
            <a:ext uri="{FF2B5EF4-FFF2-40B4-BE49-F238E27FC236}">
              <a16:creationId xmlns:a16="http://schemas.microsoft.com/office/drawing/2014/main" id="{8B18073C-22AE-F161-5691-7677C4B35E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8" name="Text Box 887">
          <a:extLst>
            <a:ext uri="{FF2B5EF4-FFF2-40B4-BE49-F238E27FC236}">
              <a16:creationId xmlns:a16="http://schemas.microsoft.com/office/drawing/2014/main" id="{1DCDD4EC-2D16-7777-2893-E16D6B21C9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79" name="Text Box 888">
          <a:extLst>
            <a:ext uri="{FF2B5EF4-FFF2-40B4-BE49-F238E27FC236}">
              <a16:creationId xmlns:a16="http://schemas.microsoft.com/office/drawing/2014/main" id="{E985EC6C-28AA-9561-523A-D9A4012D15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0" name="Text Box 889">
          <a:extLst>
            <a:ext uri="{FF2B5EF4-FFF2-40B4-BE49-F238E27FC236}">
              <a16:creationId xmlns:a16="http://schemas.microsoft.com/office/drawing/2014/main" id="{4C1B3600-5A0F-83E9-769F-592FDDF530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1" name="Text Box 890">
          <a:extLst>
            <a:ext uri="{FF2B5EF4-FFF2-40B4-BE49-F238E27FC236}">
              <a16:creationId xmlns:a16="http://schemas.microsoft.com/office/drawing/2014/main" id="{133D43AF-F653-8CF3-8351-38878BA4665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2" name="Text Box 891">
          <a:extLst>
            <a:ext uri="{FF2B5EF4-FFF2-40B4-BE49-F238E27FC236}">
              <a16:creationId xmlns:a16="http://schemas.microsoft.com/office/drawing/2014/main" id="{280B529A-30C1-94CA-5AC9-7693217D070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3" name="Text Box 892">
          <a:extLst>
            <a:ext uri="{FF2B5EF4-FFF2-40B4-BE49-F238E27FC236}">
              <a16:creationId xmlns:a16="http://schemas.microsoft.com/office/drawing/2014/main" id="{132E12C1-1834-459A-B37A-B3097E2F72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4" name="Text Box 893">
          <a:extLst>
            <a:ext uri="{FF2B5EF4-FFF2-40B4-BE49-F238E27FC236}">
              <a16:creationId xmlns:a16="http://schemas.microsoft.com/office/drawing/2014/main" id="{3F00D4A4-B3BD-913A-D5CA-467B456F75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5" name="Text Box 894">
          <a:extLst>
            <a:ext uri="{FF2B5EF4-FFF2-40B4-BE49-F238E27FC236}">
              <a16:creationId xmlns:a16="http://schemas.microsoft.com/office/drawing/2014/main" id="{4F39A5EA-B06F-BE51-61A4-B2044C93A5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6" name="Text Box 895">
          <a:extLst>
            <a:ext uri="{FF2B5EF4-FFF2-40B4-BE49-F238E27FC236}">
              <a16:creationId xmlns:a16="http://schemas.microsoft.com/office/drawing/2014/main" id="{5B2F1227-E8BB-24C6-6EFE-E0003572BD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7" name="Text Box 896">
          <a:extLst>
            <a:ext uri="{FF2B5EF4-FFF2-40B4-BE49-F238E27FC236}">
              <a16:creationId xmlns:a16="http://schemas.microsoft.com/office/drawing/2014/main" id="{0FFEF559-967B-B868-AF3C-D967691DC9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8" name="Text Box 897">
          <a:extLst>
            <a:ext uri="{FF2B5EF4-FFF2-40B4-BE49-F238E27FC236}">
              <a16:creationId xmlns:a16="http://schemas.microsoft.com/office/drawing/2014/main" id="{113D9E47-C34A-F8B5-4E76-2159F9B124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89" name="Text Box 898">
          <a:extLst>
            <a:ext uri="{FF2B5EF4-FFF2-40B4-BE49-F238E27FC236}">
              <a16:creationId xmlns:a16="http://schemas.microsoft.com/office/drawing/2014/main" id="{DE03328C-FDBA-78EA-BE01-820864922C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0" name="Text Box 899">
          <a:extLst>
            <a:ext uri="{FF2B5EF4-FFF2-40B4-BE49-F238E27FC236}">
              <a16:creationId xmlns:a16="http://schemas.microsoft.com/office/drawing/2014/main" id="{86F64E2D-38C6-CB54-CF3B-D9EA377A02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1" name="Text Box 900">
          <a:extLst>
            <a:ext uri="{FF2B5EF4-FFF2-40B4-BE49-F238E27FC236}">
              <a16:creationId xmlns:a16="http://schemas.microsoft.com/office/drawing/2014/main" id="{5B58E63F-67DA-2FEE-585E-D7F7537A0E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2" name="Text Box 712">
          <a:extLst>
            <a:ext uri="{FF2B5EF4-FFF2-40B4-BE49-F238E27FC236}">
              <a16:creationId xmlns:a16="http://schemas.microsoft.com/office/drawing/2014/main" id="{01BAB3E6-CC54-7933-91F8-66FB728F77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3" name="Text Box 714">
          <a:extLst>
            <a:ext uri="{FF2B5EF4-FFF2-40B4-BE49-F238E27FC236}">
              <a16:creationId xmlns:a16="http://schemas.microsoft.com/office/drawing/2014/main" id="{CAAB1C49-FFB6-7B3B-7C7C-7EAD134CF1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4" name="Text Box 532">
          <a:extLst>
            <a:ext uri="{FF2B5EF4-FFF2-40B4-BE49-F238E27FC236}">
              <a16:creationId xmlns:a16="http://schemas.microsoft.com/office/drawing/2014/main" id="{4FBD084A-47A4-B856-9888-9FB0F9315C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5" name="Text Box 1">
          <a:extLst>
            <a:ext uri="{FF2B5EF4-FFF2-40B4-BE49-F238E27FC236}">
              <a16:creationId xmlns:a16="http://schemas.microsoft.com/office/drawing/2014/main" id="{2328DFA7-965B-A184-CA59-DB71FBA4E5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6" name="Text Box 2">
          <a:extLst>
            <a:ext uri="{FF2B5EF4-FFF2-40B4-BE49-F238E27FC236}">
              <a16:creationId xmlns:a16="http://schemas.microsoft.com/office/drawing/2014/main" id="{D2076F42-F509-61DA-1048-D54943145F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7" name="Text Box 3">
          <a:extLst>
            <a:ext uri="{FF2B5EF4-FFF2-40B4-BE49-F238E27FC236}">
              <a16:creationId xmlns:a16="http://schemas.microsoft.com/office/drawing/2014/main" id="{459B6129-9586-15D8-9A6B-92245E9517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8" name="Text Box 4">
          <a:extLst>
            <a:ext uri="{FF2B5EF4-FFF2-40B4-BE49-F238E27FC236}">
              <a16:creationId xmlns:a16="http://schemas.microsoft.com/office/drawing/2014/main" id="{30EDF64B-E5FD-4112-65AB-71DD7B191C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1999" name="Text Box 5">
          <a:extLst>
            <a:ext uri="{FF2B5EF4-FFF2-40B4-BE49-F238E27FC236}">
              <a16:creationId xmlns:a16="http://schemas.microsoft.com/office/drawing/2014/main" id="{9C6BBD73-0D6C-4FD6-8045-AA11E51F05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0" name="Text Box 6">
          <a:extLst>
            <a:ext uri="{FF2B5EF4-FFF2-40B4-BE49-F238E27FC236}">
              <a16:creationId xmlns:a16="http://schemas.microsoft.com/office/drawing/2014/main" id="{5AA3B339-73C8-3C16-B424-ECCD71CEBE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1" name="Text Box 7">
          <a:extLst>
            <a:ext uri="{FF2B5EF4-FFF2-40B4-BE49-F238E27FC236}">
              <a16:creationId xmlns:a16="http://schemas.microsoft.com/office/drawing/2014/main" id="{DE5782D1-FC44-8CAE-7A6A-89BBE3C89F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2" name="Text Box 8">
          <a:extLst>
            <a:ext uri="{FF2B5EF4-FFF2-40B4-BE49-F238E27FC236}">
              <a16:creationId xmlns:a16="http://schemas.microsoft.com/office/drawing/2014/main" id="{BEE860F3-2861-6BCA-2CF7-EC4918B3CA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3" name="Text Box 9">
          <a:extLst>
            <a:ext uri="{FF2B5EF4-FFF2-40B4-BE49-F238E27FC236}">
              <a16:creationId xmlns:a16="http://schemas.microsoft.com/office/drawing/2014/main" id="{25AB7003-05ED-B23A-6ED2-288F246491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4" name="Text Box 10">
          <a:extLst>
            <a:ext uri="{FF2B5EF4-FFF2-40B4-BE49-F238E27FC236}">
              <a16:creationId xmlns:a16="http://schemas.microsoft.com/office/drawing/2014/main" id="{B743E359-FD7B-C283-E04C-6D5FCEE275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5" name="Text Box 11">
          <a:extLst>
            <a:ext uri="{FF2B5EF4-FFF2-40B4-BE49-F238E27FC236}">
              <a16:creationId xmlns:a16="http://schemas.microsoft.com/office/drawing/2014/main" id="{A1E73C17-BD31-4D8D-EE8F-7C1C41BB12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6" name="Text Box 12">
          <a:extLst>
            <a:ext uri="{FF2B5EF4-FFF2-40B4-BE49-F238E27FC236}">
              <a16:creationId xmlns:a16="http://schemas.microsoft.com/office/drawing/2014/main" id="{6CFD5F9A-0596-A7DC-4CDF-0BA9AC093A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7" name="Text Box 13">
          <a:extLst>
            <a:ext uri="{FF2B5EF4-FFF2-40B4-BE49-F238E27FC236}">
              <a16:creationId xmlns:a16="http://schemas.microsoft.com/office/drawing/2014/main" id="{8E09FFC4-FEE3-6424-0089-EA872544AF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8" name="Text Box 14">
          <a:extLst>
            <a:ext uri="{FF2B5EF4-FFF2-40B4-BE49-F238E27FC236}">
              <a16:creationId xmlns:a16="http://schemas.microsoft.com/office/drawing/2014/main" id="{228A3FFA-ED86-B257-7EAA-CADE33190D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09" name="Text Box 15">
          <a:extLst>
            <a:ext uri="{FF2B5EF4-FFF2-40B4-BE49-F238E27FC236}">
              <a16:creationId xmlns:a16="http://schemas.microsoft.com/office/drawing/2014/main" id="{CFF01D21-4509-5B56-591F-1DBAABE358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0" name="Text Box 16">
          <a:extLst>
            <a:ext uri="{FF2B5EF4-FFF2-40B4-BE49-F238E27FC236}">
              <a16:creationId xmlns:a16="http://schemas.microsoft.com/office/drawing/2014/main" id="{9C4F7BED-C3B5-49C2-6AB5-84F7EDFD9D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1" name="Text Box 17">
          <a:extLst>
            <a:ext uri="{FF2B5EF4-FFF2-40B4-BE49-F238E27FC236}">
              <a16:creationId xmlns:a16="http://schemas.microsoft.com/office/drawing/2014/main" id="{5DBA035F-A498-0B1D-CE1A-D8B39A7C2E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2" name="Text Box 18">
          <a:extLst>
            <a:ext uri="{FF2B5EF4-FFF2-40B4-BE49-F238E27FC236}">
              <a16:creationId xmlns:a16="http://schemas.microsoft.com/office/drawing/2014/main" id="{FFF187EE-59D4-F6BC-D64C-72BA46AD2B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3" name="Text Box 19">
          <a:extLst>
            <a:ext uri="{FF2B5EF4-FFF2-40B4-BE49-F238E27FC236}">
              <a16:creationId xmlns:a16="http://schemas.microsoft.com/office/drawing/2014/main" id="{EEDA46CB-B0E4-EA56-E2CA-1385E81506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4" name="Text Box 20">
          <a:extLst>
            <a:ext uri="{FF2B5EF4-FFF2-40B4-BE49-F238E27FC236}">
              <a16:creationId xmlns:a16="http://schemas.microsoft.com/office/drawing/2014/main" id="{9D2B4626-08C7-E2D9-6ABC-EB0C0930D0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5" name="Text Box 21">
          <a:extLst>
            <a:ext uri="{FF2B5EF4-FFF2-40B4-BE49-F238E27FC236}">
              <a16:creationId xmlns:a16="http://schemas.microsoft.com/office/drawing/2014/main" id="{2C844E05-6434-36C6-8BBF-99766F3D81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6" name="Text Box 22">
          <a:extLst>
            <a:ext uri="{FF2B5EF4-FFF2-40B4-BE49-F238E27FC236}">
              <a16:creationId xmlns:a16="http://schemas.microsoft.com/office/drawing/2014/main" id="{C7D2EAB9-C772-1653-D2DB-A89B8A091E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7" name="Text Box 23">
          <a:extLst>
            <a:ext uri="{FF2B5EF4-FFF2-40B4-BE49-F238E27FC236}">
              <a16:creationId xmlns:a16="http://schemas.microsoft.com/office/drawing/2014/main" id="{8528AAB8-A2E2-C063-D131-ABE7A62716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8" name="Text Box 24">
          <a:extLst>
            <a:ext uri="{FF2B5EF4-FFF2-40B4-BE49-F238E27FC236}">
              <a16:creationId xmlns:a16="http://schemas.microsoft.com/office/drawing/2014/main" id="{3AE279E5-9752-E452-0B4E-4CE3122910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19" name="Text Box 25">
          <a:extLst>
            <a:ext uri="{FF2B5EF4-FFF2-40B4-BE49-F238E27FC236}">
              <a16:creationId xmlns:a16="http://schemas.microsoft.com/office/drawing/2014/main" id="{F68C6635-C26E-B803-A551-01113F3103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0" name="Text Box 26">
          <a:extLst>
            <a:ext uri="{FF2B5EF4-FFF2-40B4-BE49-F238E27FC236}">
              <a16:creationId xmlns:a16="http://schemas.microsoft.com/office/drawing/2014/main" id="{15D8F1EE-D8D5-32C8-0ADB-C3A7888B13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1" name="Text Box 27">
          <a:extLst>
            <a:ext uri="{FF2B5EF4-FFF2-40B4-BE49-F238E27FC236}">
              <a16:creationId xmlns:a16="http://schemas.microsoft.com/office/drawing/2014/main" id="{E0895B8B-D7A0-6CFA-F19A-C7F91F6E65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2" name="Text Box 28">
          <a:extLst>
            <a:ext uri="{FF2B5EF4-FFF2-40B4-BE49-F238E27FC236}">
              <a16:creationId xmlns:a16="http://schemas.microsoft.com/office/drawing/2014/main" id="{D40801A9-A5F6-CF24-4010-7CC34D1C0A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3" name="Text Box 29">
          <a:extLst>
            <a:ext uri="{FF2B5EF4-FFF2-40B4-BE49-F238E27FC236}">
              <a16:creationId xmlns:a16="http://schemas.microsoft.com/office/drawing/2014/main" id="{4DDBB4F9-E2E9-527B-E387-2B7C07ADA0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4" name="Text Box 30">
          <a:extLst>
            <a:ext uri="{FF2B5EF4-FFF2-40B4-BE49-F238E27FC236}">
              <a16:creationId xmlns:a16="http://schemas.microsoft.com/office/drawing/2014/main" id="{83C7CD41-9FF3-8774-8FD6-9147761ED5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5" name="Text Box 31">
          <a:extLst>
            <a:ext uri="{FF2B5EF4-FFF2-40B4-BE49-F238E27FC236}">
              <a16:creationId xmlns:a16="http://schemas.microsoft.com/office/drawing/2014/main" id="{1189FE95-1BBA-CF4A-CF0D-7396102D18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6" name="Text Box 32">
          <a:extLst>
            <a:ext uri="{FF2B5EF4-FFF2-40B4-BE49-F238E27FC236}">
              <a16:creationId xmlns:a16="http://schemas.microsoft.com/office/drawing/2014/main" id="{D2DDB301-57D0-0AA5-2EC1-F6716B2B4B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7" name="Text Box 33">
          <a:extLst>
            <a:ext uri="{FF2B5EF4-FFF2-40B4-BE49-F238E27FC236}">
              <a16:creationId xmlns:a16="http://schemas.microsoft.com/office/drawing/2014/main" id="{B5BE01EB-9E02-1B50-A33F-31E296365C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8" name="Text Box 34">
          <a:extLst>
            <a:ext uri="{FF2B5EF4-FFF2-40B4-BE49-F238E27FC236}">
              <a16:creationId xmlns:a16="http://schemas.microsoft.com/office/drawing/2014/main" id="{4A2E1237-DF22-A892-9EB3-C6F13F7F2C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29" name="Text Box 35">
          <a:extLst>
            <a:ext uri="{FF2B5EF4-FFF2-40B4-BE49-F238E27FC236}">
              <a16:creationId xmlns:a16="http://schemas.microsoft.com/office/drawing/2014/main" id="{3D66CE7E-14C8-9AD2-B948-53ADF4A44C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0" name="Text Box 36">
          <a:extLst>
            <a:ext uri="{FF2B5EF4-FFF2-40B4-BE49-F238E27FC236}">
              <a16:creationId xmlns:a16="http://schemas.microsoft.com/office/drawing/2014/main" id="{2D4B2283-DEA8-F1E6-DEAA-1981A9EEEC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1" name="Text Box 37">
          <a:extLst>
            <a:ext uri="{FF2B5EF4-FFF2-40B4-BE49-F238E27FC236}">
              <a16:creationId xmlns:a16="http://schemas.microsoft.com/office/drawing/2014/main" id="{B00399BE-C0A5-B33D-7FD2-F4ACE58DAB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2" name="Text Box 38">
          <a:extLst>
            <a:ext uri="{FF2B5EF4-FFF2-40B4-BE49-F238E27FC236}">
              <a16:creationId xmlns:a16="http://schemas.microsoft.com/office/drawing/2014/main" id="{EC1F1611-CFF0-0F07-B998-AAC18FC04D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3" name="Text Box 39">
          <a:extLst>
            <a:ext uri="{FF2B5EF4-FFF2-40B4-BE49-F238E27FC236}">
              <a16:creationId xmlns:a16="http://schemas.microsoft.com/office/drawing/2014/main" id="{68802BA1-13A2-ED16-3E63-5465B52549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4" name="Text Box 40">
          <a:extLst>
            <a:ext uri="{FF2B5EF4-FFF2-40B4-BE49-F238E27FC236}">
              <a16:creationId xmlns:a16="http://schemas.microsoft.com/office/drawing/2014/main" id="{F14274D9-3E0B-4423-DFDE-A1569725A6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5" name="Text Box 41">
          <a:extLst>
            <a:ext uri="{FF2B5EF4-FFF2-40B4-BE49-F238E27FC236}">
              <a16:creationId xmlns:a16="http://schemas.microsoft.com/office/drawing/2014/main" id="{785EE48F-E814-00A7-8917-21750BAB40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6" name="Text Box 42">
          <a:extLst>
            <a:ext uri="{FF2B5EF4-FFF2-40B4-BE49-F238E27FC236}">
              <a16:creationId xmlns:a16="http://schemas.microsoft.com/office/drawing/2014/main" id="{C5EDA370-F91F-0766-9875-3534DA9FCF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7" name="Text Box 43">
          <a:extLst>
            <a:ext uri="{FF2B5EF4-FFF2-40B4-BE49-F238E27FC236}">
              <a16:creationId xmlns:a16="http://schemas.microsoft.com/office/drawing/2014/main" id="{BAFEBAB3-8320-1A69-0AA0-9C49A1880C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8" name="Text Box 44">
          <a:extLst>
            <a:ext uri="{FF2B5EF4-FFF2-40B4-BE49-F238E27FC236}">
              <a16:creationId xmlns:a16="http://schemas.microsoft.com/office/drawing/2014/main" id="{C6C65302-BBFC-4D6F-B8C3-E3C2F90B61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39" name="Text Box 45">
          <a:extLst>
            <a:ext uri="{FF2B5EF4-FFF2-40B4-BE49-F238E27FC236}">
              <a16:creationId xmlns:a16="http://schemas.microsoft.com/office/drawing/2014/main" id="{A00E2E0E-5694-902B-F14A-A5DB9BA80F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0" name="Text Box 46">
          <a:extLst>
            <a:ext uri="{FF2B5EF4-FFF2-40B4-BE49-F238E27FC236}">
              <a16:creationId xmlns:a16="http://schemas.microsoft.com/office/drawing/2014/main" id="{7FDB3230-2700-C2DA-96B9-6C8E379823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1" name="Text Box 47">
          <a:extLst>
            <a:ext uri="{FF2B5EF4-FFF2-40B4-BE49-F238E27FC236}">
              <a16:creationId xmlns:a16="http://schemas.microsoft.com/office/drawing/2014/main" id="{3F453F57-4FC9-D962-5D1F-5B5B9DA33D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2" name="Text Box 48">
          <a:extLst>
            <a:ext uri="{FF2B5EF4-FFF2-40B4-BE49-F238E27FC236}">
              <a16:creationId xmlns:a16="http://schemas.microsoft.com/office/drawing/2014/main" id="{BF0BD6F0-B225-D23F-2B18-010A8D2038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3" name="Text Box 49">
          <a:extLst>
            <a:ext uri="{FF2B5EF4-FFF2-40B4-BE49-F238E27FC236}">
              <a16:creationId xmlns:a16="http://schemas.microsoft.com/office/drawing/2014/main" id="{41F6DD6A-8CF8-E98F-411B-107D7D6538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4" name="Text Box 50">
          <a:extLst>
            <a:ext uri="{FF2B5EF4-FFF2-40B4-BE49-F238E27FC236}">
              <a16:creationId xmlns:a16="http://schemas.microsoft.com/office/drawing/2014/main" id="{4A3AFFC2-71C1-C757-4505-C0750B9301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5" name="Text Box 51">
          <a:extLst>
            <a:ext uri="{FF2B5EF4-FFF2-40B4-BE49-F238E27FC236}">
              <a16:creationId xmlns:a16="http://schemas.microsoft.com/office/drawing/2014/main" id="{43E281EF-54D9-0158-58C0-F67721291B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6" name="Text Box 52">
          <a:extLst>
            <a:ext uri="{FF2B5EF4-FFF2-40B4-BE49-F238E27FC236}">
              <a16:creationId xmlns:a16="http://schemas.microsoft.com/office/drawing/2014/main" id="{8070F0F5-B119-3A57-7EBA-9C6C9460E5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7" name="Text Box 53">
          <a:extLst>
            <a:ext uri="{FF2B5EF4-FFF2-40B4-BE49-F238E27FC236}">
              <a16:creationId xmlns:a16="http://schemas.microsoft.com/office/drawing/2014/main" id="{43C370A4-95EE-1845-5228-1E4E8CF241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8" name="Text Box 54">
          <a:extLst>
            <a:ext uri="{FF2B5EF4-FFF2-40B4-BE49-F238E27FC236}">
              <a16:creationId xmlns:a16="http://schemas.microsoft.com/office/drawing/2014/main" id="{7B88FBD6-EC06-4767-2E6B-EB313293BC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49" name="Text Box 55">
          <a:extLst>
            <a:ext uri="{FF2B5EF4-FFF2-40B4-BE49-F238E27FC236}">
              <a16:creationId xmlns:a16="http://schemas.microsoft.com/office/drawing/2014/main" id="{3108B3EC-9E8C-F622-4A8A-671594A601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0" name="Text Box 56">
          <a:extLst>
            <a:ext uri="{FF2B5EF4-FFF2-40B4-BE49-F238E27FC236}">
              <a16:creationId xmlns:a16="http://schemas.microsoft.com/office/drawing/2014/main" id="{EA0412F5-F061-3DB4-E5F3-15BDC3D3A9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1" name="Text Box 57">
          <a:extLst>
            <a:ext uri="{FF2B5EF4-FFF2-40B4-BE49-F238E27FC236}">
              <a16:creationId xmlns:a16="http://schemas.microsoft.com/office/drawing/2014/main" id="{E829D72D-D6CA-1E67-8E3A-66F955CDC6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2" name="Text Box 58">
          <a:extLst>
            <a:ext uri="{FF2B5EF4-FFF2-40B4-BE49-F238E27FC236}">
              <a16:creationId xmlns:a16="http://schemas.microsoft.com/office/drawing/2014/main" id="{9B629990-A142-CB18-9C22-C99D7404293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3" name="Text Box 59">
          <a:extLst>
            <a:ext uri="{FF2B5EF4-FFF2-40B4-BE49-F238E27FC236}">
              <a16:creationId xmlns:a16="http://schemas.microsoft.com/office/drawing/2014/main" id="{6D416C65-5BA6-FC4F-3968-4561511762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4" name="Text Box 60">
          <a:extLst>
            <a:ext uri="{FF2B5EF4-FFF2-40B4-BE49-F238E27FC236}">
              <a16:creationId xmlns:a16="http://schemas.microsoft.com/office/drawing/2014/main" id="{912C3406-DCAF-5AD5-D9F9-CB2C359CFD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5" name="Text Box 61">
          <a:extLst>
            <a:ext uri="{FF2B5EF4-FFF2-40B4-BE49-F238E27FC236}">
              <a16:creationId xmlns:a16="http://schemas.microsoft.com/office/drawing/2014/main" id="{C35EC70F-12CF-BA45-0C27-D002E0C2B2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6" name="Text Box 62">
          <a:extLst>
            <a:ext uri="{FF2B5EF4-FFF2-40B4-BE49-F238E27FC236}">
              <a16:creationId xmlns:a16="http://schemas.microsoft.com/office/drawing/2014/main" id="{8E11EBAF-2EBF-2A94-25CA-0B5C29A558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7" name="Text Box 63">
          <a:extLst>
            <a:ext uri="{FF2B5EF4-FFF2-40B4-BE49-F238E27FC236}">
              <a16:creationId xmlns:a16="http://schemas.microsoft.com/office/drawing/2014/main" id="{A7E74DDC-5A60-8A83-08F8-F7A9E3600CB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8" name="Text Box 64">
          <a:extLst>
            <a:ext uri="{FF2B5EF4-FFF2-40B4-BE49-F238E27FC236}">
              <a16:creationId xmlns:a16="http://schemas.microsoft.com/office/drawing/2014/main" id="{0796C010-828D-3EE4-ED94-85C782C031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59" name="Text Box 65">
          <a:extLst>
            <a:ext uri="{FF2B5EF4-FFF2-40B4-BE49-F238E27FC236}">
              <a16:creationId xmlns:a16="http://schemas.microsoft.com/office/drawing/2014/main" id="{514A5D27-FAEA-2733-0F20-5BC069B39D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0" name="Text Box 66">
          <a:extLst>
            <a:ext uri="{FF2B5EF4-FFF2-40B4-BE49-F238E27FC236}">
              <a16:creationId xmlns:a16="http://schemas.microsoft.com/office/drawing/2014/main" id="{E802DC8D-7AA2-2F6D-30C0-9EC7DD2F55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1" name="Text Box 67">
          <a:extLst>
            <a:ext uri="{FF2B5EF4-FFF2-40B4-BE49-F238E27FC236}">
              <a16:creationId xmlns:a16="http://schemas.microsoft.com/office/drawing/2014/main" id="{D416934A-5C4C-693D-A9AD-6A068059A0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2" name="Text Box 68">
          <a:extLst>
            <a:ext uri="{FF2B5EF4-FFF2-40B4-BE49-F238E27FC236}">
              <a16:creationId xmlns:a16="http://schemas.microsoft.com/office/drawing/2014/main" id="{661839FC-51C2-8A81-247D-3973365C05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3" name="Text Box 69">
          <a:extLst>
            <a:ext uri="{FF2B5EF4-FFF2-40B4-BE49-F238E27FC236}">
              <a16:creationId xmlns:a16="http://schemas.microsoft.com/office/drawing/2014/main" id="{5F219FB9-B1D2-C174-5818-E98538516F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4" name="Text Box 70">
          <a:extLst>
            <a:ext uri="{FF2B5EF4-FFF2-40B4-BE49-F238E27FC236}">
              <a16:creationId xmlns:a16="http://schemas.microsoft.com/office/drawing/2014/main" id="{140B540A-1DCD-3E77-C2A9-49D0AE56D2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5" name="Text Box 71">
          <a:extLst>
            <a:ext uri="{FF2B5EF4-FFF2-40B4-BE49-F238E27FC236}">
              <a16:creationId xmlns:a16="http://schemas.microsoft.com/office/drawing/2014/main" id="{9338ACE4-E171-D387-5BED-01C82EAE65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6" name="Text Box 72">
          <a:extLst>
            <a:ext uri="{FF2B5EF4-FFF2-40B4-BE49-F238E27FC236}">
              <a16:creationId xmlns:a16="http://schemas.microsoft.com/office/drawing/2014/main" id="{F53F6000-95AF-FA28-7E9B-3208956326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7" name="Text Box 73">
          <a:extLst>
            <a:ext uri="{FF2B5EF4-FFF2-40B4-BE49-F238E27FC236}">
              <a16:creationId xmlns:a16="http://schemas.microsoft.com/office/drawing/2014/main" id="{DBFB21C3-41C9-41C7-6C97-9F00F3F4C3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8" name="Text Box 74">
          <a:extLst>
            <a:ext uri="{FF2B5EF4-FFF2-40B4-BE49-F238E27FC236}">
              <a16:creationId xmlns:a16="http://schemas.microsoft.com/office/drawing/2014/main" id="{FAD570E0-FD5A-2080-D066-64A1C68798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69" name="Text Box 75">
          <a:extLst>
            <a:ext uri="{FF2B5EF4-FFF2-40B4-BE49-F238E27FC236}">
              <a16:creationId xmlns:a16="http://schemas.microsoft.com/office/drawing/2014/main" id="{3F106173-9E97-511A-F128-C08AF931AE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0" name="Text Box 76">
          <a:extLst>
            <a:ext uri="{FF2B5EF4-FFF2-40B4-BE49-F238E27FC236}">
              <a16:creationId xmlns:a16="http://schemas.microsoft.com/office/drawing/2014/main" id="{5A55763A-96E1-63AD-228D-A2A80DCE19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1" name="Text Box 77">
          <a:extLst>
            <a:ext uri="{FF2B5EF4-FFF2-40B4-BE49-F238E27FC236}">
              <a16:creationId xmlns:a16="http://schemas.microsoft.com/office/drawing/2014/main" id="{18AE4B5B-8D11-1527-1677-2EA5085526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2" name="Text Box 78">
          <a:extLst>
            <a:ext uri="{FF2B5EF4-FFF2-40B4-BE49-F238E27FC236}">
              <a16:creationId xmlns:a16="http://schemas.microsoft.com/office/drawing/2014/main" id="{35325198-3571-9DD0-2D0A-10B1E98971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3" name="Text Box 79">
          <a:extLst>
            <a:ext uri="{FF2B5EF4-FFF2-40B4-BE49-F238E27FC236}">
              <a16:creationId xmlns:a16="http://schemas.microsoft.com/office/drawing/2014/main" id="{46599CF3-99FD-F61C-D7FB-0A4E6F9BE2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4" name="Text Box 80">
          <a:extLst>
            <a:ext uri="{FF2B5EF4-FFF2-40B4-BE49-F238E27FC236}">
              <a16:creationId xmlns:a16="http://schemas.microsoft.com/office/drawing/2014/main" id="{A14603FF-8106-086A-D7E0-DB939328BC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5" name="Text Box 81">
          <a:extLst>
            <a:ext uri="{FF2B5EF4-FFF2-40B4-BE49-F238E27FC236}">
              <a16:creationId xmlns:a16="http://schemas.microsoft.com/office/drawing/2014/main" id="{80D2671D-4062-077F-EA5C-C7CBE678DA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6" name="Text Box 82">
          <a:extLst>
            <a:ext uri="{FF2B5EF4-FFF2-40B4-BE49-F238E27FC236}">
              <a16:creationId xmlns:a16="http://schemas.microsoft.com/office/drawing/2014/main" id="{532C1D2A-4546-EAA7-AACF-1F06F8E450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7" name="Text Box 83">
          <a:extLst>
            <a:ext uri="{FF2B5EF4-FFF2-40B4-BE49-F238E27FC236}">
              <a16:creationId xmlns:a16="http://schemas.microsoft.com/office/drawing/2014/main" id="{7971E652-2061-BD43-2FBA-DFF0B3E961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8" name="Text Box 84">
          <a:extLst>
            <a:ext uri="{FF2B5EF4-FFF2-40B4-BE49-F238E27FC236}">
              <a16:creationId xmlns:a16="http://schemas.microsoft.com/office/drawing/2014/main" id="{A43A6CEB-AC8B-50D8-5FE3-0036D73A9D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79" name="Text Box 85">
          <a:extLst>
            <a:ext uri="{FF2B5EF4-FFF2-40B4-BE49-F238E27FC236}">
              <a16:creationId xmlns:a16="http://schemas.microsoft.com/office/drawing/2014/main" id="{0BBD0465-527B-092B-6D87-59C4B9CB84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0" name="Text Box 86">
          <a:extLst>
            <a:ext uri="{FF2B5EF4-FFF2-40B4-BE49-F238E27FC236}">
              <a16:creationId xmlns:a16="http://schemas.microsoft.com/office/drawing/2014/main" id="{4E487F18-A02E-902C-7E1C-CCAF6E342A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1" name="Text Box 87">
          <a:extLst>
            <a:ext uri="{FF2B5EF4-FFF2-40B4-BE49-F238E27FC236}">
              <a16:creationId xmlns:a16="http://schemas.microsoft.com/office/drawing/2014/main" id="{D5B46D7D-F2E9-40A6-0C47-4E6B2FBF7E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2" name="Text Box 88">
          <a:extLst>
            <a:ext uri="{FF2B5EF4-FFF2-40B4-BE49-F238E27FC236}">
              <a16:creationId xmlns:a16="http://schemas.microsoft.com/office/drawing/2014/main" id="{18890FB9-4146-9A31-F49E-60812F3D2B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3" name="Text Box 89">
          <a:extLst>
            <a:ext uri="{FF2B5EF4-FFF2-40B4-BE49-F238E27FC236}">
              <a16:creationId xmlns:a16="http://schemas.microsoft.com/office/drawing/2014/main" id="{BC7DD9F1-5399-D4CA-1FFE-3697123DF4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4" name="Text Box 90">
          <a:extLst>
            <a:ext uri="{FF2B5EF4-FFF2-40B4-BE49-F238E27FC236}">
              <a16:creationId xmlns:a16="http://schemas.microsoft.com/office/drawing/2014/main" id="{7754F49A-CE0A-110D-18BF-91DE7AB3FA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5" name="Text Box 91">
          <a:extLst>
            <a:ext uri="{FF2B5EF4-FFF2-40B4-BE49-F238E27FC236}">
              <a16:creationId xmlns:a16="http://schemas.microsoft.com/office/drawing/2014/main" id="{AE257C6D-985E-7282-8CEB-4A00A37306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6" name="Text Box 92">
          <a:extLst>
            <a:ext uri="{FF2B5EF4-FFF2-40B4-BE49-F238E27FC236}">
              <a16:creationId xmlns:a16="http://schemas.microsoft.com/office/drawing/2014/main" id="{2BC5DD66-FB52-9902-A534-C9B20918DF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7" name="Text Box 93">
          <a:extLst>
            <a:ext uri="{FF2B5EF4-FFF2-40B4-BE49-F238E27FC236}">
              <a16:creationId xmlns:a16="http://schemas.microsoft.com/office/drawing/2014/main" id="{1E3B4E24-A09D-788E-5E8E-E3058973FA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8" name="Text Box 94">
          <a:extLst>
            <a:ext uri="{FF2B5EF4-FFF2-40B4-BE49-F238E27FC236}">
              <a16:creationId xmlns:a16="http://schemas.microsoft.com/office/drawing/2014/main" id="{A467186C-0B88-5D41-3E51-AEA87221F5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89" name="Text Box 95">
          <a:extLst>
            <a:ext uri="{FF2B5EF4-FFF2-40B4-BE49-F238E27FC236}">
              <a16:creationId xmlns:a16="http://schemas.microsoft.com/office/drawing/2014/main" id="{98B71F59-25EB-CB21-D63D-F67CA0D657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0" name="Text Box 96">
          <a:extLst>
            <a:ext uri="{FF2B5EF4-FFF2-40B4-BE49-F238E27FC236}">
              <a16:creationId xmlns:a16="http://schemas.microsoft.com/office/drawing/2014/main" id="{0CCBF044-3FAE-CADE-9FBB-D1318310F7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1" name="Text Box 97">
          <a:extLst>
            <a:ext uri="{FF2B5EF4-FFF2-40B4-BE49-F238E27FC236}">
              <a16:creationId xmlns:a16="http://schemas.microsoft.com/office/drawing/2014/main" id="{59414103-91CF-BEF6-A2FB-C0D314E878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2" name="Text Box 98">
          <a:extLst>
            <a:ext uri="{FF2B5EF4-FFF2-40B4-BE49-F238E27FC236}">
              <a16:creationId xmlns:a16="http://schemas.microsoft.com/office/drawing/2014/main" id="{CDBDD7D6-A7B0-18A4-80EF-76669BF8ACB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3" name="Text Box 99">
          <a:extLst>
            <a:ext uri="{FF2B5EF4-FFF2-40B4-BE49-F238E27FC236}">
              <a16:creationId xmlns:a16="http://schemas.microsoft.com/office/drawing/2014/main" id="{A5E0AD60-C088-A586-A0B4-814FD60A53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4" name="Text Box 100">
          <a:extLst>
            <a:ext uri="{FF2B5EF4-FFF2-40B4-BE49-F238E27FC236}">
              <a16:creationId xmlns:a16="http://schemas.microsoft.com/office/drawing/2014/main" id="{DBCCF539-870F-33D6-D3C9-9079CC598F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5" name="Text Box 101">
          <a:extLst>
            <a:ext uri="{FF2B5EF4-FFF2-40B4-BE49-F238E27FC236}">
              <a16:creationId xmlns:a16="http://schemas.microsoft.com/office/drawing/2014/main" id="{712EEDFB-DD9F-E4C1-964A-060B190AAFA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6" name="Text Box 102">
          <a:extLst>
            <a:ext uri="{FF2B5EF4-FFF2-40B4-BE49-F238E27FC236}">
              <a16:creationId xmlns:a16="http://schemas.microsoft.com/office/drawing/2014/main" id="{5BEC7737-B5FB-1290-47FD-37362EEDC6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7" name="Text Box 103">
          <a:extLst>
            <a:ext uri="{FF2B5EF4-FFF2-40B4-BE49-F238E27FC236}">
              <a16:creationId xmlns:a16="http://schemas.microsoft.com/office/drawing/2014/main" id="{7AE07366-D4BE-B7CA-259E-CF9341D763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8" name="Text Box 104">
          <a:extLst>
            <a:ext uri="{FF2B5EF4-FFF2-40B4-BE49-F238E27FC236}">
              <a16:creationId xmlns:a16="http://schemas.microsoft.com/office/drawing/2014/main" id="{2A4666F7-8B95-65D6-C100-B1D685EFD0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099" name="Text Box 105">
          <a:extLst>
            <a:ext uri="{FF2B5EF4-FFF2-40B4-BE49-F238E27FC236}">
              <a16:creationId xmlns:a16="http://schemas.microsoft.com/office/drawing/2014/main" id="{DE2C9D96-04D0-E388-B6F6-A20F877C0D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0" name="Text Box 106">
          <a:extLst>
            <a:ext uri="{FF2B5EF4-FFF2-40B4-BE49-F238E27FC236}">
              <a16:creationId xmlns:a16="http://schemas.microsoft.com/office/drawing/2014/main" id="{78485B94-848E-F328-79FB-B663084783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1" name="Text Box 107">
          <a:extLst>
            <a:ext uri="{FF2B5EF4-FFF2-40B4-BE49-F238E27FC236}">
              <a16:creationId xmlns:a16="http://schemas.microsoft.com/office/drawing/2014/main" id="{EBA0562A-A528-D8DF-A185-7DD7DD4651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2" name="Text Box 108">
          <a:extLst>
            <a:ext uri="{FF2B5EF4-FFF2-40B4-BE49-F238E27FC236}">
              <a16:creationId xmlns:a16="http://schemas.microsoft.com/office/drawing/2014/main" id="{9285853F-C591-17C6-9102-FFEFBFFA44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3" name="Text Box 109">
          <a:extLst>
            <a:ext uri="{FF2B5EF4-FFF2-40B4-BE49-F238E27FC236}">
              <a16:creationId xmlns:a16="http://schemas.microsoft.com/office/drawing/2014/main" id="{DEDB89E8-A334-654D-6360-256CDDDA3CA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4" name="Text Box 110">
          <a:extLst>
            <a:ext uri="{FF2B5EF4-FFF2-40B4-BE49-F238E27FC236}">
              <a16:creationId xmlns:a16="http://schemas.microsoft.com/office/drawing/2014/main" id="{56C436E9-6404-DADB-9082-55DE013EA3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5" name="Text Box 111">
          <a:extLst>
            <a:ext uri="{FF2B5EF4-FFF2-40B4-BE49-F238E27FC236}">
              <a16:creationId xmlns:a16="http://schemas.microsoft.com/office/drawing/2014/main" id="{002CE6EA-B863-DC06-026F-8E5BC79C15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6" name="Text Box 112">
          <a:extLst>
            <a:ext uri="{FF2B5EF4-FFF2-40B4-BE49-F238E27FC236}">
              <a16:creationId xmlns:a16="http://schemas.microsoft.com/office/drawing/2014/main" id="{F597FF2C-ADEE-170A-D9DE-261FD96DBA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7" name="Text Box 113">
          <a:extLst>
            <a:ext uri="{FF2B5EF4-FFF2-40B4-BE49-F238E27FC236}">
              <a16:creationId xmlns:a16="http://schemas.microsoft.com/office/drawing/2014/main" id="{127762E7-4D0C-96FB-FA70-1BE91759AD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8" name="Text Box 114">
          <a:extLst>
            <a:ext uri="{FF2B5EF4-FFF2-40B4-BE49-F238E27FC236}">
              <a16:creationId xmlns:a16="http://schemas.microsoft.com/office/drawing/2014/main" id="{A31476A7-1C25-9FF1-DFC8-ECC91DE371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09" name="Text Box 115">
          <a:extLst>
            <a:ext uri="{FF2B5EF4-FFF2-40B4-BE49-F238E27FC236}">
              <a16:creationId xmlns:a16="http://schemas.microsoft.com/office/drawing/2014/main" id="{D11DF9BC-6E34-8BC2-D85F-FFEB089C16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0" name="Text Box 116">
          <a:extLst>
            <a:ext uri="{FF2B5EF4-FFF2-40B4-BE49-F238E27FC236}">
              <a16:creationId xmlns:a16="http://schemas.microsoft.com/office/drawing/2014/main" id="{46B53570-9949-F34E-B02F-982DF67F92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1" name="Text Box 117">
          <a:extLst>
            <a:ext uri="{FF2B5EF4-FFF2-40B4-BE49-F238E27FC236}">
              <a16:creationId xmlns:a16="http://schemas.microsoft.com/office/drawing/2014/main" id="{26F2A4DB-73AB-6D45-7341-C35238CCB0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2" name="Text Box 118">
          <a:extLst>
            <a:ext uri="{FF2B5EF4-FFF2-40B4-BE49-F238E27FC236}">
              <a16:creationId xmlns:a16="http://schemas.microsoft.com/office/drawing/2014/main" id="{49153D57-42B1-FFB8-3868-0E218C8A931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3" name="Text Box 119">
          <a:extLst>
            <a:ext uri="{FF2B5EF4-FFF2-40B4-BE49-F238E27FC236}">
              <a16:creationId xmlns:a16="http://schemas.microsoft.com/office/drawing/2014/main" id="{4F025262-8BA6-5C44-F6F7-5D033C0850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4" name="Text Box 120">
          <a:extLst>
            <a:ext uri="{FF2B5EF4-FFF2-40B4-BE49-F238E27FC236}">
              <a16:creationId xmlns:a16="http://schemas.microsoft.com/office/drawing/2014/main" id="{05B70D01-5B38-AE10-891E-F7AC3E6602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5" name="Text Box 121">
          <a:extLst>
            <a:ext uri="{FF2B5EF4-FFF2-40B4-BE49-F238E27FC236}">
              <a16:creationId xmlns:a16="http://schemas.microsoft.com/office/drawing/2014/main" id="{626FC179-6E65-71C9-1A6C-8F0C924F0E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6" name="Text Box 122">
          <a:extLst>
            <a:ext uri="{FF2B5EF4-FFF2-40B4-BE49-F238E27FC236}">
              <a16:creationId xmlns:a16="http://schemas.microsoft.com/office/drawing/2014/main" id="{2FB09999-FA72-A03E-CDBE-1E76BBF5C6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7" name="Text Box 123">
          <a:extLst>
            <a:ext uri="{FF2B5EF4-FFF2-40B4-BE49-F238E27FC236}">
              <a16:creationId xmlns:a16="http://schemas.microsoft.com/office/drawing/2014/main" id="{5BF9B8BB-00A0-0611-2BE9-C17B7546AE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8" name="Text Box 124">
          <a:extLst>
            <a:ext uri="{FF2B5EF4-FFF2-40B4-BE49-F238E27FC236}">
              <a16:creationId xmlns:a16="http://schemas.microsoft.com/office/drawing/2014/main" id="{B53CB96D-088C-BB7E-C1E9-58B58FB6E3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19" name="Text Box 125">
          <a:extLst>
            <a:ext uri="{FF2B5EF4-FFF2-40B4-BE49-F238E27FC236}">
              <a16:creationId xmlns:a16="http://schemas.microsoft.com/office/drawing/2014/main" id="{97C8A4BC-C7D9-9F6F-37DE-0C817BDCE3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0" name="Text Box 126">
          <a:extLst>
            <a:ext uri="{FF2B5EF4-FFF2-40B4-BE49-F238E27FC236}">
              <a16:creationId xmlns:a16="http://schemas.microsoft.com/office/drawing/2014/main" id="{A9E22854-35EE-47D2-125A-64B7961898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1" name="Text Box 127">
          <a:extLst>
            <a:ext uri="{FF2B5EF4-FFF2-40B4-BE49-F238E27FC236}">
              <a16:creationId xmlns:a16="http://schemas.microsoft.com/office/drawing/2014/main" id="{F92F7D09-1662-6602-829D-61CB66A0D7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2" name="Text Box 128">
          <a:extLst>
            <a:ext uri="{FF2B5EF4-FFF2-40B4-BE49-F238E27FC236}">
              <a16:creationId xmlns:a16="http://schemas.microsoft.com/office/drawing/2014/main" id="{EC4A207A-320A-3819-C583-330403265A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3" name="Text Box 129">
          <a:extLst>
            <a:ext uri="{FF2B5EF4-FFF2-40B4-BE49-F238E27FC236}">
              <a16:creationId xmlns:a16="http://schemas.microsoft.com/office/drawing/2014/main" id="{E78325AF-3D2D-9AFA-DB50-8F7760D250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4" name="Text Box 130">
          <a:extLst>
            <a:ext uri="{FF2B5EF4-FFF2-40B4-BE49-F238E27FC236}">
              <a16:creationId xmlns:a16="http://schemas.microsoft.com/office/drawing/2014/main" id="{CC40457E-E6AD-15E4-7A68-DEC264752F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5" name="Text Box 131">
          <a:extLst>
            <a:ext uri="{FF2B5EF4-FFF2-40B4-BE49-F238E27FC236}">
              <a16:creationId xmlns:a16="http://schemas.microsoft.com/office/drawing/2014/main" id="{291F881F-D747-BDE8-2679-1726972277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6" name="Text Box 132">
          <a:extLst>
            <a:ext uri="{FF2B5EF4-FFF2-40B4-BE49-F238E27FC236}">
              <a16:creationId xmlns:a16="http://schemas.microsoft.com/office/drawing/2014/main" id="{23553C9C-BDA1-97F3-84EE-69885AB964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7" name="Text Box 133">
          <a:extLst>
            <a:ext uri="{FF2B5EF4-FFF2-40B4-BE49-F238E27FC236}">
              <a16:creationId xmlns:a16="http://schemas.microsoft.com/office/drawing/2014/main" id="{CFAF1BE7-B434-1FC6-8642-4D1D1E6DEB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8" name="Text Box 134">
          <a:extLst>
            <a:ext uri="{FF2B5EF4-FFF2-40B4-BE49-F238E27FC236}">
              <a16:creationId xmlns:a16="http://schemas.microsoft.com/office/drawing/2014/main" id="{B25C3575-84B5-2D01-60C2-3AF8DA336E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29" name="Text Box 135">
          <a:extLst>
            <a:ext uri="{FF2B5EF4-FFF2-40B4-BE49-F238E27FC236}">
              <a16:creationId xmlns:a16="http://schemas.microsoft.com/office/drawing/2014/main" id="{1F85895D-B1D0-B11D-35D7-6246A1A78C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0" name="Text Box 136">
          <a:extLst>
            <a:ext uri="{FF2B5EF4-FFF2-40B4-BE49-F238E27FC236}">
              <a16:creationId xmlns:a16="http://schemas.microsoft.com/office/drawing/2014/main" id="{3E605BC3-91E7-3268-1C96-D12B18568E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1" name="Text Box 137">
          <a:extLst>
            <a:ext uri="{FF2B5EF4-FFF2-40B4-BE49-F238E27FC236}">
              <a16:creationId xmlns:a16="http://schemas.microsoft.com/office/drawing/2014/main" id="{B5DC0600-52ED-3CA5-57C7-CECEA59FDA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2" name="Text Box 138">
          <a:extLst>
            <a:ext uri="{FF2B5EF4-FFF2-40B4-BE49-F238E27FC236}">
              <a16:creationId xmlns:a16="http://schemas.microsoft.com/office/drawing/2014/main" id="{BD520F53-4365-A841-A399-DA078A094C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3" name="Text Box 139">
          <a:extLst>
            <a:ext uri="{FF2B5EF4-FFF2-40B4-BE49-F238E27FC236}">
              <a16:creationId xmlns:a16="http://schemas.microsoft.com/office/drawing/2014/main" id="{3992DB80-12E3-56A1-6A97-7922C7EAFC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4" name="Text Box 140">
          <a:extLst>
            <a:ext uri="{FF2B5EF4-FFF2-40B4-BE49-F238E27FC236}">
              <a16:creationId xmlns:a16="http://schemas.microsoft.com/office/drawing/2014/main" id="{FB0B4628-5BBF-9E8F-740A-910204AA61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5" name="Text Box 141">
          <a:extLst>
            <a:ext uri="{FF2B5EF4-FFF2-40B4-BE49-F238E27FC236}">
              <a16:creationId xmlns:a16="http://schemas.microsoft.com/office/drawing/2014/main" id="{A5F4474C-9A3C-0F8F-ABA7-F332A2CF80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6" name="Text Box 142">
          <a:extLst>
            <a:ext uri="{FF2B5EF4-FFF2-40B4-BE49-F238E27FC236}">
              <a16:creationId xmlns:a16="http://schemas.microsoft.com/office/drawing/2014/main" id="{2447F683-177B-726A-21FA-E0241A3A04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7" name="Text Box 143">
          <a:extLst>
            <a:ext uri="{FF2B5EF4-FFF2-40B4-BE49-F238E27FC236}">
              <a16:creationId xmlns:a16="http://schemas.microsoft.com/office/drawing/2014/main" id="{197432CF-4CA5-DEA5-DFFD-B389F180EA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8" name="Text Box 144">
          <a:extLst>
            <a:ext uri="{FF2B5EF4-FFF2-40B4-BE49-F238E27FC236}">
              <a16:creationId xmlns:a16="http://schemas.microsoft.com/office/drawing/2014/main" id="{EB151643-B6E6-BDD8-D83F-E4F1364EB6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39" name="Text Box 145">
          <a:extLst>
            <a:ext uri="{FF2B5EF4-FFF2-40B4-BE49-F238E27FC236}">
              <a16:creationId xmlns:a16="http://schemas.microsoft.com/office/drawing/2014/main" id="{C7A8308F-C3C4-03F8-575F-3A48C8200C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0" name="Text Box 146">
          <a:extLst>
            <a:ext uri="{FF2B5EF4-FFF2-40B4-BE49-F238E27FC236}">
              <a16:creationId xmlns:a16="http://schemas.microsoft.com/office/drawing/2014/main" id="{0D6D6E6D-1F2C-DE44-07D3-33F4BD68A3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1" name="Text Box 147">
          <a:extLst>
            <a:ext uri="{FF2B5EF4-FFF2-40B4-BE49-F238E27FC236}">
              <a16:creationId xmlns:a16="http://schemas.microsoft.com/office/drawing/2014/main" id="{1D4DE0EB-6026-A3E2-FC32-90A2035DFF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2" name="Text Box 148">
          <a:extLst>
            <a:ext uri="{FF2B5EF4-FFF2-40B4-BE49-F238E27FC236}">
              <a16:creationId xmlns:a16="http://schemas.microsoft.com/office/drawing/2014/main" id="{BF79E8A5-39F0-8E60-5105-705380BEAC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3" name="Text Box 149">
          <a:extLst>
            <a:ext uri="{FF2B5EF4-FFF2-40B4-BE49-F238E27FC236}">
              <a16:creationId xmlns:a16="http://schemas.microsoft.com/office/drawing/2014/main" id="{7C121312-A2DE-2110-39B1-0AADC0CBC1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4" name="Text Box 150">
          <a:extLst>
            <a:ext uri="{FF2B5EF4-FFF2-40B4-BE49-F238E27FC236}">
              <a16:creationId xmlns:a16="http://schemas.microsoft.com/office/drawing/2014/main" id="{3C9D2ED4-4538-1138-FA8A-1F242023A6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5" name="Text Box 151">
          <a:extLst>
            <a:ext uri="{FF2B5EF4-FFF2-40B4-BE49-F238E27FC236}">
              <a16:creationId xmlns:a16="http://schemas.microsoft.com/office/drawing/2014/main" id="{47B6212E-A3CA-D2D0-551F-16DB3568C1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6" name="Text Box 152">
          <a:extLst>
            <a:ext uri="{FF2B5EF4-FFF2-40B4-BE49-F238E27FC236}">
              <a16:creationId xmlns:a16="http://schemas.microsoft.com/office/drawing/2014/main" id="{D27F181A-012F-8881-43D9-ED6292104C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7" name="Text Box 153">
          <a:extLst>
            <a:ext uri="{FF2B5EF4-FFF2-40B4-BE49-F238E27FC236}">
              <a16:creationId xmlns:a16="http://schemas.microsoft.com/office/drawing/2014/main" id="{701B1179-AEA5-0430-CA0B-96FE00685E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8" name="Text Box 154">
          <a:extLst>
            <a:ext uri="{FF2B5EF4-FFF2-40B4-BE49-F238E27FC236}">
              <a16:creationId xmlns:a16="http://schemas.microsoft.com/office/drawing/2014/main" id="{B11A5EAF-6D41-845D-EB43-0B353EE018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49" name="Text Box 155">
          <a:extLst>
            <a:ext uri="{FF2B5EF4-FFF2-40B4-BE49-F238E27FC236}">
              <a16:creationId xmlns:a16="http://schemas.microsoft.com/office/drawing/2014/main" id="{AE453F73-2BED-4033-D437-3C67804975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0" name="Text Box 156">
          <a:extLst>
            <a:ext uri="{FF2B5EF4-FFF2-40B4-BE49-F238E27FC236}">
              <a16:creationId xmlns:a16="http://schemas.microsoft.com/office/drawing/2014/main" id="{DFBC2D0A-B843-86AA-6941-28B383023F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1" name="Text Box 157">
          <a:extLst>
            <a:ext uri="{FF2B5EF4-FFF2-40B4-BE49-F238E27FC236}">
              <a16:creationId xmlns:a16="http://schemas.microsoft.com/office/drawing/2014/main" id="{92ED7F43-C9AB-E19C-54E3-1279693ACB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2" name="Text Box 158">
          <a:extLst>
            <a:ext uri="{FF2B5EF4-FFF2-40B4-BE49-F238E27FC236}">
              <a16:creationId xmlns:a16="http://schemas.microsoft.com/office/drawing/2014/main" id="{A84F496B-1646-0961-7508-A8C4DF9A1A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3" name="Text Box 159">
          <a:extLst>
            <a:ext uri="{FF2B5EF4-FFF2-40B4-BE49-F238E27FC236}">
              <a16:creationId xmlns:a16="http://schemas.microsoft.com/office/drawing/2014/main" id="{66751DF7-9D19-F9D1-6B31-4BE9B101C6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4" name="Text Box 160">
          <a:extLst>
            <a:ext uri="{FF2B5EF4-FFF2-40B4-BE49-F238E27FC236}">
              <a16:creationId xmlns:a16="http://schemas.microsoft.com/office/drawing/2014/main" id="{F68089E1-4304-109E-1945-C5C0EA0408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5" name="Text Box 161">
          <a:extLst>
            <a:ext uri="{FF2B5EF4-FFF2-40B4-BE49-F238E27FC236}">
              <a16:creationId xmlns:a16="http://schemas.microsoft.com/office/drawing/2014/main" id="{BD34B9F2-C228-1030-D777-F025A5414E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6" name="Text Box 162">
          <a:extLst>
            <a:ext uri="{FF2B5EF4-FFF2-40B4-BE49-F238E27FC236}">
              <a16:creationId xmlns:a16="http://schemas.microsoft.com/office/drawing/2014/main" id="{8FEF337F-28D7-6F5F-186C-9385A6F8C8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7" name="Text Box 163">
          <a:extLst>
            <a:ext uri="{FF2B5EF4-FFF2-40B4-BE49-F238E27FC236}">
              <a16:creationId xmlns:a16="http://schemas.microsoft.com/office/drawing/2014/main" id="{A74F7C46-0090-D885-977D-3519BF4626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8" name="Text Box 164">
          <a:extLst>
            <a:ext uri="{FF2B5EF4-FFF2-40B4-BE49-F238E27FC236}">
              <a16:creationId xmlns:a16="http://schemas.microsoft.com/office/drawing/2014/main" id="{72BB0917-093F-307D-36CE-4FC167FBBB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59" name="Text Box 165">
          <a:extLst>
            <a:ext uri="{FF2B5EF4-FFF2-40B4-BE49-F238E27FC236}">
              <a16:creationId xmlns:a16="http://schemas.microsoft.com/office/drawing/2014/main" id="{544579BF-52EF-CD82-D862-E6102E4A1D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0" name="Text Box 166">
          <a:extLst>
            <a:ext uri="{FF2B5EF4-FFF2-40B4-BE49-F238E27FC236}">
              <a16:creationId xmlns:a16="http://schemas.microsoft.com/office/drawing/2014/main" id="{03DCA9FB-55A6-5E49-09C6-45E910E39C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1" name="Text Box 167">
          <a:extLst>
            <a:ext uri="{FF2B5EF4-FFF2-40B4-BE49-F238E27FC236}">
              <a16:creationId xmlns:a16="http://schemas.microsoft.com/office/drawing/2014/main" id="{D00637EB-3AF5-E798-5E34-B0AB10020D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2" name="Text Box 168">
          <a:extLst>
            <a:ext uri="{FF2B5EF4-FFF2-40B4-BE49-F238E27FC236}">
              <a16:creationId xmlns:a16="http://schemas.microsoft.com/office/drawing/2014/main" id="{217A87E9-CAB0-FDDC-9D74-11299BD651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3" name="Text Box 169">
          <a:extLst>
            <a:ext uri="{FF2B5EF4-FFF2-40B4-BE49-F238E27FC236}">
              <a16:creationId xmlns:a16="http://schemas.microsoft.com/office/drawing/2014/main" id="{78E3026B-DC35-7FA6-BE8E-5A7B8BF087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4" name="Text Box 170">
          <a:extLst>
            <a:ext uri="{FF2B5EF4-FFF2-40B4-BE49-F238E27FC236}">
              <a16:creationId xmlns:a16="http://schemas.microsoft.com/office/drawing/2014/main" id="{045DC6B1-C3B5-7167-D451-06180F166A0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5" name="Text Box 171">
          <a:extLst>
            <a:ext uri="{FF2B5EF4-FFF2-40B4-BE49-F238E27FC236}">
              <a16:creationId xmlns:a16="http://schemas.microsoft.com/office/drawing/2014/main" id="{82550EFC-24BF-04A2-255A-180EDB191D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6" name="Text Box 172">
          <a:extLst>
            <a:ext uri="{FF2B5EF4-FFF2-40B4-BE49-F238E27FC236}">
              <a16:creationId xmlns:a16="http://schemas.microsoft.com/office/drawing/2014/main" id="{9CE3C8E6-B2AF-5998-B865-DE7FEFD0F6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7" name="Text Box 173">
          <a:extLst>
            <a:ext uri="{FF2B5EF4-FFF2-40B4-BE49-F238E27FC236}">
              <a16:creationId xmlns:a16="http://schemas.microsoft.com/office/drawing/2014/main" id="{216A9DDC-CBBD-4D22-CB40-362B440B24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8" name="Text Box 174">
          <a:extLst>
            <a:ext uri="{FF2B5EF4-FFF2-40B4-BE49-F238E27FC236}">
              <a16:creationId xmlns:a16="http://schemas.microsoft.com/office/drawing/2014/main" id="{8942B8A1-0643-0B69-AD5A-88C2D0D0E1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69" name="Text Box 175">
          <a:extLst>
            <a:ext uri="{FF2B5EF4-FFF2-40B4-BE49-F238E27FC236}">
              <a16:creationId xmlns:a16="http://schemas.microsoft.com/office/drawing/2014/main" id="{7A4E6688-5BA6-0DDA-7ABE-9A447E228D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0" name="Text Box 176">
          <a:extLst>
            <a:ext uri="{FF2B5EF4-FFF2-40B4-BE49-F238E27FC236}">
              <a16:creationId xmlns:a16="http://schemas.microsoft.com/office/drawing/2014/main" id="{7550BC84-A004-91AD-8E43-B5C0635687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1" name="Text Box 177">
          <a:extLst>
            <a:ext uri="{FF2B5EF4-FFF2-40B4-BE49-F238E27FC236}">
              <a16:creationId xmlns:a16="http://schemas.microsoft.com/office/drawing/2014/main" id="{8519CB42-C4FF-E2E7-DB1C-80208FC51D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2" name="Text Box 178">
          <a:extLst>
            <a:ext uri="{FF2B5EF4-FFF2-40B4-BE49-F238E27FC236}">
              <a16:creationId xmlns:a16="http://schemas.microsoft.com/office/drawing/2014/main" id="{454EA1CD-4EB6-DDAB-C685-3E2D17FB14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3" name="Text Box 179">
          <a:extLst>
            <a:ext uri="{FF2B5EF4-FFF2-40B4-BE49-F238E27FC236}">
              <a16:creationId xmlns:a16="http://schemas.microsoft.com/office/drawing/2014/main" id="{7830F533-8E34-9B8D-B09A-78AB90BEE26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4" name="Text Box 180">
          <a:extLst>
            <a:ext uri="{FF2B5EF4-FFF2-40B4-BE49-F238E27FC236}">
              <a16:creationId xmlns:a16="http://schemas.microsoft.com/office/drawing/2014/main" id="{8830E180-A2E9-5BD7-2B6C-8323298FA88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5" name="Text Box 181">
          <a:extLst>
            <a:ext uri="{FF2B5EF4-FFF2-40B4-BE49-F238E27FC236}">
              <a16:creationId xmlns:a16="http://schemas.microsoft.com/office/drawing/2014/main" id="{47043A16-EE7C-6AEA-89FA-2A0911056C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6" name="Text Box 182">
          <a:extLst>
            <a:ext uri="{FF2B5EF4-FFF2-40B4-BE49-F238E27FC236}">
              <a16:creationId xmlns:a16="http://schemas.microsoft.com/office/drawing/2014/main" id="{D5805B1D-A66D-AB9D-EBBE-79AE843FA7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7" name="Text Box 183">
          <a:extLst>
            <a:ext uri="{FF2B5EF4-FFF2-40B4-BE49-F238E27FC236}">
              <a16:creationId xmlns:a16="http://schemas.microsoft.com/office/drawing/2014/main" id="{B496F3EF-90FC-A76F-DAC7-427305E177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8" name="Text Box 184">
          <a:extLst>
            <a:ext uri="{FF2B5EF4-FFF2-40B4-BE49-F238E27FC236}">
              <a16:creationId xmlns:a16="http://schemas.microsoft.com/office/drawing/2014/main" id="{D6F0182C-5769-D4E6-322D-6139ED8F03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79" name="Text Box 185">
          <a:extLst>
            <a:ext uri="{FF2B5EF4-FFF2-40B4-BE49-F238E27FC236}">
              <a16:creationId xmlns:a16="http://schemas.microsoft.com/office/drawing/2014/main" id="{BFDEE4F6-3669-E2D6-2816-A85A52A6A5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0" name="Text Box 186">
          <a:extLst>
            <a:ext uri="{FF2B5EF4-FFF2-40B4-BE49-F238E27FC236}">
              <a16:creationId xmlns:a16="http://schemas.microsoft.com/office/drawing/2014/main" id="{E063DDBD-B696-4062-95E4-A6B408194F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1" name="Text Box 187">
          <a:extLst>
            <a:ext uri="{FF2B5EF4-FFF2-40B4-BE49-F238E27FC236}">
              <a16:creationId xmlns:a16="http://schemas.microsoft.com/office/drawing/2014/main" id="{B987E3F2-F705-18B6-E3FD-BD3CC68943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2" name="Text Box 188">
          <a:extLst>
            <a:ext uri="{FF2B5EF4-FFF2-40B4-BE49-F238E27FC236}">
              <a16:creationId xmlns:a16="http://schemas.microsoft.com/office/drawing/2014/main" id="{7C1681F4-2741-1D10-A396-C6333631EA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3" name="Text Box 189">
          <a:extLst>
            <a:ext uri="{FF2B5EF4-FFF2-40B4-BE49-F238E27FC236}">
              <a16:creationId xmlns:a16="http://schemas.microsoft.com/office/drawing/2014/main" id="{A0AD9782-4D8D-69B5-5D53-D752CF789D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4" name="Text Box 190">
          <a:extLst>
            <a:ext uri="{FF2B5EF4-FFF2-40B4-BE49-F238E27FC236}">
              <a16:creationId xmlns:a16="http://schemas.microsoft.com/office/drawing/2014/main" id="{0DC7BB95-D6D1-0D18-BD8B-EB0B320E9D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5" name="Text Box 191">
          <a:extLst>
            <a:ext uri="{FF2B5EF4-FFF2-40B4-BE49-F238E27FC236}">
              <a16:creationId xmlns:a16="http://schemas.microsoft.com/office/drawing/2014/main" id="{248857F8-1F23-1BED-65E1-6C681B1699C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6" name="Text Box 192">
          <a:extLst>
            <a:ext uri="{FF2B5EF4-FFF2-40B4-BE49-F238E27FC236}">
              <a16:creationId xmlns:a16="http://schemas.microsoft.com/office/drawing/2014/main" id="{6B8B328A-AA28-092E-B4EA-F40006596A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7" name="Text Box 193">
          <a:extLst>
            <a:ext uri="{FF2B5EF4-FFF2-40B4-BE49-F238E27FC236}">
              <a16:creationId xmlns:a16="http://schemas.microsoft.com/office/drawing/2014/main" id="{9FA11776-B0C0-8BDF-8F10-FFA2423FB9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8" name="Text Box 194">
          <a:extLst>
            <a:ext uri="{FF2B5EF4-FFF2-40B4-BE49-F238E27FC236}">
              <a16:creationId xmlns:a16="http://schemas.microsoft.com/office/drawing/2014/main" id="{219069EA-9693-DE55-E340-440AA05EA9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89" name="Text Box 195">
          <a:extLst>
            <a:ext uri="{FF2B5EF4-FFF2-40B4-BE49-F238E27FC236}">
              <a16:creationId xmlns:a16="http://schemas.microsoft.com/office/drawing/2014/main" id="{227956C4-F031-C714-90B9-8C8B58F280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0" name="Text Box 196">
          <a:extLst>
            <a:ext uri="{FF2B5EF4-FFF2-40B4-BE49-F238E27FC236}">
              <a16:creationId xmlns:a16="http://schemas.microsoft.com/office/drawing/2014/main" id="{0AF1AA45-BA96-B902-12ED-7F40ECF4A5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1" name="Text Box 197">
          <a:extLst>
            <a:ext uri="{FF2B5EF4-FFF2-40B4-BE49-F238E27FC236}">
              <a16:creationId xmlns:a16="http://schemas.microsoft.com/office/drawing/2014/main" id="{DC1323B0-F6EC-9C7E-BA19-43EE745AAB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2" name="Text Box 198">
          <a:extLst>
            <a:ext uri="{FF2B5EF4-FFF2-40B4-BE49-F238E27FC236}">
              <a16:creationId xmlns:a16="http://schemas.microsoft.com/office/drawing/2014/main" id="{2883E77B-1693-5B0A-BED4-6BFF97057B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3" name="Text Box 199">
          <a:extLst>
            <a:ext uri="{FF2B5EF4-FFF2-40B4-BE49-F238E27FC236}">
              <a16:creationId xmlns:a16="http://schemas.microsoft.com/office/drawing/2014/main" id="{DDD323DD-7AB8-3886-3517-9AF97DC591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4" name="Text Box 200">
          <a:extLst>
            <a:ext uri="{FF2B5EF4-FFF2-40B4-BE49-F238E27FC236}">
              <a16:creationId xmlns:a16="http://schemas.microsoft.com/office/drawing/2014/main" id="{FB388092-6F0E-D9B0-F353-87ED8F2D46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5" name="Text Box 201">
          <a:extLst>
            <a:ext uri="{FF2B5EF4-FFF2-40B4-BE49-F238E27FC236}">
              <a16:creationId xmlns:a16="http://schemas.microsoft.com/office/drawing/2014/main" id="{F1806B31-40B2-812A-AB64-36024EECB8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6" name="Text Box 202">
          <a:extLst>
            <a:ext uri="{FF2B5EF4-FFF2-40B4-BE49-F238E27FC236}">
              <a16:creationId xmlns:a16="http://schemas.microsoft.com/office/drawing/2014/main" id="{3CEAE9B9-046C-21D6-A47B-4673E754BD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7" name="Text Box 203">
          <a:extLst>
            <a:ext uri="{FF2B5EF4-FFF2-40B4-BE49-F238E27FC236}">
              <a16:creationId xmlns:a16="http://schemas.microsoft.com/office/drawing/2014/main" id="{F1610813-F9BD-823C-49E1-0E18758803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8" name="Text Box 204">
          <a:extLst>
            <a:ext uri="{FF2B5EF4-FFF2-40B4-BE49-F238E27FC236}">
              <a16:creationId xmlns:a16="http://schemas.microsoft.com/office/drawing/2014/main" id="{A813CC68-F612-F6E8-1397-E35F22D6A0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199" name="Text Box 205">
          <a:extLst>
            <a:ext uri="{FF2B5EF4-FFF2-40B4-BE49-F238E27FC236}">
              <a16:creationId xmlns:a16="http://schemas.microsoft.com/office/drawing/2014/main" id="{C24BDFB0-44FA-D2F8-AA51-398E1D65F9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0" name="Text Box 206">
          <a:extLst>
            <a:ext uri="{FF2B5EF4-FFF2-40B4-BE49-F238E27FC236}">
              <a16:creationId xmlns:a16="http://schemas.microsoft.com/office/drawing/2014/main" id="{04EC3F5A-0A90-56A7-9D78-244A1B3E20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1" name="Text Box 207">
          <a:extLst>
            <a:ext uri="{FF2B5EF4-FFF2-40B4-BE49-F238E27FC236}">
              <a16:creationId xmlns:a16="http://schemas.microsoft.com/office/drawing/2014/main" id="{6DB72235-97ED-9D6F-BA2B-8BE08D4817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2" name="Text Box 208">
          <a:extLst>
            <a:ext uri="{FF2B5EF4-FFF2-40B4-BE49-F238E27FC236}">
              <a16:creationId xmlns:a16="http://schemas.microsoft.com/office/drawing/2014/main" id="{06D85E98-3414-351F-676A-8AF81C3E19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3" name="Text Box 209">
          <a:extLst>
            <a:ext uri="{FF2B5EF4-FFF2-40B4-BE49-F238E27FC236}">
              <a16:creationId xmlns:a16="http://schemas.microsoft.com/office/drawing/2014/main" id="{0B5EBA4C-B251-76EA-752E-537A233496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4" name="Text Box 210">
          <a:extLst>
            <a:ext uri="{FF2B5EF4-FFF2-40B4-BE49-F238E27FC236}">
              <a16:creationId xmlns:a16="http://schemas.microsoft.com/office/drawing/2014/main" id="{2BBA015D-D2E4-0BB1-FF65-80CEEE18A6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5" name="Text Box 211">
          <a:extLst>
            <a:ext uri="{FF2B5EF4-FFF2-40B4-BE49-F238E27FC236}">
              <a16:creationId xmlns:a16="http://schemas.microsoft.com/office/drawing/2014/main" id="{D5A09CFC-B50A-C680-47C5-E19B57A210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6" name="Text Box 212">
          <a:extLst>
            <a:ext uri="{FF2B5EF4-FFF2-40B4-BE49-F238E27FC236}">
              <a16:creationId xmlns:a16="http://schemas.microsoft.com/office/drawing/2014/main" id="{54154C15-4E6B-5A61-7735-75FC86E60F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7" name="Text Box 213">
          <a:extLst>
            <a:ext uri="{FF2B5EF4-FFF2-40B4-BE49-F238E27FC236}">
              <a16:creationId xmlns:a16="http://schemas.microsoft.com/office/drawing/2014/main" id="{55A908C2-115D-2B8B-30E0-1BC9EC9062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8" name="Text Box 214">
          <a:extLst>
            <a:ext uri="{FF2B5EF4-FFF2-40B4-BE49-F238E27FC236}">
              <a16:creationId xmlns:a16="http://schemas.microsoft.com/office/drawing/2014/main" id="{A7C314DB-3669-9A34-EFD8-E45988CF84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09" name="Text Box 215">
          <a:extLst>
            <a:ext uri="{FF2B5EF4-FFF2-40B4-BE49-F238E27FC236}">
              <a16:creationId xmlns:a16="http://schemas.microsoft.com/office/drawing/2014/main" id="{F591D343-2AF9-978B-A948-B26ADA026E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0" name="Text Box 216">
          <a:extLst>
            <a:ext uri="{FF2B5EF4-FFF2-40B4-BE49-F238E27FC236}">
              <a16:creationId xmlns:a16="http://schemas.microsoft.com/office/drawing/2014/main" id="{9317377B-C038-7B09-C8A6-22D2760279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1" name="Text Box 217">
          <a:extLst>
            <a:ext uri="{FF2B5EF4-FFF2-40B4-BE49-F238E27FC236}">
              <a16:creationId xmlns:a16="http://schemas.microsoft.com/office/drawing/2014/main" id="{35249761-E012-18BA-CFBA-85B8ADC5C7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2" name="Text Box 218">
          <a:extLst>
            <a:ext uri="{FF2B5EF4-FFF2-40B4-BE49-F238E27FC236}">
              <a16:creationId xmlns:a16="http://schemas.microsoft.com/office/drawing/2014/main" id="{366D2EBE-E841-0B1D-991C-24750A99DF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3" name="Text Box 219">
          <a:extLst>
            <a:ext uri="{FF2B5EF4-FFF2-40B4-BE49-F238E27FC236}">
              <a16:creationId xmlns:a16="http://schemas.microsoft.com/office/drawing/2014/main" id="{6BB138A1-86F1-B509-B337-BB38F17DA2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4" name="Text Box 220">
          <a:extLst>
            <a:ext uri="{FF2B5EF4-FFF2-40B4-BE49-F238E27FC236}">
              <a16:creationId xmlns:a16="http://schemas.microsoft.com/office/drawing/2014/main" id="{4223DF47-4515-9D04-076F-36521E5CFB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5" name="Text Box 221">
          <a:extLst>
            <a:ext uri="{FF2B5EF4-FFF2-40B4-BE49-F238E27FC236}">
              <a16:creationId xmlns:a16="http://schemas.microsoft.com/office/drawing/2014/main" id="{D3CB826E-4D29-6F7A-BAE7-7180F4F08B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6" name="Text Box 222">
          <a:extLst>
            <a:ext uri="{FF2B5EF4-FFF2-40B4-BE49-F238E27FC236}">
              <a16:creationId xmlns:a16="http://schemas.microsoft.com/office/drawing/2014/main" id="{86A67D32-B58E-FF8D-7761-BDBE04EF89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7" name="Text Box 223">
          <a:extLst>
            <a:ext uri="{FF2B5EF4-FFF2-40B4-BE49-F238E27FC236}">
              <a16:creationId xmlns:a16="http://schemas.microsoft.com/office/drawing/2014/main" id="{27895C07-6555-A125-8894-15851C48EC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8" name="Text Box 224">
          <a:extLst>
            <a:ext uri="{FF2B5EF4-FFF2-40B4-BE49-F238E27FC236}">
              <a16:creationId xmlns:a16="http://schemas.microsoft.com/office/drawing/2014/main" id="{75677CD8-5CBD-C141-6EBC-CCCC3D8759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19" name="Text Box 225">
          <a:extLst>
            <a:ext uri="{FF2B5EF4-FFF2-40B4-BE49-F238E27FC236}">
              <a16:creationId xmlns:a16="http://schemas.microsoft.com/office/drawing/2014/main" id="{14490F62-6AC1-9203-4A97-E447DDDB5F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0" name="Text Box 226">
          <a:extLst>
            <a:ext uri="{FF2B5EF4-FFF2-40B4-BE49-F238E27FC236}">
              <a16:creationId xmlns:a16="http://schemas.microsoft.com/office/drawing/2014/main" id="{7E11F7CF-5BA7-D0C0-094A-763DB52E80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1" name="Text Box 227">
          <a:extLst>
            <a:ext uri="{FF2B5EF4-FFF2-40B4-BE49-F238E27FC236}">
              <a16:creationId xmlns:a16="http://schemas.microsoft.com/office/drawing/2014/main" id="{4180A54C-5E86-455D-E0F0-7FCDB4F084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2" name="Text Box 228">
          <a:extLst>
            <a:ext uri="{FF2B5EF4-FFF2-40B4-BE49-F238E27FC236}">
              <a16:creationId xmlns:a16="http://schemas.microsoft.com/office/drawing/2014/main" id="{0A55D1D3-B7A2-2952-1FE2-BCA7CD05A8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3" name="Text Box 229">
          <a:extLst>
            <a:ext uri="{FF2B5EF4-FFF2-40B4-BE49-F238E27FC236}">
              <a16:creationId xmlns:a16="http://schemas.microsoft.com/office/drawing/2014/main" id="{AA8FA17C-8694-8E81-6701-DE5C3F5194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4" name="Text Box 230">
          <a:extLst>
            <a:ext uri="{FF2B5EF4-FFF2-40B4-BE49-F238E27FC236}">
              <a16:creationId xmlns:a16="http://schemas.microsoft.com/office/drawing/2014/main" id="{C607BA78-86C2-F5D7-8FB0-C70D58DBA2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5" name="Text Box 231">
          <a:extLst>
            <a:ext uri="{FF2B5EF4-FFF2-40B4-BE49-F238E27FC236}">
              <a16:creationId xmlns:a16="http://schemas.microsoft.com/office/drawing/2014/main" id="{2AA3A032-9950-6187-E723-7DDA45B15C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6" name="Text Box 232">
          <a:extLst>
            <a:ext uri="{FF2B5EF4-FFF2-40B4-BE49-F238E27FC236}">
              <a16:creationId xmlns:a16="http://schemas.microsoft.com/office/drawing/2014/main" id="{A3E61A1D-7CCA-14A3-EA5A-072F2271C3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7" name="Text Box 233">
          <a:extLst>
            <a:ext uri="{FF2B5EF4-FFF2-40B4-BE49-F238E27FC236}">
              <a16:creationId xmlns:a16="http://schemas.microsoft.com/office/drawing/2014/main" id="{95432DAC-1D23-856C-82E2-3B57D3648B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8" name="Text Box 234">
          <a:extLst>
            <a:ext uri="{FF2B5EF4-FFF2-40B4-BE49-F238E27FC236}">
              <a16:creationId xmlns:a16="http://schemas.microsoft.com/office/drawing/2014/main" id="{E5ED8F92-7A48-1462-5F93-FC9B9A03D7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29" name="Text Box 235">
          <a:extLst>
            <a:ext uri="{FF2B5EF4-FFF2-40B4-BE49-F238E27FC236}">
              <a16:creationId xmlns:a16="http://schemas.microsoft.com/office/drawing/2014/main" id="{26D9FE47-1450-8057-0342-1BC9063C28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0" name="Text Box 236">
          <a:extLst>
            <a:ext uri="{FF2B5EF4-FFF2-40B4-BE49-F238E27FC236}">
              <a16:creationId xmlns:a16="http://schemas.microsoft.com/office/drawing/2014/main" id="{DEE56F85-8245-03C6-58DF-C006762C7F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1" name="Text Box 237">
          <a:extLst>
            <a:ext uri="{FF2B5EF4-FFF2-40B4-BE49-F238E27FC236}">
              <a16:creationId xmlns:a16="http://schemas.microsoft.com/office/drawing/2014/main" id="{0F740C04-1163-C6C3-E1B4-1E16890DBE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2" name="Text Box 238">
          <a:extLst>
            <a:ext uri="{FF2B5EF4-FFF2-40B4-BE49-F238E27FC236}">
              <a16:creationId xmlns:a16="http://schemas.microsoft.com/office/drawing/2014/main" id="{1D3E76F2-1BEB-3E25-2085-04BD9B1D84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3" name="Text Box 239">
          <a:extLst>
            <a:ext uri="{FF2B5EF4-FFF2-40B4-BE49-F238E27FC236}">
              <a16:creationId xmlns:a16="http://schemas.microsoft.com/office/drawing/2014/main" id="{F11FDC71-E158-4184-81D6-301DF14FB9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4" name="Text Box 240">
          <a:extLst>
            <a:ext uri="{FF2B5EF4-FFF2-40B4-BE49-F238E27FC236}">
              <a16:creationId xmlns:a16="http://schemas.microsoft.com/office/drawing/2014/main" id="{0BACD1FC-44CB-B8EE-4AED-F4C0BE65F9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5" name="Text Box 241">
          <a:extLst>
            <a:ext uri="{FF2B5EF4-FFF2-40B4-BE49-F238E27FC236}">
              <a16:creationId xmlns:a16="http://schemas.microsoft.com/office/drawing/2014/main" id="{1D0DE8B9-E5DF-9647-653B-0EC78D6804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6" name="Text Box 242">
          <a:extLst>
            <a:ext uri="{FF2B5EF4-FFF2-40B4-BE49-F238E27FC236}">
              <a16:creationId xmlns:a16="http://schemas.microsoft.com/office/drawing/2014/main" id="{3F29A614-22AF-0FE4-AF62-30353B9294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7" name="Text Box 243">
          <a:extLst>
            <a:ext uri="{FF2B5EF4-FFF2-40B4-BE49-F238E27FC236}">
              <a16:creationId xmlns:a16="http://schemas.microsoft.com/office/drawing/2014/main" id="{5166B1DA-207E-0B08-A30B-373CB076FFE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8" name="Text Box 244">
          <a:extLst>
            <a:ext uri="{FF2B5EF4-FFF2-40B4-BE49-F238E27FC236}">
              <a16:creationId xmlns:a16="http://schemas.microsoft.com/office/drawing/2014/main" id="{CD033E71-323A-35EE-2C11-AD8DA0FEB2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39" name="Text Box 245">
          <a:extLst>
            <a:ext uri="{FF2B5EF4-FFF2-40B4-BE49-F238E27FC236}">
              <a16:creationId xmlns:a16="http://schemas.microsoft.com/office/drawing/2014/main" id="{9B126EB4-DE3E-A8E9-4FF0-030BFE6958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0" name="Text Box 246">
          <a:extLst>
            <a:ext uri="{FF2B5EF4-FFF2-40B4-BE49-F238E27FC236}">
              <a16:creationId xmlns:a16="http://schemas.microsoft.com/office/drawing/2014/main" id="{95FADD7C-F1A9-28BA-4B52-70D50E9296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1" name="Text Box 247">
          <a:extLst>
            <a:ext uri="{FF2B5EF4-FFF2-40B4-BE49-F238E27FC236}">
              <a16:creationId xmlns:a16="http://schemas.microsoft.com/office/drawing/2014/main" id="{8A397579-384F-A490-7614-36DD986DA8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2" name="Text Box 248">
          <a:extLst>
            <a:ext uri="{FF2B5EF4-FFF2-40B4-BE49-F238E27FC236}">
              <a16:creationId xmlns:a16="http://schemas.microsoft.com/office/drawing/2014/main" id="{015617CF-7756-38CC-E57C-CA9BBACC68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3" name="Text Box 249">
          <a:extLst>
            <a:ext uri="{FF2B5EF4-FFF2-40B4-BE49-F238E27FC236}">
              <a16:creationId xmlns:a16="http://schemas.microsoft.com/office/drawing/2014/main" id="{86F8FCC7-F2D0-B8F6-3F34-8E57B54B79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4" name="Text Box 250">
          <a:extLst>
            <a:ext uri="{FF2B5EF4-FFF2-40B4-BE49-F238E27FC236}">
              <a16:creationId xmlns:a16="http://schemas.microsoft.com/office/drawing/2014/main" id="{34FDE41E-2B42-D4DD-898B-8ABD55998F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5" name="Text Box 251">
          <a:extLst>
            <a:ext uri="{FF2B5EF4-FFF2-40B4-BE49-F238E27FC236}">
              <a16:creationId xmlns:a16="http://schemas.microsoft.com/office/drawing/2014/main" id="{4974879E-5ED7-8C4A-92EF-3D0344EC103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6" name="Text Box 252">
          <a:extLst>
            <a:ext uri="{FF2B5EF4-FFF2-40B4-BE49-F238E27FC236}">
              <a16:creationId xmlns:a16="http://schemas.microsoft.com/office/drawing/2014/main" id="{8D3E252F-5910-BD9D-441F-4080286F24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7" name="Text Box 253">
          <a:extLst>
            <a:ext uri="{FF2B5EF4-FFF2-40B4-BE49-F238E27FC236}">
              <a16:creationId xmlns:a16="http://schemas.microsoft.com/office/drawing/2014/main" id="{F92A8389-7211-1F4E-1C73-4C4FACC2654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8" name="Text Box 254">
          <a:extLst>
            <a:ext uri="{FF2B5EF4-FFF2-40B4-BE49-F238E27FC236}">
              <a16:creationId xmlns:a16="http://schemas.microsoft.com/office/drawing/2014/main" id="{BB1ED9A4-0ED0-F851-E887-A79BF37F12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49" name="Text Box 255">
          <a:extLst>
            <a:ext uri="{FF2B5EF4-FFF2-40B4-BE49-F238E27FC236}">
              <a16:creationId xmlns:a16="http://schemas.microsoft.com/office/drawing/2014/main" id="{5F42BFDA-1514-1542-F91A-038D2FE19B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0" name="Text Box 256">
          <a:extLst>
            <a:ext uri="{FF2B5EF4-FFF2-40B4-BE49-F238E27FC236}">
              <a16:creationId xmlns:a16="http://schemas.microsoft.com/office/drawing/2014/main" id="{8E7E1D8C-D5A1-CB8C-5AA8-6D9AEB41D1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1" name="Text Box 257">
          <a:extLst>
            <a:ext uri="{FF2B5EF4-FFF2-40B4-BE49-F238E27FC236}">
              <a16:creationId xmlns:a16="http://schemas.microsoft.com/office/drawing/2014/main" id="{C0821F66-3910-48A2-BF9E-D88A84AA4F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2" name="Text Box 258">
          <a:extLst>
            <a:ext uri="{FF2B5EF4-FFF2-40B4-BE49-F238E27FC236}">
              <a16:creationId xmlns:a16="http://schemas.microsoft.com/office/drawing/2014/main" id="{41C55FA5-B316-6705-E9E5-3092231E95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3" name="Text Box 259">
          <a:extLst>
            <a:ext uri="{FF2B5EF4-FFF2-40B4-BE49-F238E27FC236}">
              <a16:creationId xmlns:a16="http://schemas.microsoft.com/office/drawing/2014/main" id="{F892C97B-5F48-9A04-5A3A-E2F992E55D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4" name="Text Box 260">
          <a:extLst>
            <a:ext uri="{FF2B5EF4-FFF2-40B4-BE49-F238E27FC236}">
              <a16:creationId xmlns:a16="http://schemas.microsoft.com/office/drawing/2014/main" id="{7531F9EF-AB3E-5046-3817-B910DB91506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5" name="Text Box 261">
          <a:extLst>
            <a:ext uri="{FF2B5EF4-FFF2-40B4-BE49-F238E27FC236}">
              <a16:creationId xmlns:a16="http://schemas.microsoft.com/office/drawing/2014/main" id="{1389A9AD-79CA-CBC3-E748-5DF5470A33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6" name="Text Box 262">
          <a:extLst>
            <a:ext uri="{FF2B5EF4-FFF2-40B4-BE49-F238E27FC236}">
              <a16:creationId xmlns:a16="http://schemas.microsoft.com/office/drawing/2014/main" id="{F2FCB5A7-7145-DC24-E65F-7B1E40254A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7" name="Text Box 263">
          <a:extLst>
            <a:ext uri="{FF2B5EF4-FFF2-40B4-BE49-F238E27FC236}">
              <a16:creationId xmlns:a16="http://schemas.microsoft.com/office/drawing/2014/main" id="{D6E0CF39-AA3D-1041-32F1-7273A4AD64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8" name="Text Box 264">
          <a:extLst>
            <a:ext uri="{FF2B5EF4-FFF2-40B4-BE49-F238E27FC236}">
              <a16:creationId xmlns:a16="http://schemas.microsoft.com/office/drawing/2014/main" id="{2BC8D10C-D561-26A3-892B-B3C8C78E861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59" name="Text Box 265">
          <a:extLst>
            <a:ext uri="{FF2B5EF4-FFF2-40B4-BE49-F238E27FC236}">
              <a16:creationId xmlns:a16="http://schemas.microsoft.com/office/drawing/2014/main" id="{816D2CBF-ED82-EBFB-8B9B-4BEF3219E9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0" name="Text Box 266">
          <a:extLst>
            <a:ext uri="{FF2B5EF4-FFF2-40B4-BE49-F238E27FC236}">
              <a16:creationId xmlns:a16="http://schemas.microsoft.com/office/drawing/2014/main" id="{FA54AB77-A300-9783-F444-DD7BCAE4BC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1" name="Text Box 267">
          <a:extLst>
            <a:ext uri="{FF2B5EF4-FFF2-40B4-BE49-F238E27FC236}">
              <a16:creationId xmlns:a16="http://schemas.microsoft.com/office/drawing/2014/main" id="{7C4F9B9C-7DD0-96B6-6DF0-89E84F8596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2" name="Text Box 268">
          <a:extLst>
            <a:ext uri="{FF2B5EF4-FFF2-40B4-BE49-F238E27FC236}">
              <a16:creationId xmlns:a16="http://schemas.microsoft.com/office/drawing/2014/main" id="{7CE972B5-5C04-0155-AB02-1C66E2E01E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3" name="Text Box 269">
          <a:extLst>
            <a:ext uri="{FF2B5EF4-FFF2-40B4-BE49-F238E27FC236}">
              <a16:creationId xmlns:a16="http://schemas.microsoft.com/office/drawing/2014/main" id="{839A085E-EFC0-EDBB-2224-58D71DCC9A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4" name="Text Box 270">
          <a:extLst>
            <a:ext uri="{FF2B5EF4-FFF2-40B4-BE49-F238E27FC236}">
              <a16:creationId xmlns:a16="http://schemas.microsoft.com/office/drawing/2014/main" id="{630BB75D-940F-CA49-D0E5-22DC4BF504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5" name="Text Box 271">
          <a:extLst>
            <a:ext uri="{FF2B5EF4-FFF2-40B4-BE49-F238E27FC236}">
              <a16:creationId xmlns:a16="http://schemas.microsoft.com/office/drawing/2014/main" id="{5C7B5C51-A368-2F27-C15F-2D23052D5E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6" name="Text Box 272">
          <a:extLst>
            <a:ext uri="{FF2B5EF4-FFF2-40B4-BE49-F238E27FC236}">
              <a16:creationId xmlns:a16="http://schemas.microsoft.com/office/drawing/2014/main" id="{7AD6EAC3-C98D-33D3-36A4-6BD6DCA838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7" name="Text Box 273">
          <a:extLst>
            <a:ext uri="{FF2B5EF4-FFF2-40B4-BE49-F238E27FC236}">
              <a16:creationId xmlns:a16="http://schemas.microsoft.com/office/drawing/2014/main" id="{F457E765-2CDA-7EE3-CD63-C737EE53FC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8" name="Text Box 274">
          <a:extLst>
            <a:ext uri="{FF2B5EF4-FFF2-40B4-BE49-F238E27FC236}">
              <a16:creationId xmlns:a16="http://schemas.microsoft.com/office/drawing/2014/main" id="{06E6877B-9F5C-2054-5448-88DD89FD919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69" name="Text Box 275">
          <a:extLst>
            <a:ext uri="{FF2B5EF4-FFF2-40B4-BE49-F238E27FC236}">
              <a16:creationId xmlns:a16="http://schemas.microsoft.com/office/drawing/2014/main" id="{8CD13B72-C2D4-3265-A05E-B5678948B1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0" name="Text Box 276">
          <a:extLst>
            <a:ext uri="{FF2B5EF4-FFF2-40B4-BE49-F238E27FC236}">
              <a16:creationId xmlns:a16="http://schemas.microsoft.com/office/drawing/2014/main" id="{8991B838-D796-0EDB-2C99-FE1A78D8F6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1" name="Text Box 277">
          <a:extLst>
            <a:ext uri="{FF2B5EF4-FFF2-40B4-BE49-F238E27FC236}">
              <a16:creationId xmlns:a16="http://schemas.microsoft.com/office/drawing/2014/main" id="{819E7910-C5BC-1CCE-A210-AD85C3D2AF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2" name="Text Box 278">
          <a:extLst>
            <a:ext uri="{FF2B5EF4-FFF2-40B4-BE49-F238E27FC236}">
              <a16:creationId xmlns:a16="http://schemas.microsoft.com/office/drawing/2014/main" id="{DAD9A675-2FFE-A3E7-FB73-B98AB61FC5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3" name="Text Box 279">
          <a:extLst>
            <a:ext uri="{FF2B5EF4-FFF2-40B4-BE49-F238E27FC236}">
              <a16:creationId xmlns:a16="http://schemas.microsoft.com/office/drawing/2014/main" id="{B412C128-0371-3030-4AF9-87517DF48D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4" name="Text Box 280">
          <a:extLst>
            <a:ext uri="{FF2B5EF4-FFF2-40B4-BE49-F238E27FC236}">
              <a16:creationId xmlns:a16="http://schemas.microsoft.com/office/drawing/2014/main" id="{A87BF75A-A41B-B7A6-5C49-B4CD0C2089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5" name="Text Box 281">
          <a:extLst>
            <a:ext uri="{FF2B5EF4-FFF2-40B4-BE49-F238E27FC236}">
              <a16:creationId xmlns:a16="http://schemas.microsoft.com/office/drawing/2014/main" id="{F22BE399-22A2-6237-5017-32802A5522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6" name="Text Box 282">
          <a:extLst>
            <a:ext uri="{FF2B5EF4-FFF2-40B4-BE49-F238E27FC236}">
              <a16:creationId xmlns:a16="http://schemas.microsoft.com/office/drawing/2014/main" id="{E510A3F1-6E00-99A2-1DD5-4601C640AE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7" name="Text Box 283">
          <a:extLst>
            <a:ext uri="{FF2B5EF4-FFF2-40B4-BE49-F238E27FC236}">
              <a16:creationId xmlns:a16="http://schemas.microsoft.com/office/drawing/2014/main" id="{72F95847-5107-4881-A9C7-4FFC3E2F9F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8" name="Text Box 284">
          <a:extLst>
            <a:ext uri="{FF2B5EF4-FFF2-40B4-BE49-F238E27FC236}">
              <a16:creationId xmlns:a16="http://schemas.microsoft.com/office/drawing/2014/main" id="{BF21E4B4-D9AE-7251-BF07-2B1EF9D71A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79" name="Text Box 285">
          <a:extLst>
            <a:ext uri="{FF2B5EF4-FFF2-40B4-BE49-F238E27FC236}">
              <a16:creationId xmlns:a16="http://schemas.microsoft.com/office/drawing/2014/main" id="{2C506C2C-86B2-C2CB-C4D4-9FEBE3F2CA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0" name="Text Box 286">
          <a:extLst>
            <a:ext uri="{FF2B5EF4-FFF2-40B4-BE49-F238E27FC236}">
              <a16:creationId xmlns:a16="http://schemas.microsoft.com/office/drawing/2014/main" id="{C77844D6-0436-11D4-C5A4-2EC9DE34B3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1" name="Text Box 287">
          <a:extLst>
            <a:ext uri="{FF2B5EF4-FFF2-40B4-BE49-F238E27FC236}">
              <a16:creationId xmlns:a16="http://schemas.microsoft.com/office/drawing/2014/main" id="{93FD1466-1775-6E7E-1260-04333FA818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2" name="Text Box 288">
          <a:extLst>
            <a:ext uri="{FF2B5EF4-FFF2-40B4-BE49-F238E27FC236}">
              <a16:creationId xmlns:a16="http://schemas.microsoft.com/office/drawing/2014/main" id="{8B12A109-D4EB-E2A2-5C3D-2001BDD43B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3" name="Text Box 289">
          <a:extLst>
            <a:ext uri="{FF2B5EF4-FFF2-40B4-BE49-F238E27FC236}">
              <a16:creationId xmlns:a16="http://schemas.microsoft.com/office/drawing/2014/main" id="{5F601C2A-43B6-BAEE-D051-8608B5FD8B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4" name="Text Box 290">
          <a:extLst>
            <a:ext uri="{FF2B5EF4-FFF2-40B4-BE49-F238E27FC236}">
              <a16:creationId xmlns:a16="http://schemas.microsoft.com/office/drawing/2014/main" id="{5A9858B2-30EA-1A94-F015-DC5E018D83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5" name="Text Box 291">
          <a:extLst>
            <a:ext uri="{FF2B5EF4-FFF2-40B4-BE49-F238E27FC236}">
              <a16:creationId xmlns:a16="http://schemas.microsoft.com/office/drawing/2014/main" id="{D4D6290B-C6E2-C79A-F8AE-3499BAB6B9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6" name="Text Box 292">
          <a:extLst>
            <a:ext uri="{FF2B5EF4-FFF2-40B4-BE49-F238E27FC236}">
              <a16:creationId xmlns:a16="http://schemas.microsoft.com/office/drawing/2014/main" id="{C70BAC04-2532-38B1-5885-3BA908730D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7" name="Text Box 293">
          <a:extLst>
            <a:ext uri="{FF2B5EF4-FFF2-40B4-BE49-F238E27FC236}">
              <a16:creationId xmlns:a16="http://schemas.microsoft.com/office/drawing/2014/main" id="{12A8F045-4DB0-0FF4-3717-77E89CA6A9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8" name="Text Box 294">
          <a:extLst>
            <a:ext uri="{FF2B5EF4-FFF2-40B4-BE49-F238E27FC236}">
              <a16:creationId xmlns:a16="http://schemas.microsoft.com/office/drawing/2014/main" id="{EAB7CEE6-EB6D-7BFB-B4EC-D7DD7231D1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89" name="Text Box 295">
          <a:extLst>
            <a:ext uri="{FF2B5EF4-FFF2-40B4-BE49-F238E27FC236}">
              <a16:creationId xmlns:a16="http://schemas.microsoft.com/office/drawing/2014/main" id="{CF565534-0A8B-DE9D-CF5B-603C48AC99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0" name="Text Box 296">
          <a:extLst>
            <a:ext uri="{FF2B5EF4-FFF2-40B4-BE49-F238E27FC236}">
              <a16:creationId xmlns:a16="http://schemas.microsoft.com/office/drawing/2014/main" id="{9F46DB6C-2180-89D9-7AF2-433A40F008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1" name="Text Box 297">
          <a:extLst>
            <a:ext uri="{FF2B5EF4-FFF2-40B4-BE49-F238E27FC236}">
              <a16:creationId xmlns:a16="http://schemas.microsoft.com/office/drawing/2014/main" id="{3997EA9B-0926-38DC-9BE6-43A1252346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2" name="Text Box 298">
          <a:extLst>
            <a:ext uri="{FF2B5EF4-FFF2-40B4-BE49-F238E27FC236}">
              <a16:creationId xmlns:a16="http://schemas.microsoft.com/office/drawing/2014/main" id="{E4551810-7A8F-90B2-43E4-9F1C82EA975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3" name="Text Box 299">
          <a:extLst>
            <a:ext uri="{FF2B5EF4-FFF2-40B4-BE49-F238E27FC236}">
              <a16:creationId xmlns:a16="http://schemas.microsoft.com/office/drawing/2014/main" id="{4D6BE91D-CDA9-5E47-A69D-9B1026744F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4" name="Text Box 300">
          <a:extLst>
            <a:ext uri="{FF2B5EF4-FFF2-40B4-BE49-F238E27FC236}">
              <a16:creationId xmlns:a16="http://schemas.microsoft.com/office/drawing/2014/main" id="{86BA7AE9-6445-2B15-A00D-9F84BB9EAB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5" name="Text Box 301">
          <a:extLst>
            <a:ext uri="{FF2B5EF4-FFF2-40B4-BE49-F238E27FC236}">
              <a16:creationId xmlns:a16="http://schemas.microsoft.com/office/drawing/2014/main" id="{9435D412-0CA2-DD89-8896-E30EB2B00D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6" name="Text Box 302">
          <a:extLst>
            <a:ext uri="{FF2B5EF4-FFF2-40B4-BE49-F238E27FC236}">
              <a16:creationId xmlns:a16="http://schemas.microsoft.com/office/drawing/2014/main" id="{CAC59239-DEAB-C483-B05A-3AEB56C0E95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7" name="Text Box 303">
          <a:extLst>
            <a:ext uri="{FF2B5EF4-FFF2-40B4-BE49-F238E27FC236}">
              <a16:creationId xmlns:a16="http://schemas.microsoft.com/office/drawing/2014/main" id="{23A2DB38-9ECE-91E9-02FB-0E7775AC1D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8" name="Text Box 304">
          <a:extLst>
            <a:ext uri="{FF2B5EF4-FFF2-40B4-BE49-F238E27FC236}">
              <a16:creationId xmlns:a16="http://schemas.microsoft.com/office/drawing/2014/main" id="{BC95DCCE-0FBF-C7B9-3EBE-3CFE04DA61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299" name="Text Box 305">
          <a:extLst>
            <a:ext uri="{FF2B5EF4-FFF2-40B4-BE49-F238E27FC236}">
              <a16:creationId xmlns:a16="http://schemas.microsoft.com/office/drawing/2014/main" id="{3F6BB142-95DA-5621-7DF9-EC9451B30B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0" name="Text Box 306">
          <a:extLst>
            <a:ext uri="{FF2B5EF4-FFF2-40B4-BE49-F238E27FC236}">
              <a16:creationId xmlns:a16="http://schemas.microsoft.com/office/drawing/2014/main" id="{422A3867-FDD3-4EAC-6817-3A9B1EA7AA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1" name="Text Box 307">
          <a:extLst>
            <a:ext uri="{FF2B5EF4-FFF2-40B4-BE49-F238E27FC236}">
              <a16:creationId xmlns:a16="http://schemas.microsoft.com/office/drawing/2014/main" id="{AB2041A7-962B-0958-A45E-E4AEB10F83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2" name="Text Box 308">
          <a:extLst>
            <a:ext uri="{FF2B5EF4-FFF2-40B4-BE49-F238E27FC236}">
              <a16:creationId xmlns:a16="http://schemas.microsoft.com/office/drawing/2014/main" id="{8B4EAD75-EBE8-A4AA-5B77-2341B2AFF7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3" name="Text Box 309">
          <a:extLst>
            <a:ext uri="{FF2B5EF4-FFF2-40B4-BE49-F238E27FC236}">
              <a16:creationId xmlns:a16="http://schemas.microsoft.com/office/drawing/2014/main" id="{AF460805-34AD-D289-FB0B-8DEFC608512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4" name="Text Box 310">
          <a:extLst>
            <a:ext uri="{FF2B5EF4-FFF2-40B4-BE49-F238E27FC236}">
              <a16:creationId xmlns:a16="http://schemas.microsoft.com/office/drawing/2014/main" id="{B1ADEBD5-E154-03A9-355F-22C9CEEEA47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5" name="Text Box 311">
          <a:extLst>
            <a:ext uri="{FF2B5EF4-FFF2-40B4-BE49-F238E27FC236}">
              <a16:creationId xmlns:a16="http://schemas.microsoft.com/office/drawing/2014/main" id="{FC899ED0-E84C-BD31-30F0-E798BB5A5A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6" name="Text Box 312">
          <a:extLst>
            <a:ext uri="{FF2B5EF4-FFF2-40B4-BE49-F238E27FC236}">
              <a16:creationId xmlns:a16="http://schemas.microsoft.com/office/drawing/2014/main" id="{54210B56-DD9B-6EEB-A75B-40AFD3172F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7" name="Text Box 313">
          <a:extLst>
            <a:ext uri="{FF2B5EF4-FFF2-40B4-BE49-F238E27FC236}">
              <a16:creationId xmlns:a16="http://schemas.microsoft.com/office/drawing/2014/main" id="{7EEB3E37-2229-5545-5695-C237BF1BE1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8" name="Text Box 314">
          <a:extLst>
            <a:ext uri="{FF2B5EF4-FFF2-40B4-BE49-F238E27FC236}">
              <a16:creationId xmlns:a16="http://schemas.microsoft.com/office/drawing/2014/main" id="{0FEC4350-DAAA-01C2-4865-E60F00870A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09" name="Text Box 315">
          <a:extLst>
            <a:ext uri="{FF2B5EF4-FFF2-40B4-BE49-F238E27FC236}">
              <a16:creationId xmlns:a16="http://schemas.microsoft.com/office/drawing/2014/main" id="{0E0F3A30-A19E-E885-B830-02BAEFFE1F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0" name="Text Box 316">
          <a:extLst>
            <a:ext uri="{FF2B5EF4-FFF2-40B4-BE49-F238E27FC236}">
              <a16:creationId xmlns:a16="http://schemas.microsoft.com/office/drawing/2014/main" id="{AF7ACA31-18F7-AD22-5B6A-F3FC3F652E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1" name="Text Box 317">
          <a:extLst>
            <a:ext uri="{FF2B5EF4-FFF2-40B4-BE49-F238E27FC236}">
              <a16:creationId xmlns:a16="http://schemas.microsoft.com/office/drawing/2014/main" id="{24665D5F-CC83-28A5-711A-F41FB43E16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2" name="Text Box 318">
          <a:extLst>
            <a:ext uri="{FF2B5EF4-FFF2-40B4-BE49-F238E27FC236}">
              <a16:creationId xmlns:a16="http://schemas.microsoft.com/office/drawing/2014/main" id="{7A0EC633-CD23-34FE-0FE6-623649499C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3" name="Text Box 319">
          <a:extLst>
            <a:ext uri="{FF2B5EF4-FFF2-40B4-BE49-F238E27FC236}">
              <a16:creationId xmlns:a16="http://schemas.microsoft.com/office/drawing/2014/main" id="{8C0FA0F2-9CF1-4EF6-A98E-A333946FEC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4" name="Text Box 320">
          <a:extLst>
            <a:ext uri="{FF2B5EF4-FFF2-40B4-BE49-F238E27FC236}">
              <a16:creationId xmlns:a16="http://schemas.microsoft.com/office/drawing/2014/main" id="{DB9A3A39-E4BC-CF7C-65B3-D54F231D14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5" name="Text Box 321">
          <a:extLst>
            <a:ext uri="{FF2B5EF4-FFF2-40B4-BE49-F238E27FC236}">
              <a16:creationId xmlns:a16="http://schemas.microsoft.com/office/drawing/2014/main" id="{EEC42022-00DE-2630-3877-BC754BB3A7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6" name="Text Box 322">
          <a:extLst>
            <a:ext uri="{FF2B5EF4-FFF2-40B4-BE49-F238E27FC236}">
              <a16:creationId xmlns:a16="http://schemas.microsoft.com/office/drawing/2014/main" id="{5438C7F4-CEBB-C1D2-FEA0-392AB611BE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7" name="Text Box 323">
          <a:extLst>
            <a:ext uri="{FF2B5EF4-FFF2-40B4-BE49-F238E27FC236}">
              <a16:creationId xmlns:a16="http://schemas.microsoft.com/office/drawing/2014/main" id="{35D908B6-8516-0712-8C17-1E6A93E57D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8" name="Text Box 324">
          <a:extLst>
            <a:ext uri="{FF2B5EF4-FFF2-40B4-BE49-F238E27FC236}">
              <a16:creationId xmlns:a16="http://schemas.microsoft.com/office/drawing/2014/main" id="{CA174579-C74F-D893-D6FD-EF6A042D94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19" name="Text Box 325">
          <a:extLst>
            <a:ext uri="{FF2B5EF4-FFF2-40B4-BE49-F238E27FC236}">
              <a16:creationId xmlns:a16="http://schemas.microsoft.com/office/drawing/2014/main" id="{4498401A-3B6B-F3FF-D957-9FE427A2E7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0" name="Text Box 326">
          <a:extLst>
            <a:ext uri="{FF2B5EF4-FFF2-40B4-BE49-F238E27FC236}">
              <a16:creationId xmlns:a16="http://schemas.microsoft.com/office/drawing/2014/main" id="{34395A03-460E-145A-802E-594090389F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1" name="Text Box 327">
          <a:extLst>
            <a:ext uri="{FF2B5EF4-FFF2-40B4-BE49-F238E27FC236}">
              <a16:creationId xmlns:a16="http://schemas.microsoft.com/office/drawing/2014/main" id="{E3EA72B0-2962-CCAC-6CA5-0E302B5CEE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2" name="Text Box 328">
          <a:extLst>
            <a:ext uri="{FF2B5EF4-FFF2-40B4-BE49-F238E27FC236}">
              <a16:creationId xmlns:a16="http://schemas.microsoft.com/office/drawing/2014/main" id="{16F2E838-C3D4-ACFF-42A8-272CD3E4F8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3" name="Text Box 329">
          <a:extLst>
            <a:ext uri="{FF2B5EF4-FFF2-40B4-BE49-F238E27FC236}">
              <a16:creationId xmlns:a16="http://schemas.microsoft.com/office/drawing/2014/main" id="{0B700B81-9B13-E67D-897A-F3766CF7DD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4" name="Text Box 330">
          <a:extLst>
            <a:ext uri="{FF2B5EF4-FFF2-40B4-BE49-F238E27FC236}">
              <a16:creationId xmlns:a16="http://schemas.microsoft.com/office/drawing/2014/main" id="{06AD0D0C-F2F1-8D6C-0C48-CDCA784D4CC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5" name="Text Box 331">
          <a:extLst>
            <a:ext uri="{FF2B5EF4-FFF2-40B4-BE49-F238E27FC236}">
              <a16:creationId xmlns:a16="http://schemas.microsoft.com/office/drawing/2014/main" id="{5444AF36-4E78-3D84-590F-28E94DFFA2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6" name="Text Box 332">
          <a:extLst>
            <a:ext uri="{FF2B5EF4-FFF2-40B4-BE49-F238E27FC236}">
              <a16:creationId xmlns:a16="http://schemas.microsoft.com/office/drawing/2014/main" id="{592C6F8C-C8E0-4535-88D3-B97A1037D0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7" name="Text Box 333">
          <a:extLst>
            <a:ext uri="{FF2B5EF4-FFF2-40B4-BE49-F238E27FC236}">
              <a16:creationId xmlns:a16="http://schemas.microsoft.com/office/drawing/2014/main" id="{0D393AE9-0992-FD8E-FFED-5D64465218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8" name="Text Box 334">
          <a:extLst>
            <a:ext uri="{FF2B5EF4-FFF2-40B4-BE49-F238E27FC236}">
              <a16:creationId xmlns:a16="http://schemas.microsoft.com/office/drawing/2014/main" id="{7494C777-1DB8-9AC3-8F0C-FBA4E3FAB6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29" name="Text Box 335">
          <a:extLst>
            <a:ext uri="{FF2B5EF4-FFF2-40B4-BE49-F238E27FC236}">
              <a16:creationId xmlns:a16="http://schemas.microsoft.com/office/drawing/2014/main" id="{98F67C16-F30A-601E-140F-D36D13790B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0" name="Text Box 336">
          <a:extLst>
            <a:ext uri="{FF2B5EF4-FFF2-40B4-BE49-F238E27FC236}">
              <a16:creationId xmlns:a16="http://schemas.microsoft.com/office/drawing/2014/main" id="{8634EF78-892F-C7BE-78B2-62F3D0BE27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1" name="Text Box 337">
          <a:extLst>
            <a:ext uri="{FF2B5EF4-FFF2-40B4-BE49-F238E27FC236}">
              <a16:creationId xmlns:a16="http://schemas.microsoft.com/office/drawing/2014/main" id="{8EC087DD-922E-5BB7-5C6A-11EE16CDCC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2" name="Text Box 338">
          <a:extLst>
            <a:ext uri="{FF2B5EF4-FFF2-40B4-BE49-F238E27FC236}">
              <a16:creationId xmlns:a16="http://schemas.microsoft.com/office/drawing/2014/main" id="{35C0026E-660B-480A-3086-4DBF374DCCC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3" name="Text Box 339">
          <a:extLst>
            <a:ext uri="{FF2B5EF4-FFF2-40B4-BE49-F238E27FC236}">
              <a16:creationId xmlns:a16="http://schemas.microsoft.com/office/drawing/2014/main" id="{15217B61-7DD6-F621-AB8F-A082A31878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4" name="Text Box 340">
          <a:extLst>
            <a:ext uri="{FF2B5EF4-FFF2-40B4-BE49-F238E27FC236}">
              <a16:creationId xmlns:a16="http://schemas.microsoft.com/office/drawing/2014/main" id="{73B22369-7524-7417-B875-FE06B59398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5" name="Text Box 341">
          <a:extLst>
            <a:ext uri="{FF2B5EF4-FFF2-40B4-BE49-F238E27FC236}">
              <a16:creationId xmlns:a16="http://schemas.microsoft.com/office/drawing/2014/main" id="{0FE182F9-AABF-5B44-7D8C-950B935EFE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6" name="Text Box 342">
          <a:extLst>
            <a:ext uri="{FF2B5EF4-FFF2-40B4-BE49-F238E27FC236}">
              <a16:creationId xmlns:a16="http://schemas.microsoft.com/office/drawing/2014/main" id="{2F97A88C-1D12-79B5-23D2-91C1F42B42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7" name="Text Box 343">
          <a:extLst>
            <a:ext uri="{FF2B5EF4-FFF2-40B4-BE49-F238E27FC236}">
              <a16:creationId xmlns:a16="http://schemas.microsoft.com/office/drawing/2014/main" id="{1BB8E30D-5E3A-C69B-ECDA-68B3795202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8" name="Text Box 344">
          <a:extLst>
            <a:ext uri="{FF2B5EF4-FFF2-40B4-BE49-F238E27FC236}">
              <a16:creationId xmlns:a16="http://schemas.microsoft.com/office/drawing/2014/main" id="{CC3EF930-434B-8004-0FF8-9854330482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39" name="Text Box 345">
          <a:extLst>
            <a:ext uri="{FF2B5EF4-FFF2-40B4-BE49-F238E27FC236}">
              <a16:creationId xmlns:a16="http://schemas.microsoft.com/office/drawing/2014/main" id="{575EFA10-64C2-407D-D8E6-6202A2B2A3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0" name="Text Box 346">
          <a:extLst>
            <a:ext uri="{FF2B5EF4-FFF2-40B4-BE49-F238E27FC236}">
              <a16:creationId xmlns:a16="http://schemas.microsoft.com/office/drawing/2014/main" id="{DE9D5EEA-08D8-FB22-CF67-1C33A6FE91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1" name="Text Box 347">
          <a:extLst>
            <a:ext uri="{FF2B5EF4-FFF2-40B4-BE49-F238E27FC236}">
              <a16:creationId xmlns:a16="http://schemas.microsoft.com/office/drawing/2014/main" id="{A5AA4659-9A61-EB24-EA45-1ECDA0B273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2" name="Text Box 348">
          <a:extLst>
            <a:ext uri="{FF2B5EF4-FFF2-40B4-BE49-F238E27FC236}">
              <a16:creationId xmlns:a16="http://schemas.microsoft.com/office/drawing/2014/main" id="{B3CBDC51-2304-803A-4F43-1B9AEC2FC6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3" name="Text Box 349">
          <a:extLst>
            <a:ext uri="{FF2B5EF4-FFF2-40B4-BE49-F238E27FC236}">
              <a16:creationId xmlns:a16="http://schemas.microsoft.com/office/drawing/2014/main" id="{8B07086F-90AF-0D14-1B8A-41DFD54B92A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4" name="Text Box 350">
          <a:extLst>
            <a:ext uri="{FF2B5EF4-FFF2-40B4-BE49-F238E27FC236}">
              <a16:creationId xmlns:a16="http://schemas.microsoft.com/office/drawing/2014/main" id="{9BEF8C86-B152-88D3-2B0A-3224C7C74C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5" name="Text Box 351">
          <a:extLst>
            <a:ext uri="{FF2B5EF4-FFF2-40B4-BE49-F238E27FC236}">
              <a16:creationId xmlns:a16="http://schemas.microsoft.com/office/drawing/2014/main" id="{3919339B-AC25-24AB-6B3A-DA3B08ED8E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6" name="Text Box 352">
          <a:extLst>
            <a:ext uri="{FF2B5EF4-FFF2-40B4-BE49-F238E27FC236}">
              <a16:creationId xmlns:a16="http://schemas.microsoft.com/office/drawing/2014/main" id="{F2DF7FF0-49B3-5232-9781-C9F76AA158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7" name="Text Box 353">
          <a:extLst>
            <a:ext uri="{FF2B5EF4-FFF2-40B4-BE49-F238E27FC236}">
              <a16:creationId xmlns:a16="http://schemas.microsoft.com/office/drawing/2014/main" id="{B8DCE89A-5331-1232-8C70-CDD0542A5A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8" name="Text Box 354">
          <a:extLst>
            <a:ext uri="{FF2B5EF4-FFF2-40B4-BE49-F238E27FC236}">
              <a16:creationId xmlns:a16="http://schemas.microsoft.com/office/drawing/2014/main" id="{E51FB1F0-FFF7-4B5C-9789-4B1792A6F9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49" name="Text Box 355">
          <a:extLst>
            <a:ext uri="{FF2B5EF4-FFF2-40B4-BE49-F238E27FC236}">
              <a16:creationId xmlns:a16="http://schemas.microsoft.com/office/drawing/2014/main" id="{474E6BB4-FD92-B3CD-8C7B-CBF43D8910E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0" name="Text Box 356">
          <a:extLst>
            <a:ext uri="{FF2B5EF4-FFF2-40B4-BE49-F238E27FC236}">
              <a16:creationId xmlns:a16="http://schemas.microsoft.com/office/drawing/2014/main" id="{B318F9B1-AF26-A49A-E12B-3563F6F290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1" name="Text Box 357">
          <a:extLst>
            <a:ext uri="{FF2B5EF4-FFF2-40B4-BE49-F238E27FC236}">
              <a16:creationId xmlns:a16="http://schemas.microsoft.com/office/drawing/2014/main" id="{5B5C6D41-C6DA-94AB-CECE-B563CE59A4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2" name="Text Box 358">
          <a:extLst>
            <a:ext uri="{FF2B5EF4-FFF2-40B4-BE49-F238E27FC236}">
              <a16:creationId xmlns:a16="http://schemas.microsoft.com/office/drawing/2014/main" id="{786B3594-3761-5D2B-E9A4-F07A908F7C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3" name="Text Box 359">
          <a:extLst>
            <a:ext uri="{FF2B5EF4-FFF2-40B4-BE49-F238E27FC236}">
              <a16:creationId xmlns:a16="http://schemas.microsoft.com/office/drawing/2014/main" id="{51E711B2-66B5-18B8-C66E-BDD589B428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4" name="Text Box 360">
          <a:extLst>
            <a:ext uri="{FF2B5EF4-FFF2-40B4-BE49-F238E27FC236}">
              <a16:creationId xmlns:a16="http://schemas.microsoft.com/office/drawing/2014/main" id="{F5631229-8034-8625-A066-E9590FCE521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5" name="Text Box 361">
          <a:extLst>
            <a:ext uri="{FF2B5EF4-FFF2-40B4-BE49-F238E27FC236}">
              <a16:creationId xmlns:a16="http://schemas.microsoft.com/office/drawing/2014/main" id="{149C09A2-3A4D-55DA-7167-96A2DE81BB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6" name="Text Box 362">
          <a:extLst>
            <a:ext uri="{FF2B5EF4-FFF2-40B4-BE49-F238E27FC236}">
              <a16:creationId xmlns:a16="http://schemas.microsoft.com/office/drawing/2014/main" id="{1E85026E-8F7C-7EAB-E24E-A08D65BE7B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7" name="Text Box 363">
          <a:extLst>
            <a:ext uri="{FF2B5EF4-FFF2-40B4-BE49-F238E27FC236}">
              <a16:creationId xmlns:a16="http://schemas.microsoft.com/office/drawing/2014/main" id="{98FC7E49-7748-4195-3FC2-3C893E9F2C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8" name="Text Box 364">
          <a:extLst>
            <a:ext uri="{FF2B5EF4-FFF2-40B4-BE49-F238E27FC236}">
              <a16:creationId xmlns:a16="http://schemas.microsoft.com/office/drawing/2014/main" id="{F4417BAE-4373-32C9-64B3-0E3EA2A94D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59" name="Text Box 365">
          <a:extLst>
            <a:ext uri="{FF2B5EF4-FFF2-40B4-BE49-F238E27FC236}">
              <a16:creationId xmlns:a16="http://schemas.microsoft.com/office/drawing/2014/main" id="{905FD00F-B10B-B1D2-281F-D6A90E42AAE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0" name="Text Box 366">
          <a:extLst>
            <a:ext uri="{FF2B5EF4-FFF2-40B4-BE49-F238E27FC236}">
              <a16:creationId xmlns:a16="http://schemas.microsoft.com/office/drawing/2014/main" id="{A08A5790-A1C9-205F-D49A-5E251EE8A8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1" name="Text Box 367">
          <a:extLst>
            <a:ext uri="{FF2B5EF4-FFF2-40B4-BE49-F238E27FC236}">
              <a16:creationId xmlns:a16="http://schemas.microsoft.com/office/drawing/2014/main" id="{756CA6AF-94A3-71AC-F4DD-144B4846BD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2" name="Text Box 368">
          <a:extLst>
            <a:ext uri="{FF2B5EF4-FFF2-40B4-BE49-F238E27FC236}">
              <a16:creationId xmlns:a16="http://schemas.microsoft.com/office/drawing/2014/main" id="{9A8855A8-8864-BC1F-71D8-DC31171FE2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3" name="Text Box 369">
          <a:extLst>
            <a:ext uri="{FF2B5EF4-FFF2-40B4-BE49-F238E27FC236}">
              <a16:creationId xmlns:a16="http://schemas.microsoft.com/office/drawing/2014/main" id="{C7DA94BF-51A8-2767-E162-B48A9C9E27A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4" name="Text Box 370">
          <a:extLst>
            <a:ext uri="{FF2B5EF4-FFF2-40B4-BE49-F238E27FC236}">
              <a16:creationId xmlns:a16="http://schemas.microsoft.com/office/drawing/2014/main" id="{1D2E30A0-7BF8-1AED-D1B1-53CE1378CB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5" name="Text Box 371">
          <a:extLst>
            <a:ext uri="{FF2B5EF4-FFF2-40B4-BE49-F238E27FC236}">
              <a16:creationId xmlns:a16="http://schemas.microsoft.com/office/drawing/2014/main" id="{4EB97FE8-0C93-0226-82D0-D8928F55B41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6" name="Text Box 372">
          <a:extLst>
            <a:ext uri="{FF2B5EF4-FFF2-40B4-BE49-F238E27FC236}">
              <a16:creationId xmlns:a16="http://schemas.microsoft.com/office/drawing/2014/main" id="{FF50F445-9718-8AD9-FC52-D5A6137AC8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7" name="Text Box 373">
          <a:extLst>
            <a:ext uri="{FF2B5EF4-FFF2-40B4-BE49-F238E27FC236}">
              <a16:creationId xmlns:a16="http://schemas.microsoft.com/office/drawing/2014/main" id="{75020A7D-5952-96FD-D9FF-ABCE32CFFB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8" name="Text Box 374">
          <a:extLst>
            <a:ext uri="{FF2B5EF4-FFF2-40B4-BE49-F238E27FC236}">
              <a16:creationId xmlns:a16="http://schemas.microsoft.com/office/drawing/2014/main" id="{3055224D-9F5B-E134-5D89-A6ADFB36E3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69" name="Text Box 375">
          <a:extLst>
            <a:ext uri="{FF2B5EF4-FFF2-40B4-BE49-F238E27FC236}">
              <a16:creationId xmlns:a16="http://schemas.microsoft.com/office/drawing/2014/main" id="{30858136-B3F5-FA36-0393-C0075DA242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0" name="Text Box 376">
          <a:extLst>
            <a:ext uri="{FF2B5EF4-FFF2-40B4-BE49-F238E27FC236}">
              <a16:creationId xmlns:a16="http://schemas.microsoft.com/office/drawing/2014/main" id="{C37952F8-1AA6-7A95-42C5-BCC3E66D50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1" name="Text Box 377">
          <a:extLst>
            <a:ext uri="{FF2B5EF4-FFF2-40B4-BE49-F238E27FC236}">
              <a16:creationId xmlns:a16="http://schemas.microsoft.com/office/drawing/2014/main" id="{626974EA-4647-4D8E-9DE6-539F4C3CC3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2" name="Text Box 378">
          <a:extLst>
            <a:ext uri="{FF2B5EF4-FFF2-40B4-BE49-F238E27FC236}">
              <a16:creationId xmlns:a16="http://schemas.microsoft.com/office/drawing/2014/main" id="{9A91BBF0-8C19-0051-BB0F-CCEB5FA86C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3" name="Text Box 379">
          <a:extLst>
            <a:ext uri="{FF2B5EF4-FFF2-40B4-BE49-F238E27FC236}">
              <a16:creationId xmlns:a16="http://schemas.microsoft.com/office/drawing/2014/main" id="{CF08A2A8-3D50-BC5C-6198-D95C31A3FB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4" name="Text Box 380">
          <a:extLst>
            <a:ext uri="{FF2B5EF4-FFF2-40B4-BE49-F238E27FC236}">
              <a16:creationId xmlns:a16="http://schemas.microsoft.com/office/drawing/2014/main" id="{EFEFE97D-1635-F998-61D2-6678036A82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5" name="Text Box 381">
          <a:extLst>
            <a:ext uri="{FF2B5EF4-FFF2-40B4-BE49-F238E27FC236}">
              <a16:creationId xmlns:a16="http://schemas.microsoft.com/office/drawing/2014/main" id="{24E9761E-86AF-96FC-6D9E-B7B58E4633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6" name="Text Box 382">
          <a:extLst>
            <a:ext uri="{FF2B5EF4-FFF2-40B4-BE49-F238E27FC236}">
              <a16:creationId xmlns:a16="http://schemas.microsoft.com/office/drawing/2014/main" id="{BA6E4C76-7C4C-9539-BEAD-D4411D4617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7" name="Text Box 383">
          <a:extLst>
            <a:ext uri="{FF2B5EF4-FFF2-40B4-BE49-F238E27FC236}">
              <a16:creationId xmlns:a16="http://schemas.microsoft.com/office/drawing/2014/main" id="{59F7673C-9704-DE19-F028-8A0FF4C91C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8" name="Text Box 384">
          <a:extLst>
            <a:ext uri="{FF2B5EF4-FFF2-40B4-BE49-F238E27FC236}">
              <a16:creationId xmlns:a16="http://schemas.microsoft.com/office/drawing/2014/main" id="{407042F7-53A3-F8FA-CBB5-CE4622971F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79" name="Text Box 385">
          <a:extLst>
            <a:ext uri="{FF2B5EF4-FFF2-40B4-BE49-F238E27FC236}">
              <a16:creationId xmlns:a16="http://schemas.microsoft.com/office/drawing/2014/main" id="{253BB594-24F4-CDF0-DC79-627420C28BC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0" name="Text Box 386">
          <a:extLst>
            <a:ext uri="{FF2B5EF4-FFF2-40B4-BE49-F238E27FC236}">
              <a16:creationId xmlns:a16="http://schemas.microsoft.com/office/drawing/2014/main" id="{6E2B3EDA-996F-0FD1-311E-DC29034F02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1" name="Text Box 387">
          <a:extLst>
            <a:ext uri="{FF2B5EF4-FFF2-40B4-BE49-F238E27FC236}">
              <a16:creationId xmlns:a16="http://schemas.microsoft.com/office/drawing/2014/main" id="{F27A619A-42C4-EED7-91CD-83ACF098C0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2" name="Text Box 388">
          <a:extLst>
            <a:ext uri="{FF2B5EF4-FFF2-40B4-BE49-F238E27FC236}">
              <a16:creationId xmlns:a16="http://schemas.microsoft.com/office/drawing/2014/main" id="{ECEB761D-3DDA-E758-3892-DA05560944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3" name="Text Box 389">
          <a:extLst>
            <a:ext uri="{FF2B5EF4-FFF2-40B4-BE49-F238E27FC236}">
              <a16:creationId xmlns:a16="http://schemas.microsoft.com/office/drawing/2014/main" id="{6EA10123-844A-F908-6324-E164F217BC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4" name="Text Box 390">
          <a:extLst>
            <a:ext uri="{FF2B5EF4-FFF2-40B4-BE49-F238E27FC236}">
              <a16:creationId xmlns:a16="http://schemas.microsoft.com/office/drawing/2014/main" id="{81136970-AF60-FEC9-E94D-ADCFAF9FFD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5" name="Text Box 391">
          <a:extLst>
            <a:ext uri="{FF2B5EF4-FFF2-40B4-BE49-F238E27FC236}">
              <a16:creationId xmlns:a16="http://schemas.microsoft.com/office/drawing/2014/main" id="{043BBE55-5188-6D82-8ACB-EA473FA39F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6" name="Text Box 392">
          <a:extLst>
            <a:ext uri="{FF2B5EF4-FFF2-40B4-BE49-F238E27FC236}">
              <a16:creationId xmlns:a16="http://schemas.microsoft.com/office/drawing/2014/main" id="{B2B4D748-65D6-1506-DA19-1AC398AA98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7" name="Text Box 393">
          <a:extLst>
            <a:ext uri="{FF2B5EF4-FFF2-40B4-BE49-F238E27FC236}">
              <a16:creationId xmlns:a16="http://schemas.microsoft.com/office/drawing/2014/main" id="{1DC16C51-FC65-02DF-34CC-94EECF47676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8" name="Text Box 394">
          <a:extLst>
            <a:ext uri="{FF2B5EF4-FFF2-40B4-BE49-F238E27FC236}">
              <a16:creationId xmlns:a16="http://schemas.microsoft.com/office/drawing/2014/main" id="{9B3CC6DD-863F-F5E6-AF65-8C847B2A6A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89" name="Text Box 395">
          <a:extLst>
            <a:ext uri="{FF2B5EF4-FFF2-40B4-BE49-F238E27FC236}">
              <a16:creationId xmlns:a16="http://schemas.microsoft.com/office/drawing/2014/main" id="{DB42FE30-48DF-C927-7E79-D84119732E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0" name="Text Box 396">
          <a:extLst>
            <a:ext uri="{FF2B5EF4-FFF2-40B4-BE49-F238E27FC236}">
              <a16:creationId xmlns:a16="http://schemas.microsoft.com/office/drawing/2014/main" id="{2B5A4C28-5120-C7B9-883B-A70E61024F3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1" name="Text Box 397">
          <a:extLst>
            <a:ext uri="{FF2B5EF4-FFF2-40B4-BE49-F238E27FC236}">
              <a16:creationId xmlns:a16="http://schemas.microsoft.com/office/drawing/2014/main" id="{E4C99066-DF35-0CA8-0629-15ECAD0A90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2" name="Text Box 398">
          <a:extLst>
            <a:ext uri="{FF2B5EF4-FFF2-40B4-BE49-F238E27FC236}">
              <a16:creationId xmlns:a16="http://schemas.microsoft.com/office/drawing/2014/main" id="{6FD1BA0A-653D-B44E-4EDC-5EAA506183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3" name="Text Box 399">
          <a:extLst>
            <a:ext uri="{FF2B5EF4-FFF2-40B4-BE49-F238E27FC236}">
              <a16:creationId xmlns:a16="http://schemas.microsoft.com/office/drawing/2014/main" id="{F26E7572-6C24-EE31-CF2D-3B7EE4FB39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4" name="Text Box 400">
          <a:extLst>
            <a:ext uri="{FF2B5EF4-FFF2-40B4-BE49-F238E27FC236}">
              <a16:creationId xmlns:a16="http://schemas.microsoft.com/office/drawing/2014/main" id="{657180A8-94E5-C33D-4EDC-E77BA0AAEC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5" name="Text Box 401">
          <a:extLst>
            <a:ext uri="{FF2B5EF4-FFF2-40B4-BE49-F238E27FC236}">
              <a16:creationId xmlns:a16="http://schemas.microsoft.com/office/drawing/2014/main" id="{353A1568-A7FB-1690-323B-0025D7F2D3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6" name="Text Box 402">
          <a:extLst>
            <a:ext uri="{FF2B5EF4-FFF2-40B4-BE49-F238E27FC236}">
              <a16:creationId xmlns:a16="http://schemas.microsoft.com/office/drawing/2014/main" id="{EFE4896B-AEA2-8991-3264-302F7A2735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7" name="Text Box 403">
          <a:extLst>
            <a:ext uri="{FF2B5EF4-FFF2-40B4-BE49-F238E27FC236}">
              <a16:creationId xmlns:a16="http://schemas.microsoft.com/office/drawing/2014/main" id="{1FB4B3CB-A987-B505-D0FA-098943A84D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8" name="Text Box 404">
          <a:extLst>
            <a:ext uri="{FF2B5EF4-FFF2-40B4-BE49-F238E27FC236}">
              <a16:creationId xmlns:a16="http://schemas.microsoft.com/office/drawing/2014/main" id="{39BA8FDF-878A-015E-02E0-8D932811B0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399" name="Text Box 405">
          <a:extLst>
            <a:ext uri="{FF2B5EF4-FFF2-40B4-BE49-F238E27FC236}">
              <a16:creationId xmlns:a16="http://schemas.microsoft.com/office/drawing/2014/main" id="{B49031D2-C973-9421-74F1-876DA37FCD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0" name="Text Box 406">
          <a:extLst>
            <a:ext uri="{FF2B5EF4-FFF2-40B4-BE49-F238E27FC236}">
              <a16:creationId xmlns:a16="http://schemas.microsoft.com/office/drawing/2014/main" id="{A511F69C-AB9E-A9EA-6C9F-E73EFBD728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1" name="Text Box 407">
          <a:extLst>
            <a:ext uri="{FF2B5EF4-FFF2-40B4-BE49-F238E27FC236}">
              <a16:creationId xmlns:a16="http://schemas.microsoft.com/office/drawing/2014/main" id="{C620147C-D4FA-2CCA-198D-D887105852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2" name="Text Box 408">
          <a:extLst>
            <a:ext uri="{FF2B5EF4-FFF2-40B4-BE49-F238E27FC236}">
              <a16:creationId xmlns:a16="http://schemas.microsoft.com/office/drawing/2014/main" id="{61480E8F-FD4C-4C39-CE60-1AC240FF8D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3" name="Text Box 409">
          <a:extLst>
            <a:ext uri="{FF2B5EF4-FFF2-40B4-BE49-F238E27FC236}">
              <a16:creationId xmlns:a16="http://schemas.microsoft.com/office/drawing/2014/main" id="{E9C69E75-4DE9-E3B0-F4E1-736C225BF1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4" name="Text Box 410">
          <a:extLst>
            <a:ext uri="{FF2B5EF4-FFF2-40B4-BE49-F238E27FC236}">
              <a16:creationId xmlns:a16="http://schemas.microsoft.com/office/drawing/2014/main" id="{D6660998-0D53-78D8-8F19-992AA9AF78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5" name="Text Box 411">
          <a:extLst>
            <a:ext uri="{FF2B5EF4-FFF2-40B4-BE49-F238E27FC236}">
              <a16:creationId xmlns:a16="http://schemas.microsoft.com/office/drawing/2014/main" id="{62CDB87D-8EF0-06EA-DB5E-02BE72D728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6" name="Text Box 412">
          <a:extLst>
            <a:ext uri="{FF2B5EF4-FFF2-40B4-BE49-F238E27FC236}">
              <a16:creationId xmlns:a16="http://schemas.microsoft.com/office/drawing/2014/main" id="{6BAA52E8-5773-EBF2-9C88-BD9709F86D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7" name="Text Box 413">
          <a:extLst>
            <a:ext uri="{FF2B5EF4-FFF2-40B4-BE49-F238E27FC236}">
              <a16:creationId xmlns:a16="http://schemas.microsoft.com/office/drawing/2014/main" id="{F022CC5C-2B92-2C0E-C9DB-48A6BBB189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8" name="Text Box 414">
          <a:extLst>
            <a:ext uri="{FF2B5EF4-FFF2-40B4-BE49-F238E27FC236}">
              <a16:creationId xmlns:a16="http://schemas.microsoft.com/office/drawing/2014/main" id="{39A2110D-5C64-644A-5C74-FA0028E86C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09" name="Text Box 415">
          <a:extLst>
            <a:ext uri="{FF2B5EF4-FFF2-40B4-BE49-F238E27FC236}">
              <a16:creationId xmlns:a16="http://schemas.microsoft.com/office/drawing/2014/main" id="{A5F86970-F989-D123-77C3-7072A9F296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0" name="Text Box 416">
          <a:extLst>
            <a:ext uri="{FF2B5EF4-FFF2-40B4-BE49-F238E27FC236}">
              <a16:creationId xmlns:a16="http://schemas.microsoft.com/office/drawing/2014/main" id="{C1927A53-465E-9EE0-CC76-334FAE29027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1" name="Text Box 417">
          <a:extLst>
            <a:ext uri="{FF2B5EF4-FFF2-40B4-BE49-F238E27FC236}">
              <a16:creationId xmlns:a16="http://schemas.microsoft.com/office/drawing/2014/main" id="{87F7EC21-64BD-9EF1-EDF4-8DEF974F99C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2" name="Text Box 418">
          <a:extLst>
            <a:ext uri="{FF2B5EF4-FFF2-40B4-BE49-F238E27FC236}">
              <a16:creationId xmlns:a16="http://schemas.microsoft.com/office/drawing/2014/main" id="{D808D2BD-B48D-B543-AACF-940953A1D1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3" name="Text Box 419">
          <a:extLst>
            <a:ext uri="{FF2B5EF4-FFF2-40B4-BE49-F238E27FC236}">
              <a16:creationId xmlns:a16="http://schemas.microsoft.com/office/drawing/2014/main" id="{25D1534E-88D4-5121-1451-5102095064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4" name="Text Box 420">
          <a:extLst>
            <a:ext uri="{FF2B5EF4-FFF2-40B4-BE49-F238E27FC236}">
              <a16:creationId xmlns:a16="http://schemas.microsoft.com/office/drawing/2014/main" id="{2074464F-0EF6-C3C9-2BB6-7D5BD7C30A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5" name="Text Box 421">
          <a:extLst>
            <a:ext uri="{FF2B5EF4-FFF2-40B4-BE49-F238E27FC236}">
              <a16:creationId xmlns:a16="http://schemas.microsoft.com/office/drawing/2014/main" id="{CF94633B-2705-13F9-42C7-32F95BB49C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6" name="Text Box 422">
          <a:extLst>
            <a:ext uri="{FF2B5EF4-FFF2-40B4-BE49-F238E27FC236}">
              <a16:creationId xmlns:a16="http://schemas.microsoft.com/office/drawing/2014/main" id="{55636FA4-83E1-792D-B6DA-171F1DAED5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7" name="Text Box 423">
          <a:extLst>
            <a:ext uri="{FF2B5EF4-FFF2-40B4-BE49-F238E27FC236}">
              <a16:creationId xmlns:a16="http://schemas.microsoft.com/office/drawing/2014/main" id="{D7167B49-128E-61C0-B9DB-2B541D9ADC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8" name="Text Box 424">
          <a:extLst>
            <a:ext uri="{FF2B5EF4-FFF2-40B4-BE49-F238E27FC236}">
              <a16:creationId xmlns:a16="http://schemas.microsoft.com/office/drawing/2014/main" id="{38E839E9-6F66-0F1C-F86C-66C0A3E06C2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19" name="Text Box 425">
          <a:extLst>
            <a:ext uri="{FF2B5EF4-FFF2-40B4-BE49-F238E27FC236}">
              <a16:creationId xmlns:a16="http://schemas.microsoft.com/office/drawing/2014/main" id="{2228C75F-6293-DCCF-2F7E-38DC5382BB5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0" name="Text Box 426">
          <a:extLst>
            <a:ext uri="{FF2B5EF4-FFF2-40B4-BE49-F238E27FC236}">
              <a16:creationId xmlns:a16="http://schemas.microsoft.com/office/drawing/2014/main" id="{4A558FAA-156C-17F5-A745-3ACEADFC06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1" name="Text Box 427">
          <a:extLst>
            <a:ext uri="{FF2B5EF4-FFF2-40B4-BE49-F238E27FC236}">
              <a16:creationId xmlns:a16="http://schemas.microsoft.com/office/drawing/2014/main" id="{9B501092-AE9E-78AE-1EDE-E942EC71BD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2" name="Text Box 428">
          <a:extLst>
            <a:ext uri="{FF2B5EF4-FFF2-40B4-BE49-F238E27FC236}">
              <a16:creationId xmlns:a16="http://schemas.microsoft.com/office/drawing/2014/main" id="{8B961AED-9A44-2E93-92B0-69A8646D88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3" name="Text Box 429">
          <a:extLst>
            <a:ext uri="{FF2B5EF4-FFF2-40B4-BE49-F238E27FC236}">
              <a16:creationId xmlns:a16="http://schemas.microsoft.com/office/drawing/2014/main" id="{DBFE8509-9656-E194-8DD0-862A5D693A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4" name="Text Box 430">
          <a:extLst>
            <a:ext uri="{FF2B5EF4-FFF2-40B4-BE49-F238E27FC236}">
              <a16:creationId xmlns:a16="http://schemas.microsoft.com/office/drawing/2014/main" id="{78D22D42-36FB-5FCF-1E4A-86C0A020BC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5" name="Text Box 431">
          <a:extLst>
            <a:ext uri="{FF2B5EF4-FFF2-40B4-BE49-F238E27FC236}">
              <a16:creationId xmlns:a16="http://schemas.microsoft.com/office/drawing/2014/main" id="{B4E6035E-D468-F7F7-AAB2-B00B05989B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6" name="Text Box 432">
          <a:extLst>
            <a:ext uri="{FF2B5EF4-FFF2-40B4-BE49-F238E27FC236}">
              <a16:creationId xmlns:a16="http://schemas.microsoft.com/office/drawing/2014/main" id="{1F74853F-D2FD-AC2F-7BFF-BD1B1E8275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7" name="Text Box 433">
          <a:extLst>
            <a:ext uri="{FF2B5EF4-FFF2-40B4-BE49-F238E27FC236}">
              <a16:creationId xmlns:a16="http://schemas.microsoft.com/office/drawing/2014/main" id="{A2552A9E-552D-708D-2601-CB3D6C09FF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8" name="Text Box 434">
          <a:extLst>
            <a:ext uri="{FF2B5EF4-FFF2-40B4-BE49-F238E27FC236}">
              <a16:creationId xmlns:a16="http://schemas.microsoft.com/office/drawing/2014/main" id="{D0C0C445-3858-9931-0502-189748AB425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29" name="Text Box 435">
          <a:extLst>
            <a:ext uri="{FF2B5EF4-FFF2-40B4-BE49-F238E27FC236}">
              <a16:creationId xmlns:a16="http://schemas.microsoft.com/office/drawing/2014/main" id="{DDF239BB-7855-9671-0C83-17375025E2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0" name="Text Box 436">
          <a:extLst>
            <a:ext uri="{FF2B5EF4-FFF2-40B4-BE49-F238E27FC236}">
              <a16:creationId xmlns:a16="http://schemas.microsoft.com/office/drawing/2014/main" id="{D040F0A1-9322-D3EA-7ABB-C2FDCFCAF3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1" name="Text Box 437">
          <a:extLst>
            <a:ext uri="{FF2B5EF4-FFF2-40B4-BE49-F238E27FC236}">
              <a16:creationId xmlns:a16="http://schemas.microsoft.com/office/drawing/2014/main" id="{207F32C6-D823-147A-CF69-BE32D4404B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2" name="Text Box 438">
          <a:extLst>
            <a:ext uri="{FF2B5EF4-FFF2-40B4-BE49-F238E27FC236}">
              <a16:creationId xmlns:a16="http://schemas.microsoft.com/office/drawing/2014/main" id="{A736C11F-93C6-E5B8-3A34-ED9B6EEB50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3" name="Text Box 439">
          <a:extLst>
            <a:ext uri="{FF2B5EF4-FFF2-40B4-BE49-F238E27FC236}">
              <a16:creationId xmlns:a16="http://schemas.microsoft.com/office/drawing/2014/main" id="{CC5416AF-00DA-B1F4-629D-F78D49B588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4" name="Text Box 440">
          <a:extLst>
            <a:ext uri="{FF2B5EF4-FFF2-40B4-BE49-F238E27FC236}">
              <a16:creationId xmlns:a16="http://schemas.microsoft.com/office/drawing/2014/main" id="{15204B44-1AA3-FD87-185A-389625A4DE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5" name="Text Box 441">
          <a:extLst>
            <a:ext uri="{FF2B5EF4-FFF2-40B4-BE49-F238E27FC236}">
              <a16:creationId xmlns:a16="http://schemas.microsoft.com/office/drawing/2014/main" id="{C0C7542F-EA71-0470-5C10-D1857B9F56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6" name="Text Box 442">
          <a:extLst>
            <a:ext uri="{FF2B5EF4-FFF2-40B4-BE49-F238E27FC236}">
              <a16:creationId xmlns:a16="http://schemas.microsoft.com/office/drawing/2014/main" id="{50DF3E77-C784-4107-BFBB-95AD53A24D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7" name="Text Box 443">
          <a:extLst>
            <a:ext uri="{FF2B5EF4-FFF2-40B4-BE49-F238E27FC236}">
              <a16:creationId xmlns:a16="http://schemas.microsoft.com/office/drawing/2014/main" id="{076F1B43-9710-2B61-4DCB-8C7967751A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8" name="Text Box 444">
          <a:extLst>
            <a:ext uri="{FF2B5EF4-FFF2-40B4-BE49-F238E27FC236}">
              <a16:creationId xmlns:a16="http://schemas.microsoft.com/office/drawing/2014/main" id="{CFAE49A6-2092-ABC9-4543-391241AB7C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39" name="Text Box 445">
          <a:extLst>
            <a:ext uri="{FF2B5EF4-FFF2-40B4-BE49-F238E27FC236}">
              <a16:creationId xmlns:a16="http://schemas.microsoft.com/office/drawing/2014/main" id="{D507F82F-408E-7359-7CE4-15CDE5178E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0" name="Text Box 446">
          <a:extLst>
            <a:ext uri="{FF2B5EF4-FFF2-40B4-BE49-F238E27FC236}">
              <a16:creationId xmlns:a16="http://schemas.microsoft.com/office/drawing/2014/main" id="{90F3CAF3-1D8D-FB8A-AB3A-0AEC50EADBE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1" name="Text Box 447">
          <a:extLst>
            <a:ext uri="{FF2B5EF4-FFF2-40B4-BE49-F238E27FC236}">
              <a16:creationId xmlns:a16="http://schemas.microsoft.com/office/drawing/2014/main" id="{E2DA3C90-3BDB-1A0C-7752-5040486728C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2" name="Text Box 448">
          <a:extLst>
            <a:ext uri="{FF2B5EF4-FFF2-40B4-BE49-F238E27FC236}">
              <a16:creationId xmlns:a16="http://schemas.microsoft.com/office/drawing/2014/main" id="{503DFCC4-C569-14A5-FB8E-E613A4D6CA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3" name="Text Box 449">
          <a:extLst>
            <a:ext uri="{FF2B5EF4-FFF2-40B4-BE49-F238E27FC236}">
              <a16:creationId xmlns:a16="http://schemas.microsoft.com/office/drawing/2014/main" id="{16ED3965-4BC3-23E3-89DA-C194BB1746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4" name="Text Box 450">
          <a:extLst>
            <a:ext uri="{FF2B5EF4-FFF2-40B4-BE49-F238E27FC236}">
              <a16:creationId xmlns:a16="http://schemas.microsoft.com/office/drawing/2014/main" id="{7E6F9AD3-09EA-BBBB-3AF7-A4BA5EA5E6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5" name="Text Box 451">
          <a:extLst>
            <a:ext uri="{FF2B5EF4-FFF2-40B4-BE49-F238E27FC236}">
              <a16:creationId xmlns:a16="http://schemas.microsoft.com/office/drawing/2014/main" id="{EDFF49A6-EBA8-C14F-2595-04A019F085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6" name="Text Box 452">
          <a:extLst>
            <a:ext uri="{FF2B5EF4-FFF2-40B4-BE49-F238E27FC236}">
              <a16:creationId xmlns:a16="http://schemas.microsoft.com/office/drawing/2014/main" id="{24874288-629B-A3B4-163D-A4EDFFE84C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7" name="Text Box 453">
          <a:extLst>
            <a:ext uri="{FF2B5EF4-FFF2-40B4-BE49-F238E27FC236}">
              <a16:creationId xmlns:a16="http://schemas.microsoft.com/office/drawing/2014/main" id="{137340D3-62C5-434D-1E2D-B3D6C7FD3E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8" name="Text Box 454">
          <a:extLst>
            <a:ext uri="{FF2B5EF4-FFF2-40B4-BE49-F238E27FC236}">
              <a16:creationId xmlns:a16="http://schemas.microsoft.com/office/drawing/2014/main" id="{4AC03C16-11D4-3BBE-1E38-44612757C7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49" name="Text Box 455">
          <a:extLst>
            <a:ext uri="{FF2B5EF4-FFF2-40B4-BE49-F238E27FC236}">
              <a16:creationId xmlns:a16="http://schemas.microsoft.com/office/drawing/2014/main" id="{FED303EE-FFAB-EAA7-5BA3-BDF6D4EAD9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0" name="Text Box 456">
          <a:extLst>
            <a:ext uri="{FF2B5EF4-FFF2-40B4-BE49-F238E27FC236}">
              <a16:creationId xmlns:a16="http://schemas.microsoft.com/office/drawing/2014/main" id="{BAE4C1E4-2705-03D7-6553-EC072641D3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1" name="Text Box 457">
          <a:extLst>
            <a:ext uri="{FF2B5EF4-FFF2-40B4-BE49-F238E27FC236}">
              <a16:creationId xmlns:a16="http://schemas.microsoft.com/office/drawing/2014/main" id="{1C3145C6-FB92-3C73-ADF2-4F0E0007CB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2" name="Text Box 458">
          <a:extLst>
            <a:ext uri="{FF2B5EF4-FFF2-40B4-BE49-F238E27FC236}">
              <a16:creationId xmlns:a16="http://schemas.microsoft.com/office/drawing/2014/main" id="{492D5286-819F-7755-98D9-CFE77E56F8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3" name="Text Box 459">
          <a:extLst>
            <a:ext uri="{FF2B5EF4-FFF2-40B4-BE49-F238E27FC236}">
              <a16:creationId xmlns:a16="http://schemas.microsoft.com/office/drawing/2014/main" id="{9FC57144-E106-5C23-26E1-C86AF78DD7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4" name="Text Box 460">
          <a:extLst>
            <a:ext uri="{FF2B5EF4-FFF2-40B4-BE49-F238E27FC236}">
              <a16:creationId xmlns:a16="http://schemas.microsoft.com/office/drawing/2014/main" id="{1186CED8-DB06-8102-3D4E-CEE83AE8A86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5" name="Text Box 461">
          <a:extLst>
            <a:ext uri="{FF2B5EF4-FFF2-40B4-BE49-F238E27FC236}">
              <a16:creationId xmlns:a16="http://schemas.microsoft.com/office/drawing/2014/main" id="{F832EEFF-6CD9-E7A6-ACE5-6AB6F19722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6" name="Text Box 462">
          <a:extLst>
            <a:ext uri="{FF2B5EF4-FFF2-40B4-BE49-F238E27FC236}">
              <a16:creationId xmlns:a16="http://schemas.microsoft.com/office/drawing/2014/main" id="{80211535-8405-E232-E58C-D456F43204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7" name="Text Box 463">
          <a:extLst>
            <a:ext uri="{FF2B5EF4-FFF2-40B4-BE49-F238E27FC236}">
              <a16:creationId xmlns:a16="http://schemas.microsoft.com/office/drawing/2014/main" id="{B3C978BE-F5FD-29BC-D825-31BE2C645E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8" name="Text Box 464">
          <a:extLst>
            <a:ext uri="{FF2B5EF4-FFF2-40B4-BE49-F238E27FC236}">
              <a16:creationId xmlns:a16="http://schemas.microsoft.com/office/drawing/2014/main" id="{C6D8835A-0992-9C67-3422-7C19DFA333A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59" name="Text Box 465">
          <a:extLst>
            <a:ext uri="{FF2B5EF4-FFF2-40B4-BE49-F238E27FC236}">
              <a16:creationId xmlns:a16="http://schemas.microsoft.com/office/drawing/2014/main" id="{88DA654A-4C94-7940-B713-CE134511E5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0" name="Text Box 466">
          <a:extLst>
            <a:ext uri="{FF2B5EF4-FFF2-40B4-BE49-F238E27FC236}">
              <a16:creationId xmlns:a16="http://schemas.microsoft.com/office/drawing/2014/main" id="{D7BC13A7-025D-00E5-8BF1-3B30EBFC5E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1" name="Text Box 467">
          <a:extLst>
            <a:ext uri="{FF2B5EF4-FFF2-40B4-BE49-F238E27FC236}">
              <a16:creationId xmlns:a16="http://schemas.microsoft.com/office/drawing/2014/main" id="{589F0BD5-7443-F011-EA37-C8B12D3428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2" name="Text Box 468">
          <a:extLst>
            <a:ext uri="{FF2B5EF4-FFF2-40B4-BE49-F238E27FC236}">
              <a16:creationId xmlns:a16="http://schemas.microsoft.com/office/drawing/2014/main" id="{16877B66-7D9E-BD90-7C98-FEF08EC00D4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3" name="Text Box 469">
          <a:extLst>
            <a:ext uri="{FF2B5EF4-FFF2-40B4-BE49-F238E27FC236}">
              <a16:creationId xmlns:a16="http://schemas.microsoft.com/office/drawing/2014/main" id="{2F6760C8-D7AA-3A9B-2DE9-499A5ED8B3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4" name="Text Box 470">
          <a:extLst>
            <a:ext uri="{FF2B5EF4-FFF2-40B4-BE49-F238E27FC236}">
              <a16:creationId xmlns:a16="http://schemas.microsoft.com/office/drawing/2014/main" id="{8DC1E8E6-EDB4-CF53-E0D2-29DFCF6F64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5" name="Text Box 471">
          <a:extLst>
            <a:ext uri="{FF2B5EF4-FFF2-40B4-BE49-F238E27FC236}">
              <a16:creationId xmlns:a16="http://schemas.microsoft.com/office/drawing/2014/main" id="{32FCD563-D30F-4A63-CA3A-8A45E0603C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6" name="Text Box 472">
          <a:extLst>
            <a:ext uri="{FF2B5EF4-FFF2-40B4-BE49-F238E27FC236}">
              <a16:creationId xmlns:a16="http://schemas.microsoft.com/office/drawing/2014/main" id="{188CEE5D-A714-1496-31B6-C5B655ED87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7" name="Text Box 473">
          <a:extLst>
            <a:ext uri="{FF2B5EF4-FFF2-40B4-BE49-F238E27FC236}">
              <a16:creationId xmlns:a16="http://schemas.microsoft.com/office/drawing/2014/main" id="{4FFD4E8D-9775-9F7F-67F6-CDB40A7EC6B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8" name="Text Box 474">
          <a:extLst>
            <a:ext uri="{FF2B5EF4-FFF2-40B4-BE49-F238E27FC236}">
              <a16:creationId xmlns:a16="http://schemas.microsoft.com/office/drawing/2014/main" id="{9457CB79-F07D-A93C-D548-C04D340A96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69" name="Text Box 475">
          <a:extLst>
            <a:ext uri="{FF2B5EF4-FFF2-40B4-BE49-F238E27FC236}">
              <a16:creationId xmlns:a16="http://schemas.microsoft.com/office/drawing/2014/main" id="{ACE5FCA4-CB6F-1E14-3CFD-7222671240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0" name="Text Box 476">
          <a:extLst>
            <a:ext uri="{FF2B5EF4-FFF2-40B4-BE49-F238E27FC236}">
              <a16:creationId xmlns:a16="http://schemas.microsoft.com/office/drawing/2014/main" id="{32055BC9-5170-FA0D-4815-9AC115136D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1" name="Text Box 477">
          <a:extLst>
            <a:ext uri="{FF2B5EF4-FFF2-40B4-BE49-F238E27FC236}">
              <a16:creationId xmlns:a16="http://schemas.microsoft.com/office/drawing/2014/main" id="{BDDEC61B-B0B0-DFFA-08B3-2DF17C2E92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2" name="Text Box 478">
          <a:extLst>
            <a:ext uri="{FF2B5EF4-FFF2-40B4-BE49-F238E27FC236}">
              <a16:creationId xmlns:a16="http://schemas.microsoft.com/office/drawing/2014/main" id="{2E5F8E29-CAA4-44E7-E8B1-69CA7B8E79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3" name="Text Box 479">
          <a:extLst>
            <a:ext uri="{FF2B5EF4-FFF2-40B4-BE49-F238E27FC236}">
              <a16:creationId xmlns:a16="http://schemas.microsoft.com/office/drawing/2014/main" id="{0F046A3B-15B3-3390-E70D-91D363C2B9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4" name="Text Box 480">
          <a:extLst>
            <a:ext uri="{FF2B5EF4-FFF2-40B4-BE49-F238E27FC236}">
              <a16:creationId xmlns:a16="http://schemas.microsoft.com/office/drawing/2014/main" id="{0968BDDC-5137-10F6-2FF2-2823C19EB89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5" name="Text Box 481">
          <a:extLst>
            <a:ext uri="{FF2B5EF4-FFF2-40B4-BE49-F238E27FC236}">
              <a16:creationId xmlns:a16="http://schemas.microsoft.com/office/drawing/2014/main" id="{731E0827-3F30-EE2B-B614-7CD4BC9862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6" name="Text Box 482">
          <a:extLst>
            <a:ext uri="{FF2B5EF4-FFF2-40B4-BE49-F238E27FC236}">
              <a16:creationId xmlns:a16="http://schemas.microsoft.com/office/drawing/2014/main" id="{F89711E6-832A-7D5B-A234-1420ABC9E5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7" name="Text Box 483">
          <a:extLst>
            <a:ext uri="{FF2B5EF4-FFF2-40B4-BE49-F238E27FC236}">
              <a16:creationId xmlns:a16="http://schemas.microsoft.com/office/drawing/2014/main" id="{6C3A95FD-2E5D-353B-F435-38764B6DA1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8" name="Text Box 484">
          <a:extLst>
            <a:ext uri="{FF2B5EF4-FFF2-40B4-BE49-F238E27FC236}">
              <a16:creationId xmlns:a16="http://schemas.microsoft.com/office/drawing/2014/main" id="{D2E53863-65F1-2D4A-C84D-90999ECEC7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79" name="Text Box 485">
          <a:extLst>
            <a:ext uri="{FF2B5EF4-FFF2-40B4-BE49-F238E27FC236}">
              <a16:creationId xmlns:a16="http://schemas.microsoft.com/office/drawing/2014/main" id="{07894207-FDBD-3761-7E59-F31EC15DC2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0" name="Text Box 486">
          <a:extLst>
            <a:ext uri="{FF2B5EF4-FFF2-40B4-BE49-F238E27FC236}">
              <a16:creationId xmlns:a16="http://schemas.microsoft.com/office/drawing/2014/main" id="{1B7468D7-2DF5-BFE7-D374-33EB4F265F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1" name="Text Box 487">
          <a:extLst>
            <a:ext uri="{FF2B5EF4-FFF2-40B4-BE49-F238E27FC236}">
              <a16:creationId xmlns:a16="http://schemas.microsoft.com/office/drawing/2014/main" id="{BCF8E0E0-85AE-517A-5968-35DED9BB40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2" name="Text Box 488">
          <a:extLst>
            <a:ext uri="{FF2B5EF4-FFF2-40B4-BE49-F238E27FC236}">
              <a16:creationId xmlns:a16="http://schemas.microsoft.com/office/drawing/2014/main" id="{CC77FAEB-E08C-5907-1930-D22BA62C0B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3" name="Text Box 489">
          <a:extLst>
            <a:ext uri="{FF2B5EF4-FFF2-40B4-BE49-F238E27FC236}">
              <a16:creationId xmlns:a16="http://schemas.microsoft.com/office/drawing/2014/main" id="{3A9B87E0-2754-B8A1-888D-AFF69546BB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4" name="Text Box 490">
          <a:extLst>
            <a:ext uri="{FF2B5EF4-FFF2-40B4-BE49-F238E27FC236}">
              <a16:creationId xmlns:a16="http://schemas.microsoft.com/office/drawing/2014/main" id="{B8442F6A-2AA2-8FB9-6A4F-19CE08163D8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5" name="Text Box 491">
          <a:extLst>
            <a:ext uri="{FF2B5EF4-FFF2-40B4-BE49-F238E27FC236}">
              <a16:creationId xmlns:a16="http://schemas.microsoft.com/office/drawing/2014/main" id="{9BC618E5-CB09-1A11-8102-3B31750117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6" name="Text Box 492">
          <a:extLst>
            <a:ext uri="{FF2B5EF4-FFF2-40B4-BE49-F238E27FC236}">
              <a16:creationId xmlns:a16="http://schemas.microsoft.com/office/drawing/2014/main" id="{249DE071-AE6C-05BB-7CEB-D31CA4F87C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7" name="Text Box 493">
          <a:extLst>
            <a:ext uri="{FF2B5EF4-FFF2-40B4-BE49-F238E27FC236}">
              <a16:creationId xmlns:a16="http://schemas.microsoft.com/office/drawing/2014/main" id="{60897933-F376-6F90-FD9A-416CDF1B7CF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8" name="Text Box 494">
          <a:extLst>
            <a:ext uri="{FF2B5EF4-FFF2-40B4-BE49-F238E27FC236}">
              <a16:creationId xmlns:a16="http://schemas.microsoft.com/office/drawing/2014/main" id="{1CCE5576-AFEC-9E95-773A-C6A279543C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89" name="Text Box 495">
          <a:extLst>
            <a:ext uri="{FF2B5EF4-FFF2-40B4-BE49-F238E27FC236}">
              <a16:creationId xmlns:a16="http://schemas.microsoft.com/office/drawing/2014/main" id="{4964F56F-A55D-C7E9-5288-0A48932D77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0" name="Text Box 496">
          <a:extLst>
            <a:ext uri="{FF2B5EF4-FFF2-40B4-BE49-F238E27FC236}">
              <a16:creationId xmlns:a16="http://schemas.microsoft.com/office/drawing/2014/main" id="{DD810FBE-AD47-448D-D7A3-CF5232BBEC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1" name="Text Box 497">
          <a:extLst>
            <a:ext uri="{FF2B5EF4-FFF2-40B4-BE49-F238E27FC236}">
              <a16:creationId xmlns:a16="http://schemas.microsoft.com/office/drawing/2014/main" id="{976AB614-E680-CF6C-A5EC-A77A6A7042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2" name="Text Box 498">
          <a:extLst>
            <a:ext uri="{FF2B5EF4-FFF2-40B4-BE49-F238E27FC236}">
              <a16:creationId xmlns:a16="http://schemas.microsoft.com/office/drawing/2014/main" id="{131F617F-C813-834A-D203-DC6138EBA1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3" name="Text Box 499">
          <a:extLst>
            <a:ext uri="{FF2B5EF4-FFF2-40B4-BE49-F238E27FC236}">
              <a16:creationId xmlns:a16="http://schemas.microsoft.com/office/drawing/2014/main" id="{8F1E2C63-1610-8264-F0A0-3F61C6363DC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4" name="Text Box 500">
          <a:extLst>
            <a:ext uri="{FF2B5EF4-FFF2-40B4-BE49-F238E27FC236}">
              <a16:creationId xmlns:a16="http://schemas.microsoft.com/office/drawing/2014/main" id="{F44B80CA-2269-69C0-1C7B-34B3D95917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5" name="Text Box 501">
          <a:extLst>
            <a:ext uri="{FF2B5EF4-FFF2-40B4-BE49-F238E27FC236}">
              <a16:creationId xmlns:a16="http://schemas.microsoft.com/office/drawing/2014/main" id="{C4EED211-C4CE-C91C-27A1-32513B1F0D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6" name="Text Box 502">
          <a:extLst>
            <a:ext uri="{FF2B5EF4-FFF2-40B4-BE49-F238E27FC236}">
              <a16:creationId xmlns:a16="http://schemas.microsoft.com/office/drawing/2014/main" id="{5294B409-46D1-ECF6-78E3-59EA751A6C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7" name="Text Box 503">
          <a:extLst>
            <a:ext uri="{FF2B5EF4-FFF2-40B4-BE49-F238E27FC236}">
              <a16:creationId xmlns:a16="http://schemas.microsoft.com/office/drawing/2014/main" id="{0D0F6E6E-7814-B985-B8EA-706F8A70F8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8" name="Text Box 504">
          <a:extLst>
            <a:ext uri="{FF2B5EF4-FFF2-40B4-BE49-F238E27FC236}">
              <a16:creationId xmlns:a16="http://schemas.microsoft.com/office/drawing/2014/main" id="{B5205039-1681-E887-405E-38B64281736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499" name="Text Box 505">
          <a:extLst>
            <a:ext uri="{FF2B5EF4-FFF2-40B4-BE49-F238E27FC236}">
              <a16:creationId xmlns:a16="http://schemas.microsoft.com/office/drawing/2014/main" id="{7BD0F02E-872C-76BA-8EBD-A500744FDD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0" name="Text Box 506">
          <a:extLst>
            <a:ext uri="{FF2B5EF4-FFF2-40B4-BE49-F238E27FC236}">
              <a16:creationId xmlns:a16="http://schemas.microsoft.com/office/drawing/2014/main" id="{9A6903A3-921D-99DB-48EB-FAA5E75E08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1" name="Text Box 507">
          <a:extLst>
            <a:ext uri="{FF2B5EF4-FFF2-40B4-BE49-F238E27FC236}">
              <a16:creationId xmlns:a16="http://schemas.microsoft.com/office/drawing/2014/main" id="{B281C3E5-97AF-0426-AFFE-F2BC6CCD17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2" name="Text Box 508">
          <a:extLst>
            <a:ext uri="{FF2B5EF4-FFF2-40B4-BE49-F238E27FC236}">
              <a16:creationId xmlns:a16="http://schemas.microsoft.com/office/drawing/2014/main" id="{19B5056A-E34B-0D3A-3F73-7474D632D6B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3" name="Text Box 509">
          <a:extLst>
            <a:ext uri="{FF2B5EF4-FFF2-40B4-BE49-F238E27FC236}">
              <a16:creationId xmlns:a16="http://schemas.microsoft.com/office/drawing/2014/main" id="{CA524C2B-F1D3-A97E-BE75-8FF4964561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4" name="Text Box 510">
          <a:extLst>
            <a:ext uri="{FF2B5EF4-FFF2-40B4-BE49-F238E27FC236}">
              <a16:creationId xmlns:a16="http://schemas.microsoft.com/office/drawing/2014/main" id="{F064296E-F4C8-CA2C-3001-59F1A54B8FE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5" name="Text Box 511">
          <a:extLst>
            <a:ext uri="{FF2B5EF4-FFF2-40B4-BE49-F238E27FC236}">
              <a16:creationId xmlns:a16="http://schemas.microsoft.com/office/drawing/2014/main" id="{C265332D-B4B1-E8D3-0703-1D09BB70DC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6" name="Text Box 512">
          <a:extLst>
            <a:ext uri="{FF2B5EF4-FFF2-40B4-BE49-F238E27FC236}">
              <a16:creationId xmlns:a16="http://schemas.microsoft.com/office/drawing/2014/main" id="{4F3295B7-D279-058C-2C11-14FFE08159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7" name="Text Box 513">
          <a:extLst>
            <a:ext uri="{FF2B5EF4-FFF2-40B4-BE49-F238E27FC236}">
              <a16:creationId xmlns:a16="http://schemas.microsoft.com/office/drawing/2014/main" id="{D44A1276-3873-19AA-FFE0-1657589640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8" name="Text Box 514">
          <a:extLst>
            <a:ext uri="{FF2B5EF4-FFF2-40B4-BE49-F238E27FC236}">
              <a16:creationId xmlns:a16="http://schemas.microsoft.com/office/drawing/2014/main" id="{477FA796-BCFB-2647-CF91-A92B105521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09" name="Text Box 515">
          <a:extLst>
            <a:ext uri="{FF2B5EF4-FFF2-40B4-BE49-F238E27FC236}">
              <a16:creationId xmlns:a16="http://schemas.microsoft.com/office/drawing/2014/main" id="{543E7ACE-ECC5-7779-D450-8520A67721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0" name="Text Box 516">
          <a:extLst>
            <a:ext uri="{FF2B5EF4-FFF2-40B4-BE49-F238E27FC236}">
              <a16:creationId xmlns:a16="http://schemas.microsoft.com/office/drawing/2014/main" id="{18E7BB4F-A845-6756-8FBC-B3AF7C53D6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1" name="Text Box 517">
          <a:extLst>
            <a:ext uri="{FF2B5EF4-FFF2-40B4-BE49-F238E27FC236}">
              <a16:creationId xmlns:a16="http://schemas.microsoft.com/office/drawing/2014/main" id="{1504E2F2-8594-6796-5362-452BD45051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2" name="Text Box 518">
          <a:extLst>
            <a:ext uri="{FF2B5EF4-FFF2-40B4-BE49-F238E27FC236}">
              <a16:creationId xmlns:a16="http://schemas.microsoft.com/office/drawing/2014/main" id="{22854890-0337-0935-1A3A-1AAE70ADED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3" name="Text Box 519">
          <a:extLst>
            <a:ext uri="{FF2B5EF4-FFF2-40B4-BE49-F238E27FC236}">
              <a16:creationId xmlns:a16="http://schemas.microsoft.com/office/drawing/2014/main" id="{17B3EBFE-7EAD-5A54-2562-7777AB9CF8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4" name="Text Box 520">
          <a:extLst>
            <a:ext uri="{FF2B5EF4-FFF2-40B4-BE49-F238E27FC236}">
              <a16:creationId xmlns:a16="http://schemas.microsoft.com/office/drawing/2014/main" id="{50EAA83E-D66D-9C02-AB2C-6B3263B484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5" name="Text Box 521">
          <a:extLst>
            <a:ext uri="{FF2B5EF4-FFF2-40B4-BE49-F238E27FC236}">
              <a16:creationId xmlns:a16="http://schemas.microsoft.com/office/drawing/2014/main" id="{11B8F921-524E-75C5-A4E5-3C41FCAF40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6" name="Text Box 522">
          <a:extLst>
            <a:ext uri="{FF2B5EF4-FFF2-40B4-BE49-F238E27FC236}">
              <a16:creationId xmlns:a16="http://schemas.microsoft.com/office/drawing/2014/main" id="{11CA437A-C97D-131D-D3A5-54F03ADC08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7" name="Text Box 523">
          <a:extLst>
            <a:ext uri="{FF2B5EF4-FFF2-40B4-BE49-F238E27FC236}">
              <a16:creationId xmlns:a16="http://schemas.microsoft.com/office/drawing/2014/main" id="{BF1FB32D-333D-BF09-45D4-A929187547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8" name="Text Box 524">
          <a:extLst>
            <a:ext uri="{FF2B5EF4-FFF2-40B4-BE49-F238E27FC236}">
              <a16:creationId xmlns:a16="http://schemas.microsoft.com/office/drawing/2014/main" id="{F0DD18BB-1AB0-5E9B-616F-56C8713F36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19" name="Text Box 525">
          <a:extLst>
            <a:ext uri="{FF2B5EF4-FFF2-40B4-BE49-F238E27FC236}">
              <a16:creationId xmlns:a16="http://schemas.microsoft.com/office/drawing/2014/main" id="{6E3602D4-4746-EE62-D1A4-C1B9748316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0" name="Text Box 526">
          <a:extLst>
            <a:ext uri="{FF2B5EF4-FFF2-40B4-BE49-F238E27FC236}">
              <a16:creationId xmlns:a16="http://schemas.microsoft.com/office/drawing/2014/main" id="{06603B5C-FCBB-434E-96B0-5ACC23AC4C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1" name="Text Box 527">
          <a:extLst>
            <a:ext uri="{FF2B5EF4-FFF2-40B4-BE49-F238E27FC236}">
              <a16:creationId xmlns:a16="http://schemas.microsoft.com/office/drawing/2014/main" id="{FB1743C8-6644-D476-E447-DF7831262FE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2" name="Text Box 528">
          <a:extLst>
            <a:ext uri="{FF2B5EF4-FFF2-40B4-BE49-F238E27FC236}">
              <a16:creationId xmlns:a16="http://schemas.microsoft.com/office/drawing/2014/main" id="{C327E368-9718-9EB4-0AE7-72835C18D4A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3" name="Text Box 529">
          <a:extLst>
            <a:ext uri="{FF2B5EF4-FFF2-40B4-BE49-F238E27FC236}">
              <a16:creationId xmlns:a16="http://schemas.microsoft.com/office/drawing/2014/main" id="{89C47BA1-3ED2-9897-EB57-96C42C0F260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4" name="Text Box 530">
          <a:extLst>
            <a:ext uri="{FF2B5EF4-FFF2-40B4-BE49-F238E27FC236}">
              <a16:creationId xmlns:a16="http://schemas.microsoft.com/office/drawing/2014/main" id="{5D28341D-1B13-81C4-D058-625B4B8EBE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5" name="Text Box 531">
          <a:extLst>
            <a:ext uri="{FF2B5EF4-FFF2-40B4-BE49-F238E27FC236}">
              <a16:creationId xmlns:a16="http://schemas.microsoft.com/office/drawing/2014/main" id="{51E1583D-324F-5216-06F9-88EA1B5A93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6" name="Text Box 533">
          <a:extLst>
            <a:ext uri="{FF2B5EF4-FFF2-40B4-BE49-F238E27FC236}">
              <a16:creationId xmlns:a16="http://schemas.microsoft.com/office/drawing/2014/main" id="{A1DD6FCC-63DC-AAE8-8FC2-FDDE4363A5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7" name="Text Box 534">
          <a:extLst>
            <a:ext uri="{FF2B5EF4-FFF2-40B4-BE49-F238E27FC236}">
              <a16:creationId xmlns:a16="http://schemas.microsoft.com/office/drawing/2014/main" id="{8A339078-FBD8-1031-7632-146244EFDC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8" name="Text Box 535">
          <a:extLst>
            <a:ext uri="{FF2B5EF4-FFF2-40B4-BE49-F238E27FC236}">
              <a16:creationId xmlns:a16="http://schemas.microsoft.com/office/drawing/2014/main" id="{CD36C252-1D7A-84D8-2112-862B03D267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29" name="Text Box 536">
          <a:extLst>
            <a:ext uri="{FF2B5EF4-FFF2-40B4-BE49-F238E27FC236}">
              <a16:creationId xmlns:a16="http://schemas.microsoft.com/office/drawing/2014/main" id="{6892B471-8846-126F-CB28-34C721A7F38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0" name="Text Box 537">
          <a:extLst>
            <a:ext uri="{FF2B5EF4-FFF2-40B4-BE49-F238E27FC236}">
              <a16:creationId xmlns:a16="http://schemas.microsoft.com/office/drawing/2014/main" id="{842BC393-7C65-BE7C-86C9-7C971BC294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1" name="Text Box 538">
          <a:extLst>
            <a:ext uri="{FF2B5EF4-FFF2-40B4-BE49-F238E27FC236}">
              <a16:creationId xmlns:a16="http://schemas.microsoft.com/office/drawing/2014/main" id="{A6001690-D40C-D69D-A9C8-58D065BAC5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2" name="Text Box 539">
          <a:extLst>
            <a:ext uri="{FF2B5EF4-FFF2-40B4-BE49-F238E27FC236}">
              <a16:creationId xmlns:a16="http://schemas.microsoft.com/office/drawing/2014/main" id="{107AC6F4-B833-F9B1-1006-2D528F858F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3" name="Text Box 540">
          <a:extLst>
            <a:ext uri="{FF2B5EF4-FFF2-40B4-BE49-F238E27FC236}">
              <a16:creationId xmlns:a16="http://schemas.microsoft.com/office/drawing/2014/main" id="{CF47846F-1CFB-E901-0F10-BDB3DBD4888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4" name="Text Box 541">
          <a:extLst>
            <a:ext uri="{FF2B5EF4-FFF2-40B4-BE49-F238E27FC236}">
              <a16:creationId xmlns:a16="http://schemas.microsoft.com/office/drawing/2014/main" id="{CCF55C89-8A33-2A3C-5AA6-0B7FAD42443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5" name="Text Box 542">
          <a:extLst>
            <a:ext uri="{FF2B5EF4-FFF2-40B4-BE49-F238E27FC236}">
              <a16:creationId xmlns:a16="http://schemas.microsoft.com/office/drawing/2014/main" id="{47C8FE7A-1A13-1A73-7D3C-004EA5CC28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6" name="Text Box 543">
          <a:extLst>
            <a:ext uri="{FF2B5EF4-FFF2-40B4-BE49-F238E27FC236}">
              <a16:creationId xmlns:a16="http://schemas.microsoft.com/office/drawing/2014/main" id="{5B3671A0-D2E1-6715-B5DC-8E00CD4103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7" name="Text Box 544">
          <a:extLst>
            <a:ext uri="{FF2B5EF4-FFF2-40B4-BE49-F238E27FC236}">
              <a16:creationId xmlns:a16="http://schemas.microsoft.com/office/drawing/2014/main" id="{6C6DD9CC-6B5D-034C-91E8-7216E89F79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8" name="Text Box 545">
          <a:extLst>
            <a:ext uri="{FF2B5EF4-FFF2-40B4-BE49-F238E27FC236}">
              <a16:creationId xmlns:a16="http://schemas.microsoft.com/office/drawing/2014/main" id="{3A26A225-7FE4-3E9F-B948-189BBEC3C1F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39" name="Text Box 546">
          <a:extLst>
            <a:ext uri="{FF2B5EF4-FFF2-40B4-BE49-F238E27FC236}">
              <a16:creationId xmlns:a16="http://schemas.microsoft.com/office/drawing/2014/main" id="{C544567A-0CC1-E889-500C-EB727A1ADF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0" name="Text Box 547">
          <a:extLst>
            <a:ext uri="{FF2B5EF4-FFF2-40B4-BE49-F238E27FC236}">
              <a16:creationId xmlns:a16="http://schemas.microsoft.com/office/drawing/2014/main" id="{2646BEDF-150E-3922-B7EC-F9AFD42222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1" name="Text Box 548">
          <a:extLst>
            <a:ext uri="{FF2B5EF4-FFF2-40B4-BE49-F238E27FC236}">
              <a16:creationId xmlns:a16="http://schemas.microsoft.com/office/drawing/2014/main" id="{6B73CBA2-DC81-D458-0B98-B6046E473B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2" name="Text Box 549">
          <a:extLst>
            <a:ext uri="{FF2B5EF4-FFF2-40B4-BE49-F238E27FC236}">
              <a16:creationId xmlns:a16="http://schemas.microsoft.com/office/drawing/2014/main" id="{15C5E6D4-5261-9A06-611C-6746B6E696C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3" name="Text Box 550">
          <a:extLst>
            <a:ext uri="{FF2B5EF4-FFF2-40B4-BE49-F238E27FC236}">
              <a16:creationId xmlns:a16="http://schemas.microsoft.com/office/drawing/2014/main" id="{9E3BF12C-BFCB-61BB-9890-DEA3B78BAB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4" name="Text Box 551">
          <a:extLst>
            <a:ext uri="{FF2B5EF4-FFF2-40B4-BE49-F238E27FC236}">
              <a16:creationId xmlns:a16="http://schemas.microsoft.com/office/drawing/2014/main" id="{F96510BC-5833-E8FB-509D-6D6A013E2B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5" name="Text Box 552">
          <a:extLst>
            <a:ext uri="{FF2B5EF4-FFF2-40B4-BE49-F238E27FC236}">
              <a16:creationId xmlns:a16="http://schemas.microsoft.com/office/drawing/2014/main" id="{4484E89B-9275-651B-9974-EBF7DF66B7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6" name="Text Box 553">
          <a:extLst>
            <a:ext uri="{FF2B5EF4-FFF2-40B4-BE49-F238E27FC236}">
              <a16:creationId xmlns:a16="http://schemas.microsoft.com/office/drawing/2014/main" id="{F428AC07-5E7E-5EFB-2D3E-45E29CF638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7" name="Text Box 554">
          <a:extLst>
            <a:ext uri="{FF2B5EF4-FFF2-40B4-BE49-F238E27FC236}">
              <a16:creationId xmlns:a16="http://schemas.microsoft.com/office/drawing/2014/main" id="{54D32D07-D74F-F2F4-3318-798658C7F8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8" name="Text Box 555">
          <a:extLst>
            <a:ext uri="{FF2B5EF4-FFF2-40B4-BE49-F238E27FC236}">
              <a16:creationId xmlns:a16="http://schemas.microsoft.com/office/drawing/2014/main" id="{BF80A13E-4C82-82EF-78F8-B62F2DE3AA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49" name="Text Box 556">
          <a:extLst>
            <a:ext uri="{FF2B5EF4-FFF2-40B4-BE49-F238E27FC236}">
              <a16:creationId xmlns:a16="http://schemas.microsoft.com/office/drawing/2014/main" id="{9727CA74-9F36-7F72-B552-D652759360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0" name="Text Box 557">
          <a:extLst>
            <a:ext uri="{FF2B5EF4-FFF2-40B4-BE49-F238E27FC236}">
              <a16:creationId xmlns:a16="http://schemas.microsoft.com/office/drawing/2014/main" id="{E9C77EE1-3C74-83B5-EF06-DD2BEF08F7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1" name="Text Box 558">
          <a:extLst>
            <a:ext uri="{FF2B5EF4-FFF2-40B4-BE49-F238E27FC236}">
              <a16:creationId xmlns:a16="http://schemas.microsoft.com/office/drawing/2014/main" id="{D6312593-4F72-4450-D5B2-03206095E5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2" name="Text Box 559">
          <a:extLst>
            <a:ext uri="{FF2B5EF4-FFF2-40B4-BE49-F238E27FC236}">
              <a16:creationId xmlns:a16="http://schemas.microsoft.com/office/drawing/2014/main" id="{65C89A9F-EC28-526D-21D0-BF9D6F7CEA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3" name="Text Box 560">
          <a:extLst>
            <a:ext uri="{FF2B5EF4-FFF2-40B4-BE49-F238E27FC236}">
              <a16:creationId xmlns:a16="http://schemas.microsoft.com/office/drawing/2014/main" id="{D3BC9723-D18E-10DE-6D85-0E128AF1DB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4" name="Text Box 561">
          <a:extLst>
            <a:ext uri="{FF2B5EF4-FFF2-40B4-BE49-F238E27FC236}">
              <a16:creationId xmlns:a16="http://schemas.microsoft.com/office/drawing/2014/main" id="{170CEB9F-3F9F-E536-494A-5D40B0F41F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5" name="Text Box 562">
          <a:extLst>
            <a:ext uri="{FF2B5EF4-FFF2-40B4-BE49-F238E27FC236}">
              <a16:creationId xmlns:a16="http://schemas.microsoft.com/office/drawing/2014/main" id="{60B6280E-62F0-69B8-1B8B-83296016DD7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6" name="Text Box 563">
          <a:extLst>
            <a:ext uri="{FF2B5EF4-FFF2-40B4-BE49-F238E27FC236}">
              <a16:creationId xmlns:a16="http://schemas.microsoft.com/office/drawing/2014/main" id="{2A39995A-D99C-E89C-7080-C057A06FD5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7" name="Text Box 564">
          <a:extLst>
            <a:ext uri="{FF2B5EF4-FFF2-40B4-BE49-F238E27FC236}">
              <a16:creationId xmlns:a16="http://schemas.microsoft.com/office/drawing/2014/main" id="{3EC36F5C-FFC7-0F21-2D7C-B0C9592091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8" name="Text Box 565">
          <a:extLst>
            <a:ext uri="{FF2B5EF4-FFF2-40B4-BE49-F238E27FC236}">
              <a16:creationId xmlns:a16="http://schemas.microsoft.com/office/drawing/2014/main" id="{5BDD43D0-1D95-EEDF-28E7-D15F0F8D6A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59" name="Text Box 566">
          <a:extLst>
            <a:ext uri="{FF2B5EF4-FFF2-40B4-BE49-F238E27FC236}">
              <a16:creationId xmlns:a16="http://schemas.microsoft.com/office/drawing/2014/main" id="{CE119218-ACC1-B5B7-DDC8-1F45BA2E62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0" name="Text Box 567">
          <a:extLst>
            <a:ext uri="{FF2B5EF4-FFF2-40B4-BE49-F238E27FC236}">
              <a16:creationId xmlns:a16="http://schemas.microsoft.com/office/drawing/2014/main" id="{BCE1C5CF-D7DF-5027-D6E8-E2BBC4937D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1" name="Text Box 568">
          <a:extLst>
            <a:ext uri="{FF2B5EF4-FFF2-40B4-BE49-F238E27FC236}">
              <a16:creationId xmlns:a16="http://schemas.microsoft.com/office/drawing/2014/main" id="{C8A7D774-A52B-5BA6-C667-8D92A6C839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2" name="Text Box 569">
          <a:extLst>
            <a:ext uri="{FF2B5EF4-FFF2-40B4-BE49-F238E27FC236}">
              <a16:creationId xmlns:a16="http://schemas.microsoft.com/office/drawing/2014/main" id="{C25DD2F3-90B8-96BA-15A0-36B05A7A92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3" name="Text Box 570">
          <a:extLst>
            <a:ext uri="{FF2B5EF4-FFF2-40B4-BE49-F238E27FC236}">
              <a16:creationId xmlns:a16="http://schemas.microsoft.com/office/drawing/2014/main" id="{2F87FE14-87AE-A977-EAFF-43F0287E4F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4" name="Text Box 571">
          <a:extLst>
            <a:ext uri="{FF2B5EF4-FFF2-40B4-BE49-F238E27FC236}">
              <a16:creationId xmlns:a16="http://schemas.microsoft.com/office/drawing/2014/main" id="{5AB6DE06-B5E7-EBFB-E771-F37A485E65F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5" name="Text Box 572">
          <a:extLst>
            <a:ext uri="{FF2B5EF4-FFF2-40B4-BE49-F238E27FC236}">
              <a16:creationId xmlns:a16="http://schemas.microsoft.com/office/drawing/2014/main" id="{B90A0BC0-91DC-D369-BCB9-FA65D94147F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6" name="Text Box 573">
          <a:extLst>
            <a:ext uri="{FF2B5EF4-FFF2-40B4-BE49-F238E27FC236}">
              <a16:creationId xmlns:a16="http://schemas.microsoft.com/office/drawing/2014/main" id="{8636A3B9-1100-D047-9743-A7F67D825E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7" name="Text Box 574">
          <a:extLst>
            <a:ext uri="{FF2B5EF4-FFF2-40B4-BE49-F238E27FC236}">
              <a16:creationId xmlns:a16="http://schemas.microsoft.com/office/drawing/2014/main" id="{87F17C4B-084E-098F-D216-A2CF31FB66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8" name="Text Box 575">
          <a:extLst>
            <a:ext uri="{FF2B5EF4-FFF2-40B4-BE49-F238E27FC236}">
              <a16:creationId xmlns:a16="http://schemas.microsoft.com/office/drawing/2014/main" id="{0DC0B95F-DD21-4AC1-099C-BF461B6B80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69" name="Text Box 576">
          <a:extLst>
            <a:ext uri="{FF2B5EF4-FFF2-40B4-BE49-F238E27FC236}">
              <a16:creationId xmlns:a16="http://schemas.microsoft.com/office/drawing/2014/main" id="{9056FA2D-0180-3639-9579-928C823BBC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0" name="Text Box 577">
          <a:extLst>
            <a:ext uri="{FF2B5EF4-FFF2-40B4-BE49-F238E27FC236}">
              <a16:creationId xmlns:a16="http://schemas.microsoft.com/office/drawing/2014/main" id="{CDDEFEB8-554F-C410-C4BA-DE93120A3E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1" name="Text Box 578">
          <a:extLst>
            <a:ext uri="{FF2B5EF4-FFF2-40B4-BE49-F238E27FC236}">
              <a16:creationId xmlns:a16="http://schemas.microsoft.com/office/drawing/2014/main" id="{D5ED9970-A954-81DC-2A53-08CCAA31184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2" name="Text Box 579">
          <a:extLst>
            <a:ext uri="{FF2B5EF4-FFF2-40B4-BE49-F238E27FC236}">
              <a16:creationId xmlns:a16="http://schemas.microsoft.com/office/drawing/2014/main" id="{F66CC0EE-CFD3-A0C6-1446-BB7C855513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3" name="Text Box 580">
          <a:extLst>
            <a:ext uri="{FF2B5EF4-FFF2-40B4-BE49-F238E27FC236}">
              <a16:creationId xmlns:a16="http://schemas.microsoft.com/office/drawing/2014/main" id="{C42D20CE-AF81-FC77-2B0B-C7D0011006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4" name="Text Box 581">
          <a:extLst>
            <a:ext uri="{FF2B5EF4-FFF2-40B4-BE49-F238E27FC236}">
              <a16:creationId xmlns:a16="http://schemas.microsoft.com/office/drawing/2014/main" id="{31D9642D-4277-7AE9-9A8A-C008038DA3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5" name="Text Box 582">
          <a:extLst>
            <a:ext uri="{FF2B5EF4-FFF2-40B4-BE49-F238E27FC236}">
              <a16:creationId xmlns:a16="http://schemas.microsoft.com/office/drawing/2014/main" id="{EC250C5E-C08D-C5FE-26E3-8D378F1263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6" name="Text Box 583">
          <a:extLst>
            <a:ext uri="{FF2B5EF4-FFF2-40B4-BE49-F238E27FC236}">
              <a16:creationId xmlns:a16="http://schemas.microsoft.com/office/drawing/2014/main" id="{8770C3DF-8DF3-CFF9-6BBD-2615D6BBFD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7" name="Text Box 584">
          <a:extLst>
            <a:ext uri="{FF2B5EF4-FFF2-40B4-BE49-F238E27FC236}">
              <a16:creationId xmlns:a16="http://schemas.microsoft.com/office/drawing/2014/main" id="{18958D4C-282A-285D-7A57-F52F455F04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8" name="Text Box 585">
          <a:extLst>
            <a:ext uri="{FF2B5EF4-FFF2-40B4-BE49-F238E27FC236}">
              <a16:creationId xmlns:a16="http://schemas.microsoft.com/office/drawing/2014/main" id="{B757ADA6-6B95-7111-832D-1FDBAF39D5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79" name="Text Box 586">
          <a:extLst>
            <a:ext uri="{FF2B5EF4-FFF2-40B4-BE49-F238E27FC236}">
              <a16:creationId xmlns:a16="http://schemas.microsoft.com/office/drawing/2014/main" id="{F7CD007A-5102-0FE7-E78A-E5AA9F0B55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0" name="Text Box 587">
          <a:extLst>
            <a:ext uri="{FF2B5EF4-FFF2-40B4-BE49-F238E27FC236}">
              <a16:creationId xmlns:a16="http://schemas.microsoft.com/office/drawing/2014/main" id="{42892442-7E50-29A5-00EC-D7402EE07C0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1" name="Text Box 588">
          <a:extLst>
            <a:ext uri="{FF2B5EF4-FFF2-40B4-BE49-F238E27FC236}">
              <a16:creationId xmlns:a16="http://schemas.microsoft.com/office/drawing/2014/main" id="{E7E6472A-0366-4F5A-E4D9-428456C2FB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2" name="Text Box 589">
          <a:extLst>
            <a:ext uri="{FF2B5EF4-FFF2-40B4-BE49-F238E27FC236}">
              <a16:creationId xmlns:a16="http://schemas.microsoft.com/office/drawing/2014/main" id="{E4D1BC36-D8E9-C719-0E34-7CA29ABFAA5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3" name="Text Box 590">
          <a:extLst>
            <a:ext uri="{FF2B5EF4-FFF2-40B4-BE49-F238E27FC236}">
              <a16:creationId xmlns:a16="http://schemas.microsoft.com/office/drawing/2014/main" id="{09F268F5-4C2F-5D3B-57FE-C2A04BD62E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4" name="Text Box 591">
          <a:extLst>
            <a:ext uri="{FF2B5EF4-FFF2-40B4-BE49-F238E27FC236}">
              <a16:creationId xmlns:a16="http://schemas.microsoft.com/office/drawing/2014/main" id="{49102145-4A12-406A-AF18-5541B1FC6A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5" name="Text Box 592">
          <a:extLst>
            <a:ext uri="{FF2B5EF4-FFF2-40B4-BE49-F238E27FC236}">
              <a16:creationId xmlns:a16="http://schemas.microsoft.com/office/drawing/2014/main" id="{8A5C6841-5469-8D81-4CCA-E6834BD61BB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6" name="Text Box 593">
          <a:extLst>
            <a:ext uri="{FF2B5EF4-FFF2-40B4-BE49-F238E27FC236}">
              <a16:creationId xmlns:a16="http://schemas.microsoft.com/office/drawing/2014/main" id="{52E1F9AF-698A-C1A7-54F4-030E111CBA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7" name="Text Box 594">
          <a:extLst>
            <a:ext uri="{FF2B5EF4-FFF2-40B4-BE49-F238E27FC236}">
              <a16:creationId xmlns:a16="http://schemas.microsoft.com/office/drawing/2014/main" id="{612685E8-D661-F211-022E-22D70417EE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8" name="Text Box 595">
          <a:extLst>
            <a:ext uri="{FF2B5EF4-FFF2-40B4-BE49-F238E27FC236}">
              <a16:creationId xmlns:a16="http://schemas.microsoft.com/office/drawing/2014/main" id="{8A723B8E-4235-8103-75B1-A2F86F0B38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89" name="Text Box 596">
          <a:extLst>
            <a:ext uri="{FF2B5EF4-FFF2-40B4-BE49-F238E27FC236}">
              <a16:creationId xmlns:a16="http://schemas.microsoft.com/office/drawing/2014/main" id="{0250510F-AACF-96C9-A3ED-FA540B0D80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0" name="Text Box 597">
          <a:extLst>
            <a:ext uri="{FF2B5EF4-FFF2-40B4-BE49-F238E27FC236}">
              <a16:creationId xmlns:a16="http://schemas.microsoft.com/office/drawing/2014/main" id="{D829DE43-2800-5632-5CB2-C50A8AE2339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1" name="Text Box 598">
          <a:extLst>
            <a:ext uri="{FF2B5EF4-FFF2-40B4-BE49-F238E27FC236}">
              <a16:creationId xmlns:a16="http://schemas.microsoft.com/office/drawing/2014/main" id="{39302EC2-11FD-0DE2-13C8-22A968DFE8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2" name="Text Box 599">
          <a:extLst>
            <a:ext uri="{FF2B5EF4-FFF2-40B4-BE49-F238E27FC236}">
              <a16:creationId xmlns:a16="http://schemas.microsoft.com/office/drawing/2014/main" id="{F5FFD7CB-EC13-CC88-8B71-B29A53A8CA3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3" name="Text Box 600">
          <a:extLst>
            <a:ext uri="{FF2B5EF4-FFF2-40B4-BE49-F238E27FC236}">
              <a16:creationId xmlns:a16="http://schemas.microsoft.com/office/drawing/2014/main" id="{823561B8-7F7B-9CCE-F504-AF04AFD97C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4" name="Text Box 601">
          <a:extLst>
            <a:ext uri="{FF2B5EF4-FFF2-40B4-BE49-F238E27FC236}">
              <a16:creationId xmlns:a16="http://schemas.microsoft.com/office/drawing/2014/main" id="{39D85F1C-DEAB-4FD9-A6BC-5C2D0F89A3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5" name="Text Box 602">
          <a:extLst>
            <a:ext uri="{FF2B5EF4-FFF2-40B4-BE49-F238E27FC236}">
              <a16:creationId xmlns:a16="http://schemas.microsoft.com/office/drawing/2014/main" id="{232332A9-6A0E-184C-7F06-C67D12ECA5A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6" name="Text Box 603">
          <a:extLst>
            <a:ext uri="{FF2B5EF4-FFF2-40B4-BE49-F238E27FC236}">
              <a16:creationId xmlns:a16="http://schemas.microsoft.com/office/drawing/2014/main" id="{E21A8B54-B0CD-F319-2C65-4DEB40F6D6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7" name="Text Box 604">
          <a:extLst>
            <a:ext uri="{FF2B5EF4-FFF2-40B4-BE49-F238E27FC236}">
              <a16:creationId xmlns:a16="http://schemas.microsoft.com/office/drawing/2014/main" id="{C121A34E-F04C-64C6-1238-3CA64CE47D8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8" name="Text Box 605">
          <a:extLst>
            <a:ext uri="{FF2B5EF4-FFF2-40B4-BE49-F238E27FC236}">
              <a16:creationId xmlns:a16="http://schemas.microsoft.com/office/drawing/2014/main" id="{C9747239-297C-8E34-47CD-E7EAAFB91B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599" name="Text Box 606">
          <a:extLst>
            <a:ext uri="{FF2B5EF4-FFF2-40B4-BE49-F238E27FC236}">
              <a16:creationId xmlns:a16="http://schemas.microsoft.com/office/drawing/2014/main" id="{ACDE252E-B3BD-47ED-05EC-AF53BEB2FF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0" name="Text Box 607">
          <a:extLst>
            <a:ext uri="{FF2B5EF4-FFF2-40B4-BE49-F238E27FC236}">
              <a16:creationId xmlns:a16="http://schemas.microsoft.com/office/drawing/2014/main" id="{E9ADCA9C-7293-E106-DE50-4049EDAE9A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1" name="Text Box 608">
          <a:extLst>
            <a:ext uri="{FF2B5EF4-FFF2-40B4-BE49-F238E27FC236}">
              <a16:creationId xmlns:a16="http://schemas.microsoft.com/office/drawing/2014/main" id="{15093EB8-ACB6-E0D1-B499-8FA4287C31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2" name="Text Box 609">
          <a:extLst>
            <a:ext uri="{FF2B5EF4-FFF2-40B4-BE49-F238E27FC236}">
              <a16:creationId xmlns:a16="http://schemas.microsoft.com/office/drawing/2014/main" id="{C5F01D50-DE3A-7209-DAE6-F9ECC26096A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3" name="Text Box 610">
          <a:extLst>
            <a:ext uri="{FF2B5EF4-FFF2-40B4-BE49-F238E27FC236}">
              <a16:creationId xmlns:a16="http://schemas.microsoft.com/office/drawing/2014/main" id="{17354F80-23C0-186D-3A38-20C9B67072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4" name="Text Box 611">
          <a:extLst>
            <a:ext uri="{FF2B5EF4-FFF2-40B4-BE49-F238E27FC236}">
              <a16:creationId xmlns:a16="http://schemas.microsoft.com/office/drawing/2014/main" id="{66EEC150-6ABB-1C31-4D4C-EE7CDAAE6D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5" name="Text Box 612">
          <a:extLst>
            <a:ext uri="{FF2B5EF4-FFF2-40B4-BE49-F238E27FC236}">
              <a16:creationId xmlns:a16="http://schemas.microsoft.com/office/drawing/2014/main" id="{04AC95AD-99FD-BEA7-294A-5D1D38B9C1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6" name="Text Box 613">
          <a:extLst>
            <a:ext uri="{FF2B5EF4-FFF2-40B4-BE49-F238E27FC236}">
              <a16:creationId xmlns:a16="http://schemas.microsoft.com/office/drawing/2014/main" id="{425D784C-8D38-634D-8FE8-703520809F9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7" name="Text Box 614">
          <a:extLst>
            <a:ext uri="{FF2B5EF4-FFF2-40B4-BE49-F238E27FC236}">
              <a16:creationId xmlns:a16="http://schemas.microsoft.com/office/drawing/2014/main" id="{A945C712-FF76-6B02-A5C1-FB3FECD98F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8" name="Text Box 615">
          <a:extLst>
            <a:ext uri="{FF2B5EF4-FFF2-40B4-BE49-F238E27FC236}">
              <a16:creationId xmlns:a16="http://schemas.microsoft.com/office/drawing/2014/main" id="{B64618D9-028B-7A09-D6E8-5B9CF4050E0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09" name="Text Box 616">
          <a:extLst>
            <a:ext uri="{FF2B5EF4-FFF2-40B4-BE49-F238E27FC236}">
              <a16:creationId xmlns:a16="http://schemas.microsoft.com/office/drawing/2014/main" id="{485F0684-D398-5F55-3B12-31608B2ED2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0" name="Text Box 617">
          <a:extLst>
            <a:ext uri="{FF2B5EF4-FFF2-40B4-BE49-F238E27FC236}">
              <a16:creationId xmlns:a16="http://schemas.microsoft.com/office/drawing/2014/main" id="{61F2B676-1CE4-FD21-BF3B-F46596B37D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1" name="Text Box 618">
          <a:extLst>
            <a:ext uri="{FF2B5EF4-FFF2-40B4-BE49-F238E27FC236}">
              <a16:creationId xmlns:a16="http://schemas.microsoft.com/office/drawing/2014/main" id="{18189B99-8A39-BB1D-83B2-305004F385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2" name="Text Box 619">
          <a:extLst>
            <a:ext uri="{FF2B5EF4-FFF2-40B4-BE49-F238E27FC236}">
              <a16:creationId xmlns:a16="http://schemas.microsoft.com/office/drawing/2014/main" id="{37CEE33D-71F6-3A1D-A246-D93BBC4BF7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3" name="Text Box 620">
          <a:extLst>
            <a:ext uri="{FF2B5EF4-FFF2-40B4-BE49-F238E27FC236}">
              <a16:creationId xmlns:a16="http://schemas.microsoft.com/office/drawing/2014/main" id="{D02D245F-9FCF-88F6-15E3-FEF032FCCB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4" name="Text Box 621">
          <a:extLst>
            <a:ext uri="{FF2B5EF4-FFF2-40B4-BE49-F238E27FC236}">
              <a16:creationId xmlns:a16="http://schemas.microsoft.com/office/drawing/2014/main" id="{395835A7-E6D5-C5B2-018E-544362450B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5" name="Text Box 622">
          <a:extLst>
            <a:ext uri="{FF2B5EF4-FFF2-40B4-BE49-F238E27FC236}">
              <a16:creationId xmlns:a16="http://schemas.microsoft.com/office/drawing/2014/main" id="{92DCF1BF-A289-5FB3-40A4-4E1F99F1AF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6" name="Text Box 623">
          <a:extLst>
            <a:ext uri="{FF2B5EF4-FFF2-40B4-BE49-F238E27FC236}">
              <a16:creationId xmlns:a16="http://schemas.microsoft.com/office/drawing/2014/main" id="{4B9D1CBA-5BAB-9A6B-CD28-7467425553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7" name="Text Box 624">
          <a:extLst>
            <a:ext uri="{FF2B5EF4-FFF2-40B4-BE49-F238E27FC236}">
              <a16:creationId xmlns:a16="http://schemas.microsoft.com/office/drawing/2014/main" id="{34FB58EE-B567-FB2B-20BE-C9451261BF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8" name="Text Box 625">
          <a:extLst>
            <a:ext uri="{FF2B5EF4-FFF2-40B4-BE49-F238E27FC236}">
              <a16:creationId xmlns:a16="http://schemas.microsoft.com/office/drawing/2014/main" id="{E0D2FB46-F919-34C8-1F62-56B9435F0A4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19" name="Text Box 626">
          <a:extLst>
            <a:ext uri="{FF2B5EF4-FFF2-40B4-BE49-F238E27FC236}">
              <a16:creationId xmlns:a16="http://schemas.microsoft.com/office/drawing/2014/main" id="{70780F29-17AB-0987-83AA-680B0F8C13C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0" name="Text Box 627">
          <a:extLst>
            <a:ext uri="{FF2B5EF4-FFF2-40B4-BE49-F238E27FC236}">
              <a16:creationId xmlns:a16="http://schemas.microsoft.com/office/drawing/2014/main" id="{FF0F6D09-3FEE-2782-8FA0-47C33584F5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1" name="Text Box 628">
          <a:extLst>
            <a:ext uri="{FF2B5EF4-FFF2-40B4-BE49-F238E27FC236}">
              <a16:creationId xmlns:a16="http://schemas.microsoft.com/office/drawing/2014/main" id="{4406CC91-E677-F323-99A1-8D5F717373C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2" name="Text Box 629">
          <a:extLst>
            <a:ext uri="{FF2B5EF4-FFF2-40B4-BE49-F238E27FC236}">
              <a16:creationId xmlns:a16="http://schemas.microsoft.com/office/drawing/2014/main" id="{821A823E-35D3-9860-D24C-08FD2BD528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3" name="Text Box 630">
          <a:extLst>
            <a:ext uri="{FF2B5EF4-FFF2-40B4-BE49-F238E27FC236}">
              <a16:creationId xmlns:a16="http://schemas.microsoft.com/office/drawing/2014/main" id="{0CD82F4D-D0EB-610F-03EF-1E8EA3B0D7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4" name="Text Box 631">
          <a:extLst>
            <a:ext uri="{FF2B5EF4-FFF2-40B4-BE49-F238E27FC236}">
              <a16:creationId xmlns:a16="http://schemas.microsoft.com/office/drawing/2014/main" id="{9BAB8945-643B-F373-7C46-95A634D794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5" name="Text Box 632">
          <a:extLst>
            <a:ext uri="{FF2B5EF4-FFF2-40B4-BE49-F238E27FC236}">
              <a16:creationId xmlns:a16="http://schemas.microsoft.com/office/drawing/2014/main" id="{D47A19EF-8D5A-FF9D-BE78-2E7B6FC7C2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6" name="Text Box 633">
          <a:extLst>
            <a:ext uri="{FF2B5EF4-FFF2-40B4-BE49-F238E27FC236}">
              <a16:creationId xmlns:a16="http://schemas.microsoft.com/office/drawing/2014/main" id="{AD70F2B1-D09F-CC1B-4311-A7FB8F0AD4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7" name="Text Box 634">
          <a:extLst>
            <a:ext uri="{FF2B5EF4-FFF2-40B4-BE49-F238E27FC236}">
              <a16:creationId xmlns:a16="http://schemas.microsoft.com/office/drawing/2014/main" id="{A754BE0C-A93B-087D-9F19-5DB6A99207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8" name="Text Box 635">
          <a:extLst>
            <a:ext uri="{FF2B5EF4-FFF2-40B4-BE49-F238E27FC236}">
              <a16:creationId xmlns:a16="http://schemas.microsoft.com/office/drawing/2014/main" id="{60BAA378-8641-8BAE-A0DE-91E6472328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29" name="Text Box 636">
          <a:extLst>
            <a:ext uri="{FF2B5EF4-FFF2-40B4-BE49-F238E27FC236}">
              <a16:creationId xmlns:a16="http://schemas.microsoft.com/office/drawing/2014/main" id="{96E13E12-F695-ADB8-6D8B-45D9B4C17FF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0" name="Text Box 637">
          <a:extLst>
            <a:ext uri="{FF2B5EF4-FFF2-40B4-BE49-F238E27FC236}">
              <a16:creationId xmlns:a16="http://schemas.microsoft.com/office/drawing/2014/main" id="{29706934-2AE1-4536-CDF3-36AC448EC8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1" name="Text Box 638">
          <a:extLst>
            <a:ext uri="{FF2B5EF4-FFF2-40B4-BE49-F238E27FC236}">
              <a16:creationId xmlns:a16="http://schemas.microsoft.com/office/drawing/2014/main" id="{AF962D3F-FBCE-F3E7-619E-AC8D0EBD61D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2" name="Text Box 639">
          <a:extLst>
            <a:ext uri="{FF2B5EF4-FFF2-40B4-BE49-F238E27FC236}">
              <a16:creationId xmlns:a16="http://schemas.microsoft.com/office/drawing/2014/main" id="{AD5BF2F7-361D-F640-D17E-3A41A454BB0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3" name="Text Box 640">
          <a:extLst>
            <a:ext uri="{FF2B5EF4-FFF2-40B4-BE49-F238E27FC236}">
              <a16:creationId xmlns:a16="http://schemas.microsoft.com/office/drawing/2014/main" id="{D651184B-E83F-155A-1B42-3C1F996E30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4" name="Text Box 641">
          <a:extLst>
            <a:ext uri="{FF2B5EF4-FFF2-40B4-BE49-F238E27FC236}">
              <a16:creationId xmlns:a16="http://schemas.microsoft.com/office/drawing/2014/main" id="{5D52FEF3-54F0-DB05-EDA2-52ECFB9B99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5" name="Text Box 642">
          <a:extLst>
            <a:ext uri="{FF2B5EF4-FFF2-40B4-BE49-F238E27FC236}">
              <a16:creationId xmlns:a16="http://schemas.microsoft.com/office/drawing/2014/main" id="{F7AA19A4-33B7-B7D7-AC38-47CCCB3BD7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6" name="Text Box 643">
          <a:extLst>
            <a:ext uri="{FF2B5EF4-FFF2-40B4-BE49-F238E27FC236}">
              <a16:creationId xmlns:a16="http://schemas.microsoft.com/office/drawing/2014/main" id="{0A64FC37-C9E0-014D-85B7-30D5853031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7" name="Text Box 644">
          <a:extLst>
            <a:ext uri="{FF2B5EF4-FFF2-40B4-BE49-F238E27FC236}">
              <a16:creationId xmlns:a16="http://schemas.microsoft.com/office/drawing/2014/main" id="{207F1266-E302-5EBE-E032-2817BF2504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8" name="Text Box 645">
          <a:extLst>
            <a:ext uri="{FF2B5EF4-FFF2-40B4-BE49-F238E27FC236}">
              <a16:creationId xmlns:a16="http://schemas.microsoft.com/office/drawing/2014/main" id="{C8D8AE10-986B-3C86-3B9E-0F603A920D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39" name="Text Box 646">
          <a:extLst>
            <a:ext uri="{FF2B5EF4-FFF2-40B4-BE49-F238E27FC236}">
              <a16:creationId xmlns:a16="http://schemas.microsoft.com/office/drawing/2014/main" id="{EC69488D-DB84-F42C-0952-E017F460A73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0" name="Text Box 647">
          <a:extLst>
            <a:ext uri="{FF2B5EF4-FFF2-40B4-BE49-F238E27FC236}">
              <a16:creationId xmlns:a16="http://schemas.microsoft.com/office/drawing/2014/main" id="{9DC424B3-811F-BF4B-9B6E-C41F3F260BE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1" name="Text Box 648">
          <a:extLst>
            <a:ext uri="{FF2B5EF4-FFF2-40B4-BE49-F238E27FC236}">
              <a16:creationId xmlns:a16="http://schemas.microsoft.com/office/drawing/2014/main" id="{91429A76-45FF-FE15-91B4-A2E74948F30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2" name="Text Box 649">
          <a:extLst>
            <a:ext uri="{FF2B5EF4-FFF2-40B4-BE49-F238E27FC236}">
              <a16:creationId xmlns:a16="http://schemas.microsoft.com/office/drawing/2014/main" id="{A3062CF0-9D46-7C2B-1272-BC9F78866C6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3" name="Text Box 650">
          <a:extLst>
            <a:ext uri="{FF2B5EF4-FFF2-40B4-BE49-F238E27FC236}">
              <a16:creationId xmlns:a16="http://schemas.microsoft.com/office/drawing/2014/main" id="{40C197B6-BC88-F46E-76C6-1F4603327C8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4" name="Text Box 651">
          <a:extLst>
            <a:ext uri="{FF2B5EF4-FFF2-40B4-BE49-F238E27FC236}">
              <a16:creationId xmlns:a16="http://schemas.microsoft.com/office/drawing/2014/main" id="{F4A32832-2F6F-1894-11D4-01F1A95B4B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5" name="Text Box 652">
          <a:extLst>
            <a:ext uri="{FF2B5EF4-FFF2-40B4-BE49-F238E27FC236}">
              <a16:creationId xmlns:a16="http://schemas.microsoft.com/office/drawing/2014/main" id="{B08C5489-4645-0C08-522B-2970246E9AF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6" name="Text Box 653">
          <a:extLst>
            <a:ext uri="{FF2B5EF4-FFF2-40B4-BE49-F238E27FC236}">
              <a16:creationId xmlns:a16="http://schemas.microsoft.com/office/drawing/2014/main" id="{C84810AD-3C45-EE1A-7864-2428AEE6844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7" name="Text Box 654">
          <a:extLst>
            <a:ext uri="{FF2B5EF4-FFF2-40B4-BE49-F238E27FC236}">
              <a16:creationId xmlns:a16="http://schemas.microsoft.com/office/drawing/2014/main" id="{63A3FB69-D6AE-45F4-ABB2-54FF2815F7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8" name="Text Box 655">
          <a:extLst>
            <a:ext uri="{FF2B5EF4-FFF2-40B4-BE49-F238E27FC236}">
              <a16:creationId xmlns:a16="http://schemas.microsoft.com/office/drawing/2014/main" id="{3BA6A230-F33B-29E7-E11B-6E760CBE87A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49" name="Text Box 656">
          <a:extLst>
            <a:ext uri="{FF2B5EF4-FFF2-40B4-BE49-F238E27FC236}">
              <a16:creationId xmlns:a16="http://schemas.microsoft.com/office/drawing/2014/main" id="{A78A4F24-9CDF-1A0E-C8DC-C778A3ED47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0" name="Text Box 657">
          <a:extLst>
            <a:ext uri="{FF2B5EF4-FFF2-40B4-BE49-F238E27FC236}">
              <a16:creationId xmlns:a16="http://schemas.microsoft.com/office/drawing/2014/main" id="{BD3FBA93-859E-EDDD-028F-F5C46F3907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1" name="Text Box 658">
          <a:extLst>
            <a:ext uri="{FF2B5EF4-FFF2-40B4-BE49-F238E27FC236}">
              <a16:creationId xmlns:a16="http://schemas.microsoft.com/office/drawing/2014/main" id="{CCA38972-66E7-3DB3-1689-77D814F2A8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2" name="Text Box 659">
          <a:extLst>
            <a:ext uri="{FF2B5EF4-FFF2-40B4-BE49-F238E27FC236}">
              <a16:creationId xmlns:a16="http://schemas.microsoft.com/office/drawing/2014/main" id="{63925BA3-E959-E4C4-A43A-A87B375A5D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3" name="Text Box 660">
          <a:extLst>
            <a:ext uri="{FF2B5EF4-FFF2-40B4-BE49-F238E27FC236}">
              <a16:creationId xmlns:a16="http://schemas.microsoft.com/office/drawing/2014/main" id="{8E859CC9-6425-6578-8E78-CA591E58320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4" name="Text Box 661">
          <a:extLst>
            <a:ext uri="{FF2B5EF4-FFF2-40B4-BE49-F238E27FC236}">
              <a16:creationId xmlns:a16="http://schemas.microsoft.com/office/drawing/2014/main" id="{ECC3B1A7-7BE4-7238-4B67-A5925B380A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5" name="Text Box 662">
          <a:extLst>
            <a:ext uri="{FF2B5EF4-FFF2-40B4-BE49-F238E27FC236}">
              <a16:creationId xmlns:a16="http://schemas.microsoft.com/office/drawing/2014/main" id="{8A8A1308-9236-AF9B-BE09-2439559324A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6" name="Text Box 663">
          <a:extLst>
            <a:ext uri="{FF2B5EF4-FFF2-40B4-BE49-F238E27FC236}">
              <a16:creationId xmlns:a16="http://schemas.microsoft.com/office/drawing/2014/main" id="{4B4CC062-24ED-7317-70EB-FCE6D807A6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7" name="Text Box 664">
          <a:extLst>
            <a:ext uri="{FF2B5EF4-FFF2-40B4-BE49-F238E27FC236}">
              <a16:creationId xmlns:a16="http://schemas.microsoft.com/office/drawing/2014/main" id="{879F822C-6568-EA05-C48D-F386B33B8D9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8" name="Text Box 665">
          <a:extLst>
            <a:ext uri="{FF2B5EF4-FFF2-40B4-BE49-F238E27FC236}">
              <a16:creationId xmlns:a16="http://schemas.microsoft.com/office/drawing/2014/main" id="{9CA93939-48EB-99A2-E1F4-EF55D2FDE08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59" name="Text Box 666">
          <a:extLst>
            <a:ext uri="{FF2B5EF4-FFF2-40B4-BE49-F238E27FC236}">
              <a16:creationId xmlns:a16="http://schemas.microsoft.com/office/drawing/2014/main" id="{42F89B02-A99E-B094-DB6A-1DF78AF4103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0" name="Text Box 667">
          <a:extLst>
            <a:ext uri="{FF2B5EF4-FFF2-40B4-BE49-F238E27FC236}">
              <a16:creationId xmlns:a16="http://schemas.microsoft.com/office/drawing/2014/main" id="{9BF1A322-FD85-3642-A430-6665F3E4EF6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1" name="Text Box 668">
          <a:extLst>
            <a:ext uri="{FF2B5EF4-FFF2-40B4-BE49-F238E27FC236}">
              <a16:creationId xmlns:a16="http://schemas.microsoft.com/office/drawing/2014/main" id="{7C229B46-09E9-90F6-FF39-501EA76AFA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2" name="Text Box 669">
          <a:extLst>
            <a:ext uri="{FF2B5EF4-FFF2-40B4-BE49-F238E27FC236}">
              <a16:creationId xmlns:a16="http://schemas.microsoft.com/office/drawing/2014/main" id="{F4D876D4-C502-95DD-B786-A8C55AEF29C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3" name="Text Box 670">
          <a:extLst>
            <a:ext uri="{FF2B5EF4-FFF2-40B4-BE49-F238E27FC236}">
              <a16:creationId xmlns:a16="http://schemas.microsoft.com/office/drawing/2014/main" id="{65D0B04D-5D43-3BB7-B5A7-AE86B33CCB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4" name="Text Box 671">
          <a:extLst>
            <a:ext uri="{FF2B5EF4-FFF2-40B4-BE49-F238E27FC236}">
              <a16:creationId xmlns:a16="http://schemas.microsoft.com/office/drawing/2014/main" id="{88164CE8-EEF5-DE89-F703-2522EBF5C6D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5" name="Text Box 672">
          <a:extLst>
            <a:ext uri="{FF2B5EF4-FFF2-40B4-BE49-F238E27FC236}">
              <a16:creationId xmlns:a16="http://schemas.microsoft.com/office/drawing/2014/main" id="{CDCBD6AB-0515-3E52-B2F3-1F76BC8B62C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6" name="Text Box 673">
          <a:extLst>
            <a:ext uri="{FF2B5EF4-FFF2-40B4-BE49-F238E27FC236}">
              <a16:creationId xmlns:a16="http://schemas.microsoft.com/office/drawing/2014/main" id="{6E9D3FF2-78E5-FFFE-E3DA-B8836787217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7" name="Text Box 674">
          <a:extLst>
            <a:ext uri="{FF2B5EF4-FFF2-40B4-BE49-F238E27FC236}">
              <a16:creationId xmlns:a16="http://schemas.microsoft.com/office/drawing/2014/main" id="{531F5DF8-0990-0846-D61D-9EA4231978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8" name="Text Box 675">
          <a:extLst>
            <a:ext uri="{FF2B5EF4-FFF2-40B4-BE49-F238E27FC236}">
              <a16:creationId xmlns:a16="http://schemas.microsoft.com/office/drawing/2014/main" id="{FEA49537-2506-A172-31B7-C3981ABDEC8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69" name="Text Box 676">
          <a:extLst>
            <a:ext uri="{FF2B5EF4-FFF2-40B4-BE49-F238E27FC236}">
              <a16:creationId xmlns:a16="http://schemas.microsoft.com/office/drawing/2014/main" id="{C0F7211D-2C7E-8F32-5D3B-ECDA618957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0" name="Text Box 677">
          <a:extLst>
            <a:ext uri="{FF2B5EF4-FFF2-40B4-BE49-F238E27FC236}">
              <a16:creationId xmlns:a16="http://schemas.microsoft.com/office/drawing/2014/main" id="{561D8B85-E854-A34B-01E8-4F58C7F88E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1" name="Text Box 678">
          <a:extLst>
            <a:ext uri="{FF2B5EF4-FFF2-40B4-BE49-F238E27FC236}">
              <a16:creationId xmlns:a16="http://schemas.microsoft.com/office/drawing/2014/main" id="{32226A1C-28FA-3D64-5738-79A833BFF7F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2" name="Text Box 679">
          <a:extLst>
            <a:ext uri="{FF2B5EF4-FFF2-40B4-BE49-F238E27FC236}">
              <a16:creationId xmlns:a16="http://schemas.microsoft.com/office/drawing/2014/main" id="{93F8190E-BE3E-2D7C-9D01-D79D82111B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3" name="Text Box 680">
          <a:extLst>
            <a:ext uri="{FF2B5EF4-FFF2-40B4-BE49-F238E27FC236}">
              <a16:creationId xmlns:a16="http://schemas.microsoft.com/office/drawing/2014/main" id="{0A989E4D-C1B5-3E31-BF30-E5411F16B71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4" name="Text Box 681">
          <a:extLst>
            <a:ext uri="{FF2B5EF4-FFF2-40B4-BE49-F238E27FC236}">
              <a16:creationId xmlns:a16="http://schemas.microsoft.com/office/drawing/2014/main" id="{714D6ABC-361D-C132-8D40-13754A3857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5" name="Text Box 682">
          <a:extLst>
            <a:ext uri="{FF2B5EF4-FFF2-40B4-BE49-F238E27FC236}">
              <a16:creationId xmlns:a16="http://schemas.microsoft.com/office/drawing/2014/main" id="{D24035E0-E1D4-5087-D63F-5345483ACC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6" name="Text Box 683">
          <a:extLst>
            <a:ext uri="{FF2B5EF4-FFF2-40B4-BE49-F238E27FC236}">
              <a16:creationId xmlns:a16="http://schemas.microsoft.com/office/drawing/2014/main" id="{CD21417C-181F-E88F-13A4-7BE4BF2D1F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7" name="Text Box 684">
          <a:extLst>
            <a:ext uri="{FF2B5EF4-FFF2-40B4-BE49-F238E27FC236}">
              <a16:creationId xmlns:a16="http://schemas.microsoft.com/office/drawing/2014/main" id="{9744C191-FDE1-BBB0-D773-40303ABDC26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8" name="Text Box 685">
          <a:extLst>
            <a:ext uri="{FF2B5EF4-FFF2-40B4-BE49-F238E27FC236}">
              <a16:creationId xmlns:a16="http://schemas.microsoft.com/office/drawing/2014/main" id="{15ABE942-8F1F-C709-8E16-158E779D51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79" name="Text Box 686">
          <a:extLst>
            <a:ext uri="{FF2B5EF4-FFF2-40B4-BE49-F238E27FC236}">
              <a16:creationId xmlns:a16="http://schemas.microsoft.com/office/drawing/2014/main" id="{740B812C-21CD-AE20-E392-5973CC905EF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0" name="Text Box 687">
          <a:extLst>
            <a:ext uri="{FF2B5EF4-FFF2-40B4-BE49-F238E27FC236}">
              <a16:creationId xmlns:a16="http://schemas.microsoft.com/office/drawing/2014/main" id="{6F01A17C-A60D-BA84-585B-7E72267C66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1" name="Text Box 688">
          <a:extLst>
            <a:ext uri="{FF2B5EF4-FFF2-40B4-BE49-F238E27FC236}">
              <a16:creationId xmlns:a16="http://schemas.microsoft.com/office/drawing/2014/main" id="{E34BE998-1FB2-B800-06E3-7718078E2D6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2" name="Text Box 689">
          <a:extLst>
            <a:ext uri="{FF2B5EF4-FFF2-40B4-BE49-F238E27FC236}">
              <a16:creationId xmlns:a16="http://schemas.microsoft.com/office/drawing/2014/main" id="{A882EF6B-2A53-D8D7-C91D-5681774313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3" name="Text Box 690">
          <a:extLst>
            <a:ext uri="{FF2B5EF4-FFF2-40B4-BE49-F238E27FC236}">
              <a16:creationId xmlns:a16="http://schemas.microsoft.com/office/drawing/2014/main" id="{C6986995-C137-BA96-69CF-BB663828C1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4" name="Text Box 691">
          <a:extLst>
            <a:ext uri="{FF2B5EF4-FFF2-40B4-BE49-F238E27FC236}">
              <a16:creationId xmlns:a16="http://schemas.microsoft.com/office/drawing/2014/main" id="{7399EC76-0EEC-D6E5-B101-27D599D821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5" name="Text Box 692">
          <a:extLst>
            <a:ext uri="{FF2B5EF4-FFF2-40B4-BE49-F238E27FC236}">
              <a16:creationId xmlns:a16="http://schemas.microsoft.com/office/drawing/2014/main" id="{8260CA4E-A7DE-11F1-FA2B-187EE1AC93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6" name="Text Box 693">
          <a:extLst>
            <a:ext uri="{FF2B5EF4-FFF2-40B4-BE49-F238E27FC236}">
              <a16:creationId xmlns:a16="http://schemas.microsoft.com/office/drawing/2014/main" id="{ACAEA665-9933-AD35-EE90-BC8F266321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7" name="Text Box 694">
          <a:extLst>
            <a:ext uri="{FF2B5EF4-FFF2-40B4-BE49-F238E27FC236}">
              <a16:creationId xmlns:a16="http://schemas.microsoft.com/office/drawing/2014/main" id="{C17DFB07-696A-A9FF-2DEC-720ED3D952D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8" name="Text Box 695">
          <a:extLst>
            <a:ext uri="{FF2B5EF4-FFF2-40B4-BE49-F238E27FC236}">
              <a16:creationId xmlns:a16="http://schemas.microsoft.com/office/drawing/2014/main" id="{093A9BEB-A3E4-7953-DDF0-6A2F25F2BA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89" name="Text Box 696">
          <a:extLst>
            <a:ext uri="{FF2B5EF4-FFF2-40B4-BE49-F238E27FC236}">
              <a16:creationId xmlns:a16="http://schemas.microsoft.com/office/drawing/2014/main" id="{73D0125A-5278-8087-FBAE-BC351BB6D0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0" name="Text Box 697">
          <a:extLst>
            <a:ext uri="{FF2B5EF4-FFF2-40B4-BE49-F238E27FC236}">
              <a16:creationId xmlns:a16="http://schemas.microsoft.com/office/drawing/2014/main" id="{42A55B03-DEBC-11F9-45A9-1073AA5411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1" name="Text Box 698">
          <a:extLst>
            <a:ext uri="{FF2B5EF4-FFF2-40B4-BE49-F238E27FC236}">
              <a16:creationId xmlns:a16="http://schemas.microsoft.com/office/drawing/2014/main" id="{AF57513B-6C66-0000-CA39-3F5C978E42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2" name="Text Box 699">
          <a:extLst>
            <a:ext uri="{FF2B5EF4-FFF2-40B4-BE49-F238E27FC236}">
              <a16:creationId xmlns:a16="http://schemas.microsoft.com/office/drawing/2014/main" id="{561327D3-4B5F-9613-B329-6561E277C4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3" name="Text Box 700">
          <a:extLst>
            <a:ext uri="{FF2B5EF4-FFF2-40B4-BE49-F238E27FC236}">
              <a16:creationId xmlns:a16="http://schemas.microsoft.com/office/drawing/2014/main" id="{89D7E5CF-CCCC-D4A2-FEDB-0C4C6485114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4" name="Text Box 701">
          <a:extLst>
            <a:ext uri="{FF2B5EF4-FFF2-40B4-BE49-F238E27FC236}">
              <a16:creationId xmlns:a16="http://schemas.microsoft.com/office/drawing/2014/main" id="{9269B2DA-4D43-ABE5-2FF2-DC9F8FA6BFD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5" name="Text Box 702">
          <a:extLst>
            <a:ext uri="{FF2B5EF4-FFF2-40B4-BE49-F238E27FC236}">
              <a16:creationId xmlns:a16="http://schemas.microsoft.com/office/drawing/2014/main" id="{23B8A30F-2B19-AD94-CDD4-17A38E10257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6" name="Text Box 703">
          <a:extLst>
            <a:ext uri="{FF2B5EF4-FFF2-40B4-BE49-F238E27FC236}">
              <a16:creationId xmlns:a16="http://schemas.microsoft.com/office/drawing/2014/main" id="{7798BFC9-0012-04CB-66D4-8D4739C132B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7" name="Text Box 704">
          <a:extLst>
            <a:ext uri="{FF2B5EF4-FFF2-40B4-BE49-F238E27FC236}">
              <a16:creationId xmlns:a16="http://schemas.microsoft.com/office/drawing/2014/main" id="{82DD0519-E979-1CA8-DC48-FEDA1179EC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8" name="Text Box 705">
          <a:extLst>
            <a:ext uri="{FF2B5EF4-FFF2-40B4-BE49-F238E27FC236}">
              <a16:creationId xmlns:a16="http://schemas.microsoft.com/office/drawing/2014/main" id="{FE09BB37-8124-408A-0FA4-D2158AC31F6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699" name="Text Box 706">
          <a:extLst>
            <a:ext uri="{FF2B5EF4-FFF2-40B4-BE49-F238E27FC236}">
              <a16:creationId xmlns:a16="http://schemas.microsoft.com/office/drawing/2014/main" id="{564A1ED9-A06D-9988-CDE5-BD02FF5AE4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0" name="Text Box 707">
          <a:extLst>
            <a:ext uri="{FF2B5EF4-FFF2-40B4-BE49-F238E27FC236}">
              <a16:creationId xmlns:a16="http://schemas.microsoft.com/office/drawing/2014/main" id="{E7B64FD9-11DE-1F7F-25F7-7854F873FD2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1" name="Text Box 708">
          <a:extLst>
            <a:ext uri="{FF2B5EF4-FFF2-40B4-BE49-F238E27FC236}">
              <a16:creationId xmlns:a16="http://schemas.microsoft.com/office/drawing/2014/main" id="{F21D076A-FB87-BCC3-E3C7-14FDDDA7F8D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2" name="Text Box 709">
          <a:extLst>
            <a:ext uri="{FF2B5EF4-FFF2-40B4-BE49-F238E27FC236}">
              <a16:creationId xmlns:a16="http://schemas.microsoft.com/office/drawing/2014/main" id="{52367E34-E067-15F5-BDFB-3748C1C278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3" name="Text Box 710">
          <a:extLst>
            <a:ext uri="{FF2B5EF4-FFF2-40B4-BE49-F238E27FC236}">
              <a16:creationId xmlns:a16="http://schemas.microsoft.com/office/drawing/2014/main" id="{45BC1240-EFDD-1E9E-52AC-659EB7CE8B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4" name="Text Box 711">
          <a:extLst>
            <a:ext uri="{FF2B5EF4-FFF2-40B4-BE49-F238E27FC236}">
              <a16:creationId xmlns:a16="http://schemas.microsoft.com/office/drawing/2014/main" id="{FF2EBBC2-6A1D-2DBE-FC18-9260093B942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5" name="Text Box 713">
          <a:extLst>
            <a:ext uri="{FF2B5EF4-FFF2-40B4-BE49-F238E27FC236}">
              <a16:creationId xmlns:a16="http://schemas.microsoft.com/office/drawing/2014/main" id="{A2F1BA96-CBB1-BF53-B16F-47409358AD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6" name="Text Box 715">
          <a:extLst>
            <a:ext uri="{FF2B5EF4-FFF2-40B4-BE49-F238E27FC236}">
              <a16:creationId xmlns:a16="http://schemas.microsoft.com/office/drawing/2014/main" id="{4347B4CD-9BDC-C139-9D7E-E4BFD4573B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7" name="Text Box 716">
          <a:extLst>
            <a:ext uri="{FF2B5EF4-FFF2-40B4-BE49-F238E27FC236}">
              <a16:creationId xmlns:a16="http://schemas.microsoft.com/office/drawing/2014/main" id="{7515656A-F505-D86C-00FF-4A6E218E9E8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8" name="Text Box 717">
          <a:extLst>
            <a:ext uri="{FF2B5EF4-FFF2-40B4-BE49-F238E27FC236}">
              <a16:creationId xmlns:a16="http://schemas.microsoft.com/office/drawing/2014/main" id="{10F358F7-7B20-68A1-249E-57D3BC6F012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09" name="Text Box 718">
          <a:extLst>
            <a:ext uri="{FF2B5EF4-FFF2-40B4-BE49-F238E27FC236}">
              <a16:creationId xmlns:a16="http://schemas.microsoft.com/office/drawing/2014/main" id="{F713F1FC-23E8-FE6C-0247-EB2145FEF9C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0" name="Text Box 719">
          <a:extLst>
            <a:ext uri="{FF2B5EF4-FFF2-40B4-BE49-F238E27FC236}">
              <a16:creationId xmlns:a16="http://schemas.microsoft.com/office/drawing/2014/main" id="{8C0C86EA-BA58-E2C2-F0A5-3ED30F0BB8D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1" name="Text Box 720">
          <a:extLst>
            <a:ext uri="{FF2B5EF4-FFF2-40B4-BE49-F238E27FC236}">
              <a16:creationId xmlns:a16="http://schemas.microsoft.com/office/drawing/2014/main" id="{4939B46C-5168-5D8C-0448-88B6E561627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2" name="Text Box 721">
          <a:extLst>
            <a:ext uri="{FF2B5EF4-FFF2-40B4-BE49-F238E27FC236}">
              <a16:creationId xmlns:a16="http://schemas.microsoft.com/office/drawing/2014/main" id="{DDC5CF1A-DB74-C36D-0BD9-840A1CFC674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3" name="Text Box 722">
          <a:extLst>
            <a:ext uri="{FF2B5EF4-FFF2-40B4-BE49-F238E27FC236}">
              <a16:creationId xmlns:a16="http://schemas.microsoft.com/office/drawing/2014/main" id="{BA31DA1B-A2F7-4D0A-4E3A-9D7FE1A6E6E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4" name="Text Box 723">
          <a:extLst>
            <a:ext uri="{FF2B5EF4-FFF2-40B4-BE49-F238E27FC236}">
              <a16:creationId xmlns:a16="http://schemas.microsoft.com/office/drawing/2014/main" id="{CB7F5F56-BFAD-3537-5921-5BD45CFE765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5" name="Text Box 724">
          <a:extLst>
            <a:ext uri="{FF2B5EF4-FFF2-40B4-BE49-F238E27FC236}">
              <a16:creationId xmlns:a16="http://schemas.microsoft.com/office/drawing/2014/main" id="{8E9658AD-A59C-330C-6A95-391D6C7DAD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6" name="Text Box 725">
          <a:extLst>
            <a:ext uri="{FF2B5EF4-FFF2-40B4-BE49-F238E27FC236}">
              <a16:creationId xmlns:a16="http://schemas.microsoft.com/office/drawing/2014/main" id="{165670BE-3FA7-4C0F-CF86-6F7C09B668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7" name="Text Box 726">
          <a:extLst>
            <a:ext uri="{FF2B5EF4-FFF2-40B4-BE49-F238E27FC236}">
              <a16:creationId xmlns:a16="http://schemas.microsoft.com/office/drawing/2014/main" id="{9E7CA7BC-66E3-A95A-A591-D30820A6F4C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8" name="Text Box 727">
          <a:extLst>
            <a:ext uri="{FF2B5EF4-FFF2-40B4-BE49-F238E27FC236}">
              <a16:creationId xmlns:a16="http://schemas.microsoft.com/office/drawing/2014/main" id="{C37701BC-3FA6-E30C-DF9E-FDF897E9E4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19" name="Text Box 728">
          <a:extLst>
            <a:ext uri="{FF2B5EF4-FFF2-40B4-BE49-F238E27FC236}">
              <a16:creationId xmlns:a16="http://schemas.microsoft.com/office/drawing/2014/main" id="{D82AA2FD-39F1-03C2-8755-9680CCF973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0" name="Text Box 729">
          <a:extLst>
            <a:ext uri="{FF2B5EF4-FFF2-40B4-BE49-F238E27FC236}">
              <a16:creationId xmlns:a16="http://schemas.microsoft.com/office/drawing/2014/main" id="{7B1EA0FE-7D71-6E4D-3D6D-7E9F1AD91D2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1" name="Text Box 730">
          <a:extLst>
            <a:ext uri="{FF2B5EF4-FFF2-40B4-BE49-F238E27FC236}">
              <a16:creationId xmlns:a16="http://schemas.microsoft.com/office/drawing/2014/main" id="{4524DBAA-3A1D-FC60-5603-5DF369676E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2" name="Text Box 731">
          <a:extLst>
            <a:ext uri="{FF2B5EF4-FFF2-40B4-BE49-F238E27FC236}">
              <a16:creationId xmlns:a16="http://schemas.microsoft.com/office/drawing/2014/main" id="{54A42869-28E6-DA46-E199-8B4598BA064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3" name="Text Box 732">
          <a:extLst>
            <a:ext uri="{FF2B5EF4-FFF2-40B4-BE49-F238E27FC236}">
              <a16:creationId xmlns:a16="http://schemas.microsoft.com/office/drawing/2014/main" id="{16CD91E5-5275-177F-9DDD-5DA42757E8B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4" name="Text Box 733">
          <a:extLst>
            <a:ext uri="{FF2B5EF4-FFF2-40B4-BE49-F238E27FC236}">
              <a16:creationId xmlns:a16="http://schemas.microsoft.com/office/drawing/2014/main" id="{333F8395-6E08-6049-81B1-D87717DAED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5" name="Text Box 734">
          <a:extLst>
            <a:ext uri="{FF2B5EF4-FFF2-40B4-BE49-F238E27FC236}">
              <a16:creationId xmlns:a16="http://schemas.microsoft.com/office/drawing/2014/main" id="{7B497505-6A0F-C3D6-906A-8AB77E2FD4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6" name="Text Box 735">
          <a:extLst>
            <a:ext uri="{FF2B5EF4-FFF2-40B4-BE49-F238E27FC236}">
              <a16:creationId xmlns:a16="http://schemas.microsoft.com/office/drawing/2014/main" id="{137ECD91-6259-30CE-BAC8-C25EC1EC62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7" name="Text Box 736">
          <a:extLst>
            <a:ext uri="{FF2B5EF4-FFF2-40B4-BE49-F238E27FC236}">
              <a16:creationId xmlns:a16="http://schemas.microsoft.com/office/drawing/2014/main" id="{F6DCC192-8608-9C7B-A730-85A6D3B1E28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8" name="Text Box 737">
          <a:extLst>
            <a:ext uri="{FF2B5EF4-FFF2-40B4-BE49-F238E27FC236}">
              <a16:creationId xmlns:a16="http://schemas.microsoft.com/office/drawing/2014/main" id="{DE16F136-A833-623E-C723-1C3592E0A5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29" name="Text Box 738">
          <a:extLst>
            <a:ext uri="{FF2B5EF4-FFF2-40B4-BE49-F238E27FC236}">
              <a16:creationId xmlns:a16="http://schemas.microsoft.com/office/drawing/2014/main" id="{63D5C9E8-7B33-F086-37F8-6CB3C420463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0" name="Text Box 739">
          <a:extLst>
            <a:ext uri="{FF2B5EF4-FFF2-40B4-BE49-F238E27FC236}">
              <a16:creationId xmlns:a16="http://schemas.microsoft.com/office/drawing/2014/main" id="{8950E378-A3E4-292E-A986-63E2950E037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1" name="Text Box 740">
          <a:extLst>
            <a:ext uri="{FF2B5EF4-FFF2-40B4-BE49-F238E27FC236}">
              <a16:creationId xmlns:a16="http://schemas.microsoft.com/office/drawing/2014/main" id="{46FD8C0C-0B94-A3FF-B6C7-7DCCFE20D5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2" name="Text Box 741">
          <a:extLst>
            <a:ext uri="{FF2B5EF4-FFF2-40B4-BE49-F238E27FC236}">
              <a16:creationId xmlns:a16="http://schemas.microsoft.com/office/drawing/2014/main" id="{9E08E7EF-C849-DBD5-515D-9309A9672F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3" name="Text Box 742">
          <a:extLst>
            <a:ext uri="{FF2B5EF4-FFF2-40B4-BE49-F238E27FC236}">
              <a16:creationId xmlns:a16="http://schemas.microsoft.com/office/drawing/2014/main" id="{497D2ACF-A550-48F8-0095-1DDCA73341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4" name="Text Box 743">
          <a:extLst>
            <a:ext uri="{FF2B5EF4-FFF2-40B4-BE49-F238E27FC236}">
              <a16:creationId xmlns:a16="http://schemas.microsoft.com/office/drawing/2014/main" id="{67D4477A-78BC-5965-30B9-BC56C9F3018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5" name="Text Box 744">
          <a:extLst>
            <a:ext uri="{FF2B5EF4-FFF2-40B4-BE49-F238E27FC236}">
              <a16:creationId xmlns:a16="http://schemas.microsoft.com/office/drawing/2014/main" id="{88A6D060-0A10-B27F-7245-BBC9010BD2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6" name="Text Box 745">
          <a:extLst>
            <a:ext uri="{FF2B5EF4-FFF2-40B4-BE49-F238E27FC236}">
              <a16:creationId xmlns:a16="http://schemas.microsoft.com/office/drawing/2014/main" id="{CF30BD6A-64C4-49EC-5E12-875521EF29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7" name="Text Box 746">
          <a:extLst>
            <a:ext uri="{FF2B5EF4-FFF2-40B4-BE49-F238E27FC236}">
              <a16:creationId xmlns:a16="http://schemas.microsoft.com/office/drawing/2014/main" id="{04380DDE-1E0C-D27F-4080-7134A1CC73D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8" name="Text Box 747">
          <a:extLst>
            <a:ext uri="{FF2B5EF4-FFF2-40B4-BE49-F238E27FC236}">
              <a16:creationId xmlns:a16="http://schemas.microsoft.com/office/drawing/2014/main" id="{0753BD52-E730-EBCB-C5AB-581E0CBEDF9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39" name="Text Box 748">
          <a:extLst>
            <a:ext uri="{FF2B5EF4-FFF2-40B4-BE49-F238E27FC236}">
              <a16:creationId xmlns:a16="http://schemas.microsoft.com/office/drawing/2014/main" id="{F8D61102-05C8-9BF2-6C76-6FA7B4F46C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0" name="Text Box 749">
          <a:extLst>
            <a:ext uri="{FF2B5EF4-FFF2-40B4-BE49-F238E27FC236}">
              <a16:creationId xmlns:a16="http://schemas.microsoft.com/office/drawing/2014/main" id="{CFD77DD0-515E-D5D6-2237-F4B3ED518D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1" name="Text Box 750">
          <a:extLst>
            <a:ext uri="{FF2B5EF4-FFF2-40B4-BE49-F238E27FC236}">
              <a16:creationId xmlns:a16="http://schemas.microsoft.com/office/drawing/2014/main" id="{DC61C4C2-E988-338F-1E72-3B2B950CF4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2" name="Text Box 751">
          <a:extLst>
            <a:ext uri="{FF2B5EF4-FFF2-40B4-BE49-F238E27FC236}">
              <a16:creationId xmlns:a16="http://schemas.microsoft.com/office/drawing/2014/main" id="{0855421D-4E95-4DB0-8FDD-728553BED6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3" name="Text Box 752">
          <a:extLst>
            <a:ext uri="{FF2B5EF4-FFF2-40B4-BE49-F238E27FC236}">
              <a16:creationId xmlns:a16="http://schemas.microsoft.com/office/drawing/2014/main" id="{3950C5AD-AF35-087C-21E5-5DA9C0A59B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4" name="Text Box 753">
          <a:extLst>
            <a:ext uri="{FF2B5EF4-FFF2-40B4-BE49-F238E27FC236}">
              <a16:creationId xmlns:a16="http://schemas.microsoft.com/office/drawing/2014/main" id="{05FCB385-86F5-7022-BB1D-FF7594A2DB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5" name="Text Box 754">
          <a:extLst>
            <a:ext uri="{FF2B5EF4-FFF2-40B4-BE49-F238E27FC236}">
              <a16:creationId xmlns:a16="http://schemas.microsoft.com/office/drawing/2014/main" id="{0C91D8C1-49D4-1BB1-1B40-F2DE2471500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6" name="Text Box 755">
          <a:extLst>
            <a:ext uri="{FF2B5EF4-FFF2-40B4-BE49-F238E27FC236}">
              <a16:creationId xmlns:a16="http://schemas.microsoft.com/office/drawing/2014/main" id="{613CC29A-BE8D-2368-9D9F-0DCAE17BB5B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7" name="Text Box 756">
          <a:extLst>
            <a:ext uri="{FF2B5EF4-FFF2-40B4-BE49-F238E27FC236}">
              <a16:creationId xmlns:a16="http://schemas.microsoft.com/office/drawing/2014/main" id="{CACECD49-C317-61DB-F113-887087F0A7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8" name="Text Box 757">
          <a:extLst>
            <a:ext uri="{FF2B5EF4-FFF2-40B4-BE49-F238E27FC236}">
              <a16:creationId xmlns:a16="http://schemas.microsoft.com/office/drawing/2014/main" id="{B4C83ED0-504A-42A8-3EBD-9032C595A8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49" name="Text Box 758">
          <a:extLst>
            <a:ext uri="{FF2B5EF4-FFF2-40B4-BE49-F238E27FC236}">
              <a16:creationId xmlns:a16="http://schemas.microsoft.com/office/drawing/2014/main" id="{7844065A-6520-BAA8-D3A5-2562609800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0" name="Text Box 759">
          <a:extLst>
            <a:ext uri="{FF2B5EF4-FFF2-40B4-BE49-F238E27FC236}">
              <a16:creationId xmlns:a16="http://schemas.microsoft.com/office/drawing/2014/main" id="{E5325CEF-7B4D-D81E-497E-D1B71E6DD8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1" name="Text Box 760">
          <a:extLst>
            <a:ext uri="{FF2B5EF4-FFF2-40B4-BE49-F238E27FC236}">
              <a16:creationId xmlns:a16="http://schemas.microsoft.com/office/drawing/2014/main" id="{0CC4A9C7-68DB-8138-636B-B6C798564C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2" name="Text Box 761">
          <a:extLst>
            <a:ext uri="{FF2B5EF4-FFF2-40B4-BE49-F238E27FC236}">
              <a16:creationId xmlns:a16="http://schemas.microsoft.com/office/drawing/2014/main" id="{AB759168-863C-2477-B982-7F888DAB62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3" name="Text Box 762">
          <a:extLst>
            <a:ext uri="{FF2B5EF4-FFF2-40B4-BE49-F238E27FC236}">
              <a16:creationId xmlns:a16="http://schemas.microsoft.com/office/drawing/2014/main" id="{E2F45D31-B265-68CC-6D53-2EFF973A06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4" name="Text Box 763">
          <a:extLst>
            <a:ext uri="{FF2B5EF4-FFF2-40B4-BE49-F238E27FC236}">
              <a16:creationId xmlns:a16="http://schemas.microsoft.com/office/drawing/2014/main" id="{9B594F47-2417-5D2D-02D7-413ADF7BFEE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5" name="Text Box 764">
          <a:extLst>
            <a:ext uri="{FF2B5EF4-FFF2-40B4-BE49-F238E27FC236}">
              <a16:creationId xmlns:a16="http://schemas.microsoft.com/office/drawing/2014/main" id="{E102400B-2335-8DF8-7733-42E04D4CC8F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6" name="Text Box 765">
          <a:extLst>
            <a:ext uri="{FF2B5EF4-FFF2-40B4-BE49-F238E27FC236}">
              <a16:creationId xmlns:a16="http://schemas.microsoft.com/office/drawing/2014/main" id="{DB90E6DF-9A83-B0CA-3C6B-0EE7B81078B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7" name="Text Box 766">
          <a:extLst>
            <a:ext uri="{FF2B5EF4-FFF2-40B4-BE49-F238E27FC236}">
              <a16:creationId xmlns:a16="http://schemas.microsoft.com/office/drawing/2014/main" id="{A394CA43-B3CA-F94A-D565-E55CE8B5A9B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8" name="Text Box 767">
          <a:extLst>
            <a:ext uri="{FF2B5EF4-FFF2-40B4-BE49-F238E27FC236}">
              <a16:creationId xmlns:a16="http://schemas.microsoft.com/office/drawing/2014/main" id="{A5902759-9B63-015E-A959-435224EAC0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59" name="Text Box 768">
          <a:extLst>
            <a:ext uri="{FF2B5EF4-FFF2-40B4-BE49-F238E27FC236}">
              <a16:creationId xmlns:a16="http://schemas.microsoft.com/office/drawing/2014/main" id="{58D93483-A5BD-D1F0-EB9F-DD751C88D3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0" name="Text Box 769">
          <a:extLst>
            <a:ext uri="{FF2B5EF4-FFF2-40B4-BE49-F238E27FC236}">
              <a16:creationId xmlns:a16="http://schemas.microsoft.com/office/drawing/2014/main" id="{2C49E7A8-D22C-5856-F45D-6F978E99359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1" name="Text Box 770">
          <a:extLst>
            <a:ext uri="{FF2B5EF4-FFF2-40B4-BE49-F238E27FC236}">
              <a16:creationId xmlns:a16="http://schemas.microsoft.com/office/drawing/2014/main" id="{BE01BD28-C062-6B5B-CBAC-BB1FCA7CDF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2" name="Text Box 771">
          <a:extLst>
            <a:ext uri="{FF2B5EF4-FFF2-40B4-BE49-F238E27FC236}">
              <a16:creationId xmlns:a16="http://schemas.microsoft.com/office/drawing/2014/main" id="{151232B7-5F90-889A-9658-84D07A06A1D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3" name="Text Box 772">
          <a:extLst>
            <a:ext uri="{FF2B5EF4-FFF2-40B4-BE49-F238E27FC236}">
              <a16:creationId xmlns:a16="http://schemas.microsoft.com/office/drawing/2014/main" id="{FD8B4E61-6CFC-16CE-7295-76A05FA63F5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4" name="Text Box 773">
          <a:extLst>
            <a:ext uri="{FF2B5EF4-FFF2-40B4-BE49-F238E27FC236}">
              <a16:creationId xmlns:a16="http://schemas.microsoft.com/office/drawing/2014/main" id="{AA58A530-EE08-6CE2-5FB3-46E51B92CA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5" name="Text Box 774">
          <a:extLst>
            <a:ext uri="{FF2B5EF4-FFF2-40B4-BE49-F238E27FC236}">
              <a16:creationId xmlns:a16="http://schemas.microsoft.com/office/drawing/2014/main" id="{670AF611-1D1D-585B-A983-90BADF6692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6" name="Text Box 775">
          <a:extLst>
            <a:ext uri="{FF2B5EF4-FFF2-40B4-BE49-F238E27FC236}">
              <a16:creationId xmlns:a16="http://schemas.microsoft.com/office/drawing/2014/main" id="{7DE77FA8-70F6-1459-2940-1F0E553712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7" name="Text Box 776">
          <a:extLst>
            <a:ext uri="{FF2B5EF4-FFF2-40B4-BE49-F238E27FC236}">
              <a16:creationId xmlns:a16="http://schemas.microsoft.com/office/drawing/2014/main" id="{C73094CB-6859-816E-912F-0904FEC00F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8" name="Text Box 777">
          <a:extLst>
            <a:ext uri="{FF2B5EF4-FFF2-40B4-BE49-F238E27FC236}">
              <a16:creationId xmlns:a16="http://schemas.microsoft.com/office/drawing/2014/main" id="{DA919608-3D79-077A-7333-DD41027D4CA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69" name="Text Box 778">
          <a:extLst>
            <a:ext uri="{FF2B5EF4-FFF2-40B4-BE49-F238E27FC236}">
              <a16:creationId xmlns:a16="http://schemas.microsoft.com/office/drawing/2014/main" id="{5DE34D5D-8C70-DB0B-1C9E-68448EC469D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0" name="Text Box 779">
          <a:extLst>
            <a:ext uri="{FF2B5EF4-FFF2-40B4-BE49-F238E27FC236}">
              <a16:creationId xmlns:a16="http://schemas.microsoft.com/office/drawing/2014/main" id="{471F8A9E-1948-1DDF-52AB-C38E34FB9C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1" name="Text Box 780">
          <a:extLst>
            <a:ext uri="{FF2B5EF4-FFF2-40B4-BE49-F238E27FC236}">
              <a16:creationId xmlns:a16="http://schemas.microsoft.com/office/drawing/2014/main" id="{E4033D2D-E071-BB9A-0BED-94441452AAC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2" name="Text Box 781">
          <a:extLst>
            <a:ext uri="{FF2B5EF4-FFF2-40B4-BE49-F238E27FC236}">
              <a16:creationId xmlns:a16="http://schemas.microsoft.com/office/drawing/2014/main" id="{4C2B08D7-D6E4-41AB-2682-8496AE3CAA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3" name="Text Box 782">
          <a:extLst>
            <a:ext uri="{FF2B5EF4-FFF2-40B4-BE49-F238E27FC236}">
              <a16:creationId xmlns:a16="http://schemas.microsoft.com/office/drawing/2014/main" id="{EF13E12F-755B-E3A0-44BC-5E3D4996603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4" name="Text Box 783">
          <a:extLst>
            <a:ext uri="{FF2B5EF4-FFF2-40B4-BE49-F238E27FC236}">
              <a16:creationId xmlns:a16="http://schemas.microsoft.com/office/drawing/2014/main" id="{1C43318B-8E39-88D9-1EB1-8E127C2AF0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5" name="Text Box 784">
          <a:extLst>
            <a:ext uri="{FF2B5EF4-FFF2-40B4-BE49-F238E27FC236}">
              <a16:creationId xmlns:a16="http://schemas.microsoft.com/office/drawing/2014/main" id="{31C6BFC1-1423-EDB2-1305-AFE40B32C1B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6" name="Text Box 785">
          <a:extLst>
            <a:ext uri="{FF2B5EF4-FFF2-40B4-BE49-F238E27FC236}">
              <a16:creationId xmlns:a16="http://schemas.microsoft.com/office/drawing/2014/main" id="{DEB32DF5-8200-BBAC-B090-44D10C654D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7" name="Text Box 786">
          <a:extLst>
            <a:ext uri="{FF2B5EF4-FFF2-40B4-BE49-F238E27FC236}">
              <a16:creationId xmlns:a16="http://schemas.microsoft.com/office/drawing/2014/main" id="{FE0657E9-FD56-75F6-9F8F-A007CC56518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8" name="Text Box 787">
          <a:extLst>
            <a:ext uri="{FF2B5EF4-FFF2-40B4-BE49-F238E27FC236}">
              <a16:creationId xmlns:a16="http://schemas.microsoft.com/office/drawing/2014/main" id="{5E81CC8D-581F-1839-13F2-E7C2EBA6F1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79" name="Text Box 788">
          <a:extLst>
            <a:ext uri="{FF2B5EF4-FFF2-40B4-BE49-F238E27FC236}">
              <a16:creationId xmlns:a16="http://schemas.microsoft.com/office/drawing/2014/main" id="{5A76C187-531C-1B54-AC69-B65F95C638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0" name="Text Box 789">
          <a:extLst>
            <a:ext uri="{FF2B5EF4-FFF2-40B4-BE49-F238E27FC236}">
              <a16:creationId xmlns:a16="http://schemas.microsoft.com/office/drawing/2014/main" id="{07EAD391-20BC-96DA-EFD1-851D840C88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1" name="Text Box 790">
          <a:extLst>
            <a:ext uri="{FF2B5EF4-FFF2-40B4-BE49-F238E27FC236}">
              <a16:creationId xmlns:a16="http://schemas.microsoft.com/office/drawing/2014/main" id="{2B10BCFD-7CF0-A8B6-A24B-A97D6A7C725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2" name="Text Box 791">
          <a:extLst>
            <a:ext uri="{FF2B5EF4-FFF2-40B4-BE49-F238E27FC236}">
              <a16:creationId xmlns:a16="http://schemas.microsoft.com/office/drawing/2014/main" id="{49C14E32-CE6B-117C-03B8-317707D6E03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3" name="Text Box 792">
          <a:extLst>
            <a:ext uri="{FF2B5EF4-FFF2-40B4-BE49-F238E27FC236}">
              <a16:creationId xmlns:a16="http://schemas.microsoft.com/office/drawing/2014/main" id="{427DCCEC-F0BC-C8EB-6CE1-9D32B32A1B0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4" name="Text Box 793">
          <a:extLst>
            <a:ext uri="{FF2B5EF4-FFF2-40B4-BE49-F238E27FC236}">
              <a16:creationId xmlns:a16="http://schemas.microsoft.com/office/drawing/2014/main" id="{0DA7D251-98F1-E3AD-9148-E6962AE73B5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5" name="Text Box 794">
          <a:extLst>
            <a:ext uri="{FF2B5EF4-FFF2-40B4-BE49-F238E27FC236}">
              <a16:creationId xmlns:a16="http://schemas.microsoft.com/office/drawing/2014/main" id="{208D1AB2-FEA7-B0AA-3111-8EB0D7F49E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6" name="Text Box 795">
          <a:extLst>
            <a:ext uri="{FF2B5EF4-FFF2-40B4-BE49-F238E27FC236}">
              <a16:creationId xmlns:a16="http://schemas.microsoft.com/office/drawing/2014/main" id="{93DA6ACE-055F-059F-E0B0-212FE838CE4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7" name="Text Box 796">
          <a:extLst>
            <a:ext uri="{FF2B5EF4-FFF2-40B4-BE49-F238E27FC236}">
              <a16:creationId xmlns:a16="http://schemas.microsoft.com/office/drawing/2014/main" id="{9B674A4F-EBBB-38DA-37A3-9C01BF53D2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8" name="Text Box 797">
          <a:extLst>
            <a:ext uri="{FF2B5EF4-FFF2-40B4-BE49-F238E27FC236}">
              <a16:creationId xmlns:a16="http://schemas.microsoft.com/office/drawing/2014/main" id="{639CD1A8-0C2F-8AAD-ED77-B3E22195AA1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89" name="Text Box 798">
          <a:extLst>
            <a:ext uri="{FF2B5EF4-FFF2-40B4-BE49-F238E27FC236}">
              <a16:creationId xmlns:a16="http://schemas.microsoft.com/office/drawing/2014/main" id="{BA4F49DC-EDE5-E53C-10E6-58DAE7DC2D5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0" name="Text Box 799">
          <a:extLst>
            <a:ext uri="{FF2B5EF4-FFF2-40B4-BE49-F238E27FC236}">
              <a16:creationId xmlns:a16="http://schemas.microsoft.com/office/drawing/2014/main" id="{6D43C75B-0CEB-2DE7-F95C-21E50D0D3DF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1" name="Text Box 800">
          <a:extLst>
            <a:ext uri="{FF2B5EF4-FFF2-40B4-BE49-F238E27FC236}">
              <a16:creationId xmlns:a16="http://schemas.microsoft.com/office/drawing/2014/main" id="{79C11FDF-F1B2-126F-5168-F7907479AB3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2" name="Text Box 801">
          <a:extLst>
            <a:ext uri="{FF2B5EF4-FFF2-40B4-BE49-F238E27FC236}">
              <a16:creationId xmlns:a16="http://schemas.microsoft.com/office/drawing/2014/main" id="{42BD63B7-DA37-33AF-AA91-540F1BD545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3" name="Text Box 802">
          <a:extLst>
            <a:ext uri="{FF2B5EF4-FFF2-40B4-BE49-F238E27FC236}">
              <a16:creationId xmlns:a16="http://schemas.microsoft.com/office/drawing/2014/main" id="{43DABFC2-50F5-D155-7B95-55A1C85E4CE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4" name="Text Box 803">
          <a:extLst>
            <a:ext uri="{FF2B5EF4-FFF2-40B4-BE49-F238E27FC236}">
              <a16:creationId xmlns:a16="http://schemas.microsoft.com/office/drawing/2014/main" id="{97998B47-84EB-4CCC-8727-19EB035D7F4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5" name="Text Box 804">
          <a:extLst>
            <a:ext uri="{FF2B5EF4-FFF2-40B4-BE49-F238E27FC236}">
              <a16:creationId xmlns:a16="http://schemas.microsoft.com/office/drawing/2014/main" id="{0DDD701D-266B-A4B6-8E70-296569F9DFD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6" name="Text Box 805">
          <a:extLst>
            <a:ext uri="{FF2B5EF4-FFF2-40B4-BE49-F238E27FC236}">
              <a16:creationId xmlns:a16="http://schemas.microsoft.com/office/drawing/2014/main" id="{C2CD2600-CA7A-6C7B-8336-67D0F58AC99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7" name="Text Box 806">
          <a:extLst>
            <a:ext uri="{FF2B5EF4-FFF2-40B4-BE49-F238E27FC236}">
              <a16:creationId xmlns:a16="http://schemas.microsoft.com/office/drawing/2014/main" id="{D205A657-DD57-326D-253E-A2027DE6536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8" name="Text Box 807">
          <a:extLst>
            <a:ext uri="{FF2B5EF4-FFF2-40B4-BE49-F238E27FC236}">
              <a16:creationId xmlns:a16="http://schemas.microsoft.com/office/drawing/2014/main" id="{851CBE50-8608-F598-49E1-F54DBF834BD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799" name="Text Box 808">
          <a:extLst>
            <a:ext uri="{FF2B5EF4-FFF2-40B4-BE49-F238E27FC236}">
              <a16:creationId xmlns:a16="http://schemas.microsoft.com/office/drawing/2014/main" id="{9D98EE96-6649-34BA-272D-A5829D29A67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0" name="Text Box 809">
          <a:extLst>
            <a:ext uri="{FF2B5EF4-FFF2-40B4-BE49-F238E27FC236}">
              <a16:creationId xmlns:a16="http://schemas.microsoft.com/office/drawing/2014/main" id="{CD88B3E7-859C-6E0F-40A0-C9D9EF27548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1" name="Text Box 810">
          <a:extLst>
            <a:ext uri="{FF2B5EF4-FFF2-40B4-BE49-F238E27FC236}">
              <a16:creationId xmlns:a16="http://schemas.microsoft.com/office/drawing/2014/main" id="{6CB9740A-FC08-3F86-0D39-DB8BBF63646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2" name="Text Box 811">
          <a:extLst>
            <a:ext uri="{FF2B5EF4-FFF2-40B4-BE49-F238E27FC236}">
              <a16:creationId xmlns:a16="http://schemas.microsoft.com/office/drawing/2014/main" id="{2C3CE773-CEE5-BE4E-E27E-8588C64BFC9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3" name="Text Box 812">
          <a:extLst>
            <a:ext uri="{FF2B5EF4-FFF2-40B4-BE49-F238E27FC236}">
              <a16:creationId xmlns:a16="http://schemas.microsoft.com/office/drawing/2014/main" id="{45BE4B3E-5CC6-9B09-57FC-73F230BDAEE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4" name="Text Box 813">
          <a:extLst>
            <a:ext uri="{FF2B5EF4-FFF2-40B4-BE49-F238E27FC236}">
              <a16:creationId xmlns:a16="http://schemas.microsoft.com/office/drawing/2014/main" id="{36AD6601-71ED-BD21-43B5-381E1C3ED31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5" name="Text Box 814">
          <a:extLst>
            <a:ext uri="{FF2B5EF4-FFF2-40B4-BE49-F238E27FC236}">
              <a16:creationId xmlns:a16="http://schemas.microsoft.com/office/drawing/2014/main" id="{E0B0151A-6D44-FF19-4E3E-61A5F97B302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6" name="Text Box 815">
          <a:extLst>
            <a:ext uri="{FF2B5EF4-FFF2-40B4-BE49-F238E27FC236}">
              <a16:creationId xmlns:a16="http://schemas.microsoft.com/office/drawing/2014/main" id="{9E4D16E1-6E23-29BC-348C-2E7865AFB4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7" name="Text Box 816">
          <a:extLst>
            <a:ext uri="{FF2B5EF4-FFF2-40B4-BE49-F238E27FC236}">
              <a16:creationId xmlns:a16="http://schemas.microsoft.com/office/drawing/2014/main" id="{7D749D57-FA27-D723-7CD1-9A0C753A25E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8" name="Text Box 817">
          <a:extLst>
            <a:ext uri="{FF2B5EF4-FFF2-40B4-BE49-F238E27FC236}">
              <a16:creationId xmlns:a16="http://schemas.microsoft.com/office/drawing/2014/main" id="{FA65EDA0-C7E7-55C5-4A77-F38DE82FFC9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09" name="Text Box 818">
          <a:extLst>
            <a:ext uri="{FF2B5EF4-FFF2-40B4-BE49-F238E27FC236}">
              <a16:creationId xmlns:a16="http://schemas.microsoft.com/office/drawing/2014/main" id="{82D2D7DB-DDA1-242B-1AE6-35D98E183B7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0" name="Text Box 819">
          <a:extLst>
            <a:ext uri="{FF2B5EF4-FFF2-40B4-BE49-F238E27FC236}">
              <a16:creationId xmlns:a16="http://schemas.microsoft.com/office/drawing/2014/main" id="{7760E767-7573-1FD9-A745-B42B774FF1B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1" name="Text Box 820">
          <a:extLst>
            <a:ext uri="{FF2B5EF4-FFF2-40B4-BE49-F238E27FC236}">
              <a16:creationId xmlns:a16="http://schemas.microsoft.com/office/drawing/2014/main" id="{2749B85F-B2BD-67A0-9549-B78953F53A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2" name="Text Box 821">
          <a:extLst>
            <a:ext uri="{FF2B5EF4-FFF2-40B4-BE49-F238E27FC236}">
              <a16:creationId xmlns:a16="http://schemas.microsoft.com/office/drawing/2014/main" id="{3F0C0993-9C7D-1753-1EF6-C8B90497713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3" name="Text Box 822">
          <a:extLst>
            <a:ext uri="{FF2B5EF4-FFF2-40B4-BE49-F238E27FC236}">
              <a16:creationId xmlns:a16="http://schemas.microsoft.com/office/drawing/2014/main" id="{A55515D3-E405-291D-B8C8-4BE049A99C6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4" name="Text Box 823">
          <a:extLst>
            <a:ext uri="{FF2B5EF4-FFF2-40B4-BE49-F238E27FC236}">
              <a16:creationId xmlns:a16="http://schemas.microsoft.com/office/drawing/2014/main" id="{97387F59-8A21-0AE0-6CFC-1F996D4BB71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5" name="Text Box 824">
          <a:extLst>
            <a:ext uri="{FF2B5EF4-FFF2-40B4-BE49-F238E27FC236}">
              <a16:creationId xmlns:a16="http://schemas.microsoft.com/office/drawing/2014/main" id="{C3E6BCF7-69B8-E25D-A948-3B80F54B737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6" name="Text Box 825">
          <a:extLst>
            <a:ext uri="{FF2B5EF4-FFF2-40B4-BE49-F238E27FC236}">
              <a16:creationId xmlns:a16="http://schemas.microsoft.com/office/drawing/2014/main" id="{40A7C827-DE40-825D-6A68-4ABD75BD49E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7" name="Text Box 826">
          <a:extLst>
            <a:ext uri="{FF2B5EF4-FFF2-40B4-BE49-F238E27FC236}">
              <a16:creationId xmlns:a16="http://schemas.microsoft.com/office/drawing/2014/main" id="{380F67A3-06A5-A657-1783-EE12F850FB9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8" name="Text Box 827">
          <a:extLst>
            <a:ext uri="{FF2B5EF4-FFF2-40B4-BE49-F238E27FC236}">
              <a16:creationId xmlns:a16="http://schemas.microsoft.com/office/drawing/2014/main" id="{6D0AACE9-CE46-DCDF-47C0-1850565B93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19" name="Text Box 828">
          <a:extLst>
            <a:ext uri="{FF2B5EF4-FFF2-40B4-BE49-F238E27FC236}">
              <a16:creationId xmlns:a16="http://schemas.microsoft.com/office/drawing/2014/main" id="{2E8C0D17-9E7F-4587-7D08-A13DFF3C0F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0" name="Text Box 829">
          <a:extLst>
            <a:ext uri="{FF2B5EF4-FFF2-40B4-BE49-F238E27FC236}">
              <a16:creationId xmlns:a16="http://schemas.microsoft.com/office/drawing/2014/main" id="{E8C3EFF8-96D3-3A3C-7B26-BBB3B69C69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1" name="Text Box 830">
          <a:extLst>
            <a:ext uri="{FF2B5EF4-FFF2-40B4-BE49-F238E27FC236}">
              <a16:creationId xmlns:a16="http://schemas.microsoft.com/office/drawing/2014/main" id="{9AADC901-429B-8D4E-780E-A13C4295EEF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2" name="Text Box 831">
          <a:extLst>
            <a:ext uri="{FF2B5EF4-FFF2-40B4-BE49-F238E27FC236}">
              <a16:creationId xmlns:a16="http://schemas.microsoft.com/office/drawing/2014/main" id="{C4060182-BDC5-7ABE-45CD-36DBF2BB7B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3" name="Text Box 832">
          <a:extLst>
            <a:ext uri="{FF2B5EF4-FFF2-40B4-BE49-F238E27FC236}">
              <a16:creationId xmlns:a16="http://schemas.microsoft.com/office/drawing/2014/main" id="{F057CBE8-7BCD-BB4A-98ED-2989004C00B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4" name="Text Box 833">
          <a:extLst>
            <a:ext uri="{FF2B5EF4-FFF2-40B4-BE49-F238E27FC236}">
              <a16:creationId xmlns:a16="http://schemas.microsoft.com/office/drawing/2014/main" id="{40D9EFEF-64A6-F9F6-AE21-3525E41992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5" name="Text Box 834">
          <a:extLst>
            <a:ext uri="{FF2B5EF4-FFF2-40B4-BE49-F238E27FC236}">
              <a16:creationId xmlns:a16="http://schemas.microsoft.com/office/drawing/2014/main" id="{688434B1-0C27-5FA4-DC64-BA58B6ED9A3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6" name="Text Box 835">
          <a:extLst>
            <a:ext uri="{FF2B5EF4-FFF2-40B4-BE49-F238E27FC236}">
              <a16:creationId xmlns:a16="http://schemas.microsoft.com/office/drawing/2014/main" id="{B3F1BC23-20CC-C8D0-C76E-F52C45284D2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7" name="Text Box 836">
          <a:extLst>
            <a:ext uri="{FF2B5EF4-FFF2-40B4-BE49-F238E27FC236}">
              <a16:creationId xmlns:a16="http://schemas.microsoft.com/office/drawing/2014/main" id="{E21E2A6F-8C49-CCA4-7C44-0E55DBF99B6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8" name="Text Box 837">
          <a:extLst>
            <a:ext uri="{FF2B5EF4-FFF2-40B4-BE49-F238E27FC236}">
              <a16:creationId xmlns:a16="http://schemas.microsoft.com/office/drawing/2014/main" id="{6C76A228-8049-CB0F-BFE1-2D01FD3B7A0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29" name="Text Box 838">
          <a:extLst>
            <a:ext uri="{FF2B5EF4-FFF2-40B4-BE49-F238E27FC236}">
              <a16:creationId xmlns:a16="http://schemas.microsoft.com/office/drawing/2014/main" id="{ECC12CAE-91E7-7A43-1340-2A345372600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0" name="Text Box 839">
          <a:extLst>
            <a:ext uri="{FF2B5EF4-FFF2-40B4-BE49-F238E27FC236}">
              <a16:creationId xmlns:a16="http://schemas.microsoft.com/office/drawing/2014/main" id="{AEB7EFE8-3A38-C059-8A84-9AB9C1B9DBA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1" name="Text Box 840">
          <a:extLst>
            <a:ext uri="{FF2B5EF4-FFF2-40B4-BE49-F238E27FC236}">
              <a16:creationId xmlns:a16="http://schemas.microsoft.com/office/drawing/2014/main" id="{4D193C7B-08D0-EF6C-F570-654080C318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2" name="Text Box 841">
          <a:extLst>
            <a:ext uri="{FF2B5EF4-FFF2-40B4-BE49-F238E27FC236}">
              <a16:creationId xmlns:a16="http://schemas.microsoft.com/office/drawing/2014/main" id="{8FCFD7E6-1764-6C9C-A5CF-35579293257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3" name="Text Box 842">
          <a:extLst>
            <a:ext uri="{FF2B5EF4-FFF2-40B4-BE49-F238E27FC236}">
              <a16:creationId xmlns:a16="http://schemas.microsoft.com/office/drawing/2014/main" id="{BDF0C8BC-8514-0EB3-FA2A-5AD2C2B0CF3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4" name="Text Box 843">
          <a:extLst>
            <a:ext uri="{FF2B5EF4-FFF2-40B4-BE49-F238E27FC236}">
              <a16:creationId xmlns:a16="http://schemas.microsoft.com/office/drawing/2014/main" id="{B03D096B-28F5-CA23-EAAC-0C19A2232BF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5" name="Text Box 844">
          <a:extLst>
            <a:ext uri="{FF2B5EF4-FFF2-40B4-BE49-F238E27FC236}">
              <a16:creationId xmlns:a16="http://schemas.microsoft.com/office/drawing/2014/main" id="{D0EA0BA9-71E1-08CB-0016-3CB0D5A002D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6" name="Text Box 845">
          <a:extLst>
            <a:ext uri="{FF2B5EF4-FFF2-40B4-BE49-F238E27FC236}">
              <a16:creationId xmlns:a16="http://schemas.microsoft.com/office/drawing/2014/main" id="{F075158A-C2B6-D1B0-6533-898B55BA0F9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7" name="Text Box 846">
          <a:extLst>
            <a:ext uri="{FF2B5EF4-FFF2-40B4-BE49-F238E27FC236}">
              <a16:creationId xmlns:a16="http://schemas.microsoft.com/office/drawing/2014/main" id="{E1BE5FCE-68C7-5F93-E5CA-EC00AB16A83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8" name="Text Box 847">
          <a:extLst>
            <a:ext uri="{FF2B5EF4-FFF2-40B4-BE49-F238E27FC236}">
              <a16:creationId xmlns:a16="http://schemas.microsoft.com/office/drawing/2014/main" id="{8919F70D-BBCD-98A0-ADC0-D2A7DA919E2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39" name="Text Box 848">
          <a:extLst>
            <a:ext uri="{FF2B5EF4-FFF2-40B4-BE49-F238E27FC236}">
              <a16:creationId xmlns:a16="http://schemas.microsoft.com/office/drawing/2014/main" id="{BD5E89DE-DEA6-3D28-036A-4EC465F1907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0" name="Text Box 849">
          <a:extLst>
            <a:ext uri="{FF2B5EF4-FFF2-40B4-BE49-F238E27FC236}">
              <a16:creationId xmlns:a16="http://schemas.microsoft.com/office/drawing/2014/main" id="{24CC6604-5728-B52A-93FD-5EC7CC01C9E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1" name="Text Box 850">
          <a:extLst>
            <a:ext uri="{FF2B5EF4-FFF2-40B4-BE49-F238E27FC236}">
              <a16:creationId xmlns:a16="http://schemas.microsoft.com/office/drawing/2014/main" id="{E5224B0E-440B-7C2A-2FAF-D50EF9EABC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2" name="Text Box 851">
          <a:extLst>
            <a:ext uri="{FF2B5EF4-FFF2-40B4-BE49-F238E27FC236}">
              <a16:creationId xmlns:a16="http://schemas.microsoft.com/office/drawing/2014/main" id="{B4120ABD-DA17-3FD2-676A-163E9010E31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3" name="Text Box 852">
          <a:extLst>
            <a:ext uri="{FF2B5EF4-FFF2-40B4-BE49-F238E27FC236}">
              <a16:creationId xmlns:a16="http://schemas.microsoft.com/office/drawing/2014/main" id="{F8C77663-A765-462B-2743-DC36D37301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4" name="Text Box 853">
          <a:extLst>
            <a:ext uri="{FF2B5EF4-FFF2-40B4-BE49-F238E27FC236}">
              <a16:creationId xmlns:a16="http://schemas.microsoft.com/office/drawing/2014/main" id="{427E98AD-B89B-4916-EEE5-BF064272691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5" name="Text Box 854">
          <a:extLst>
            <a:ext uri="{FF2B5EF4-FFF2-40B4-BE49-F238E27FC236}">
              <a16:creationId xmlns:a16="http://schemas.microsoft.com/office/drawing/2014/main" id="{4650F4BB-7100-F143-B0EE-49D20EB90EF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6" name="Text Box 855">
          <a:extLst>
            <a:ext uri="{FF2B5EF4-FFF2-40B4-BE49-F238E27FC236}">
              <a16:creationId xmlns:a16="http://schemas.microsoft.com/office/drawing/2014/main" id="{B75A8BE4-BD26-FE59-00CD-F756F8825FD2}"/>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7" name="Text Box 856">
          <a:extLst>
            <a:ext uri="{FF2B5EF4-FFF2-40B4-BE49-F238E27FC236}">
              <a16:creationId xmlns:a16="http://schemas.microsoft.com/office/drawing/2014/main" id="{F7775029-0CAD-9781-DE0A-A67301DBD9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8" name="Text Box 857">
          <a:extLst>
            <a:ext uri="{FF2B5EF4-FFF2-40B4-BE49-F238E27FC236}">
              <a16:creationId xmlns:a16="http://schemas.microsoft.com/office/drawing/2014/main" id="{C4911018-B6C5-9FD1-A7C3-003D4D1BC7E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49" name="Text Box 858">
          <a:extLst>
            <a:ext uri="{FF2B5EF4-FFF2-40B4-BE49-F238E27FC236}">
              <a16:creationId xmlns:a16="http://schemas.microsoft.com/office/drawing/2014/main" id="{5288F37C-22FC-EBB9-9270-2681C32BC0B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0" name="Text Box 859">
          <a:extLst>
            <a:ext uri="{FF2B5EF4-FFF2-40B4-BE49-F238E27FC236}">
              <a16:creationId xmlns:a16="http://schemas.microsoft.com/office/drawing/2014/main" id="{3EB77A60-7C81-BEE9-D387-BA73DC59030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1" name="Text Box 860">
          <a:extLst>
            <a:ext uri="{FF2B5EF4-FFF2-40B4-BE49-F238E27FC236}">
              <a16:creationId xmlns:a16="http://schemas.microsoft.com/office/drawing/2014/main" id="{630F096A-89EF-B21C-C7AE-326C48853E4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2" name="Text Box 861">
          <a:extLst>
            <a:ext uri="{FF2B5EF4-FFF2-40B4-BE49-F238E27FC236}">
              <a16:creationId xmlns:a16="http://schemas.microsoft.com/office/drawing/2014/main" id="{BDD3E0C1-F950-0654-F698-8B892A01A9A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3" name="Text Box 862">
          <a:extLst>
            <a:ext uri="{FF2B5EF4-FFF2-40B4-BE49-F238E27FC236}">
              <a16:creationId xmlns:a16="http://schemas.microsoft.com/office/drawing/2014/main" id="{02AF1D35-BDC9-01B4-8CD0-BC95ABA95F5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4" name="Text Box 863">
          <a:extLst>
            <a:ext uri="{FF2B5EF4-FFF2-40B4-BE49-F238E27FC236}">
              <a16:creationId xmlns:a16="http://schemas.microsoft.com/office/drawing/2014/main" id="{151B8808-17B7-0ED3-C31C-B1BAC78E4978}"/>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5" name="Text Box 864">
          <a:extLst>
            <a:ext uri="{FF2B5EF4-FFF2-40B4-BE49-F238E27FC236}">
              <a16:creationId xmlns:a16="http://schemas.microsoft.com/office/drawing/2014/main" id="{018A805A-6B83-28C0-E2FF-FE2B4F6A64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6" name="Text Box 865">
          <a:extLst>
            <a:ext uri="{FF2B5EF4-FFF2-40B4-BE49-F238E27FC236}">
              <a16:creationId xmlns:a16="http://schemas.microsoft.com/office/drawing/2014/main" id="{E2745289-BF80-7C35-6D6C-00B0DE217B4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7" name="Text Box 866">
          <a:extLst>
            <a:ext uri="{FF2B5EF4-FFF2-40B4-BE49-F238E27FC236}">
              <a16:creationId xmlns:a16="http://schemas.microsoft.com/office/drawing/2014/main" id="{EDD830DC-60BF-FDAD-40B2-51C9EBB47DA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8" name="Text Box 867">
          <a:extLst>
            <a:ext uri="{FF2B5EF4-FFF2-40B4-BE49-F238E27FC236}">
              <a16:creationId xmlns:a16="http://schemas.microsoft.com/office/drawing/2014/main" id="{CAB32CBD-3A3C-2B8D-9AA2-AF24883D7F1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59" name="Text Box 868">
          <a:extLst>
            <a:ext uri="{FF2B5EF4-FFF2-40B4-BE49-F238E27FC236}">
              <a16:creationId xmlns:a16="http://schemas.microsoft.com/office/drawing/2014/main" id="{87EE35A8-1F32-E295-2070-6E9D2DEF78F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0" name="Text Box 869">
          <a:extLst>
            <a:ext uri="{FF2B5EF4-FFF2-40B4-BE49-F238E27FC236}">
              <a16:creationId xmlns:a16="http://schemas.microsoft.com/office/drawing/2014/main" id="{D09E4CD9-6D21-F159-AB6D-C19154A621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1" name="Text Box 870">
          <a:extLst>
            <a:ext uri="{FF2B5EF4-FFF2-40B4-BE49-F238E27FC236}">
              <a16:creationId xmlns:a16="http://schemas.microsoft.com/office/drawing/2014/main" id="{9A316F4A-5BA0-8787-40CB-2C524BA7682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2" name="Text Box 871">
          <a:extLst>
            <a:ext uri="{FF2B5EF4-FFF2-40B4-BE49-F238E27FC236}">
              <a16:creationId xmlns:a16="http://schemas.microsoft.com/office/drawing/2014/main" id="{412446E9-0948-F7CB-0134-69CAF6CD5E7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3" name="Text Box 872">
          <a:extLst>
            <a:ext uri="{FF2B5EF4-FFF2-40B4-BE49-F238E27FC236}">
              <a16:creationId xmlns:a16="http://schemas.microsoft.com/office/drawing/2014/main" id="{AEEE3E73-C359-0994-56B9-14E87772E42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4" name="Text Box 873">
          <a:extLst>
            <a:ext uri="{FF2B5EF4-FFF2-40B4-BE49-F238E27FC236}">
              <a16:creationId xmlns:a16="http://schemas.microsoft.com/office/drawing/2014/main" id="{E210061C-0141-16C4-A308-A57B4792FDC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5" name="Text Box 874">
          <a:extLst>
            <a:ext uri="{FF2B5EF4-FFF2-40B4-BE49-F238E27FC236}">
              <a16:creationId xmlns:a16="http://schemas.microsoft.com/office/drawing/2014/main" id="{07154C3C-7F9B-4C6F-735C-D22BF3D6A57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6" name="Text Box 875">
          <a:extLst>
            <a:ext uri="{FF2B5EF4-FFF2-40B4-BE49-F238E27FC236}">
              <a16:creationId xmlns:a16="http://schemas.microsoft.com/office/drawing/2014/main" id="{093D950C-5CDE-691B-CE3C-CDE389F2C64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7" name="Text Box 876">
          <a:extLst>
            <a:ext uri="{FF2B5EF4-FFF2-40B4-BE49-F238E27FC236}">
              <a16:creationId xmlns:a16="http://schemas.microsoft.com/office/drawing/2014/main" id="{AC9D7424-0AFA-3E4A-9295-4F23C06A1A3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8" name="Text Box 877">
          <a:extLst>
            <a:ext uri="{FF2B5EF4-FFF2-40B4-BE49-F238E27FC236}">
              <a16:creationId xmlns:a16="http://schemas.microsoft.com/office/drawing/2014/main" id="{DAB07FAC-A5BE-6170-371D-B3E3A147A12F}"/>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69" name="Text Box 878">
          <a:extLst>
            <a:ext uri="{FF2B5EF4-FFF2-40B4-BE49-F238E27FC236}">
              <a16:creationId xmlns:a16="http://schemas.microsoft.com/office/drawing/2014/main" id="{BD397B38-72F8-E789-653D-F42A5700C61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0" name="Text Box 879">
          <a:extLst>
            <a:ext uri="{FF2B5EF4-FFF2-40B4-BE49-F238E27FC236}">
              <a16:creationId xmlns:a16="http://schemas.microsoft.com/office/drawing/2014/main" id="{5A88BEA2-C10B-7D82-39B2-25356E263F9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1" name="Text Box 880">
          <a:extLst>
            <a:ext uri="{FF2B5EF4-FFF2-40B4-BE49-F238E27FC236}">
              <a16:creationId xmlns:a16="http://schemas.microsoft.com/office/drawing/2014/main" id="{6A1B16D8-3CE6-FB77-3333-3B548FA9921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2" name="Text Box 881">
          <a:extLst>
            <a:ext uri="{FF2B5EF4-FFF2-40B4-BE49-F238E27FC236}">
              <a16:creationId xmlns:a16="http://schemas.microsoft.com/office/drawing/2014/main" id="{1F50F115-AA0D-58BD-18C1-FDC523938E4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3" name="Text Box 882">
          <a:extLst>
            <a:ext uri="{FF2B5EF4-FFF2-40B4-BE49-F238E27FC236}">
              <a16:creationId xmlns:a16="http://schemas.microsoft.com/office/drawing/2014/main" id="{ADE9298D-A83E-2B53-093F-5554F7A6E36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4" name="Text Box 883">
          <a:extLst>
            <a:ext uri="{FF2B5EF4-FFF2-40B4-BE49-F238E27FC236}">
              <a16:creationId xmlns:a16="http://schemas.microsoft.com/office/drawing/2014/main" id="{72AEC703-94E7-7F2C-B4E1-7C939B0F994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5" name="Text Box 884">
          <a:extLst>
            <a:ext uri="{FF2B5EF4-FFF2-40B4-BE49-F238E27FC236}">
              <a16:creationId xmlns:a16="http://schemas.microsoft.com/office/drawing/2014/main" id="{1813204E-6028-7DF5-DBCF-7D135C2A5B1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6" name="Text Box 885">
          <a:extLst>
            <a:ext uri="{FF2B5EF4-FFF2-40B4-BE49-F238E27FC236}">
              <a16:creationId xmlns:a16="http://schemas.microsoft.com/office/drawing/2014/main" id="{7D7B5340-DAE0-46BC-C52D-CE04EEBBB62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7" name="Text Box 886">
          <a:extLst>
            <a:ext uri="{FF2B5EF4-FFF2-40B4-BE49-F238E27FC236}">
              <a16:creationId xmlns:a16="http://schemas.microsoft.com/office/drawing/2014/main" id="{F151D424-DD17-9C39-A88E-56D699C0B20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8" name="Text Box 887">
          <a:extLst>
            <a:ext uri="{FF2B5EF4-FFF2-40B4-BE49-F238E27FC236}">
              <a16:creationId xmlns:a16="http://schemas.microsoft.com/office/drawing/2014/main" id="{6F08905C-9E85-FC09-C980-47D31F838C2D}"/>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79" name="Text Box 888">
          <a:extLst>
            <a:ext uri="{FF2B5EF4-FFF2-40B4-BE49-F238E27FC236}">
              <a16:creationId xmlns:a16="http://schemas.microsoft.com/office/drawing/2014/main" id="{E56F322C-8DFF-0E1E-3E64-820E952C44B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0" name="Text Box 889">
          <a:extLst>
            <a:ext uri="{FF2B5EF4-FFF2-40B4-BE49-F238E27FC236}">
              <a16:creationId xmlns:a16="http://schemas.microsoft.com/office/drawing/2014/main" id="{F00E08C3-B709-5644-328A-19486CB2BADE}"/>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1" name="Text Box 890">
          <a:extLst>
            <a:ext uri="{FF2B5EF4-FFF2-40B4-BE49-F238E27FC236}">
              <a16:creationId xmlns:a16="http://schemas.microsoft.com/office/drawing/2014/main" id="{23607820-7D92-479C-F80E-9421B3946AD9}"/>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2" name="Text Box 891">
          <a:extLst>
            <a:ext uri="{FF2B5EF4-FFF2-40B4-BE49-F238E27FC236}">
              <a16:creationId xmlns:a16="http://schemas.microsoft.com/office/drawing/2014/main" id="{C5862FB6-531C-C843-6435-19C9D6EC600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3" name="Text Box 892">
          <a:extLst>
            <a:ext uri="{FF2B5EF4-FFF2-40B4-BE49-F238E27FC236}">
              <a16:creationId xmlns:a16="http://schemas.microsoft.com/office/drawing/2014/main" id="{C0C807B6-CDEF-E100-A462-8CF5BCF1FBA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4" name="Text Box 893">
          <a:extLst>
            <a:ext uri="{FF2B5EF4-FFF2-40B4-BE49-F238E27FC236}">
              <a16:creationId xmlns:a16="http://schemas.microsoft.com/office/drawing/2014/main" id="{A982A57E-CB53-79F2-3DDB-A9BE595F2127}"/>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5" name="Text Box 894">
          <a:extLst>
            <a:ext uri="{FF2B5EF4-FFF2-40B4-BE49-F238E27FC236}">
              <a16:creationId xmlns:a16="http://schemas.microsoft.com/office/drawing/2014/main" id="{7F47AC3A-F7CB-FAEB-3AC4-9378891C22E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6" name="Text Box 895">
          <a:extLst>
            <a:ext uri="{FF2B5EF4-FFF2-40B4-BE49-F238E27FC236}">
              <a16:creationId xmlns:a16="http://schemas.microsoft.com/office/drawing/2014/main" id="{50AA115E-A4E7-AF52-4E60-14218F06757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7" name="Text Box 896">
          <a:extLst>
            <a:ext uri="{FF2B5EF4-FFF2-40B4-BE49-F238E27FC236}">
              <a16:creationId xmlns:a16="http://schemas.microsoft.com/office/drawing/2014/main" id="{B1632E4F-6CB4-A509-88BE-14A566709A9C}"/>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8" name="Text Box 897">
          <a:extLst>
            <a:ext uri="{FF2B5EF4-FFF2-40B4-BE49-F238E27FC236}">
              <a16:creationId xmlns:a16="http://schemas.microsoft.com/office/drawing/2014/main" id="{74B5182A-6D8C-9B74-1647-05BA4D2B148B}"/>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89" name="Text Box 898">
          <a:extLst>
            <a:ext uri="{FF2B5EF4-FFF2-40B4-BE49-F238E27FC236}">
              <a16:creationId xmlns:a16="http://schemas.microsoft.com/office/drawing/2014/main" id="{6EC11F4B-8F8D-2CAA-02C8-9061D2E3BF8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0" name="Text Box 899">
          <a:extLst>
            <a:ext uri="{FF2B5EF4-FFF2-40B4-BE49-F238E27FC236}">
              <a16:creationId xmlns:a16="http://schemas.microsoft.com/office/drawing/2014/main" id="{1381E0DC-BF2C-BAAC-BA85-F09648DCA756}"/>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1" name="Text Box 900">
          <a:extLst>
            <a:ext uri="{FF2B5EF4-FFF2-40B4-BE49-F238E27FC236}">
              <a16:creationId xmlns:a16="http://schemas.microsoft.com/office/drawing/2014/main" id="{75218ED5-4705-F3EE-F905-CB5BCF082A13}"/>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2" name="Text Box 712">
          <a:extLst>
            <a:ext uri="{FF2B5EF4-FFF2-40B4-BE49-F238E27FC236}">
              <a16:creationId xmlns:a16="http://schemas.microsoft.com/office/drawing/2014/main" id="{0259DDA3-9C97-34CE-4C06-863D9F1B6250}"/>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3" name="Text Box 714">
          <a:extLst>
            <a:ext uri="{FF2B5EF4-FFF2-40B4-BE49-F238E27FC236}">
              <a16:creationId xmlns:a16="http://schemas.microsoft.com/office/drawing/2014/main" id="{45408A4D-7CA5-9A19-02F1-9A5DA3FEF311}"/>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4" name="Text Box 532">
          <a:extLst>
            <a:ext uri="{FF2B5EF4-FFF2-40B4-BE49-F238E27FC236}">
              <a16:creationId xmlns:a16="http://schemas.microsoft.com/office/drawing/2014/main" id="{3C0C945E-5687-DF51-3C9A-43DA00DFD985}"/>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5" name="Text Box 725">
          <a:extLst>
            <a:ext uri="{FF2B5EF4-FFF2-40B4-BE49-F238E27FC236}">
              <a16:creationId xmlns:a16="http://schemas.microsoft.com/office/drawing/2014/main" id="{D685D017-2BA9-A856-6B84-53D2A9437B4A}"/>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82</xdr:row>
      <xdr:rowOff>0</xdr:rowOff>
    </xdr:from>
    <xdr:to>
      <xdr:col>3</xdr:col>
      <xdr:colOff>104775</xdr:colOff>
      <xdr:row>82</xdr:row>
      <xdr:rowOff>257175</xdr:rowOff>
    </xdr:to>
    <xdr:sp macro="" textlink="">
      <xdr:nvSpPr>
        <xdr:cNvPr id="9832896" name="Text Box 726">
          <a:extLst>
            <a:ext uri="{FF2B5EF4-FFF2-40B4-BE49-F238E27FC236}">
              <a16:creationId xmlns:a16="http://schemas.microsoft.com/office/drawing/2014/main" id="{1902ABAC-9F2A-95EF-26AF-186BED37EC04}"/>
            </a:ext>
          </a:extLst>
        </xdr:cNvPr>
        <xdr:cNvSpPr txBox="1">
          <a:spLocks noChangeArrowheads="1"/>
        </xdr:cNvSpPr>
      </xdr:nvSpPr>
      <xdr:spPr bwMode="auto">
        <a:xfrm>
          <a:off x="6267450" y="26650950"/>
          <a:ext cx="104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bhilash\shared\Shared\Others\Samples\Copy%20of%20QT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andrabose\SHARED\APURMS\Bhainsa\Rate%20Analysis\Rate%20Analysis%20-%20Bhainsa\final_datas_of_Bhainsa_2004-05_-new_print%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7\BOQ_M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y"/>
      <sheetName val="Steel"/>
      <sheetName val="Steel-Circular"/>
      <sheetName val="Steel_Circular"/>
      <sheetName val="Elect."/>
      <sheetName val="ANAL"/>
      <sheetName val="Data"/>
      <sheetName val="BOQ (2)"/>
      <sheetName val="SOR"/>
      <sheetName val="BHANDUP"/>
      <sheetName val="VARIABLE"/>
      <sheetName val="ANNEXURE-A"/>
      <sheetName val="Basicrates"/>
      <sheetName val="Trail"/>
      <sheetName val="MIS P&amp;L"/>
      <sheetName val="INDIGINEOUS ITEMS "/>
      <sheetName val="det_est"/>
      <sheetName val="I-CO"/>
      <sheetName val="Mix Design"/>
      <sheetName val="Elect_"/>
      <sheetName val="BOQ_(2)"/>
      <sheetName val="Mix_Design"/>
      <sheetName val="Material "/>
      <sheetName val="Labour &amp; Plant"/>
      <sheetName val="Materials "/>
      <sheetName val="PLAN_FEB97"/>
      <sheetName val="Debit_RMC"/>
      <sheetName val="Debit_Transit"/>
      <sheetName val="Rate Analysis"/>
      <sheetName val="Plaster Abs"/>
      <sheetName val="Materials Cost"/>
      <sheetName val="Lead Statement"/>
      <sheetName val="Sheet1"/>
      <sheetName val="12"/>
      <sheetName val="8"/>
      <sheetName val="Intro"/>
      <sheetName val="70R"/>
      <sheetName val="01"/>
      <sheetName val="02"/>
      <sheetName val="03"/>
      <sheetName val="04"/>
      <sheetName val="DETAILED  BOQ"/>
      <sheetName val="FORM-W3"/>
      <sheetName val="master"/>
      <sheetName val="hyperstatic-3"/>
      <sheetName val="PROCTOR"/>
      <sheetName val="INPUT"/>
      <sheetName val="Summary"/>
      <sheetName val="Sheet4"/>
      <sheetName val="Materials Cost(PCC)"/>
      <sheetName val="02.10.06"/>
      <sheetName val="Analy_7-10"/>
      <sheetName val="Diesel Analysis"/>
      <sheetName val="BOQ-Roadworks"/>
      <sheetName val="EZ"/>
      <sheetName val="FitOutConfCentre"/>
      <sheetName val="ENCL9"/>
      <sheetName val="LOCAL RATES"/>
      <sheetName val="escalation"/>
      <sheetName val="up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05"/>
      <sheetName val="Analysis"/>
      <sheetName val="loadcal"/>
      <sheetName val="gen"/>
      <sheetName val="REL"/>
      <sheetName val="COLUMN"/>
      <sheetName val="ANAL"/>
      <sheetName val="ANNEXURE-A"/>
      <sheetName val="Mix Design"/>
      <sheetName val="PROCTOR"/>
      <sheetName val="concrete"/>
      <sheetName val="Steel-Circular"/>
      <sheetName val="Rate Analysis"/>
      <sheetName val="Electrical"/>
      <sheetName val="Cal"/>
      <sheetName val="Data"/>
      <sheetName val="Voucher"/>
      <sheetName val="Back_Cal_for OMC"/>
      <sheetName val="horizontal"/>
      <sheetName val="Site Dev BOQ"/>
      <sheetName val="INPUT SHEET"/>
      <sheetName val="Basement Budget"/>
      <sheetName val="Extra Item"/>
      <sheetName val="RES-PLANNING"/>
      <sheetName val="Lead"/>
      <sheetName val="Intro"/>
      <sheetName val="Break up Sheet"/>
      <sheetName val="Headings"/>
      <sheetName val="Sheet2 (2)"/>
      <sheetName val="Summary"/>
      <sheetName val="Basicrates"/>
      <sheetName val="BOQ-Part1"/>
      <sheetName val="BM_SF"/>
      <sheetName val="basdat"/>
      <sheetName val="Detail"/>
      <sheetName val="CFForecast detail"/>
      <sheetName val="Pay_Sep06"/>
      <sheetName val="IO LIST"/>
      <sheetName val="Fill this out first..."/>
      <sheetName val="Formula"/>
      <sheetName val="sq ftg detail"/>
      <sheetName val="lookup"/>
      <sheetName val="Hotel Info Input"/>
      <sheetName val="strand"/>
      <sheetName val="Comparative"/>
      <sheetName val="Quotation"/>
      <sheetName val="sqn_ldr_3 Unit_2_"/>
      <sheetName val="girder"/>
      <sheetName val="OHT_Abs"/>
      <sheetName val="Retainingwall_f"/>
      <sheetName val="Materials Cost"/>
      <sheetName val="basic-data"/>
      <sheetName val="mem-property"/>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MAIN"/>
      <sheetName val="9.Major Bridge"/>
      <sheetName val="8. ROB"/>
      <sheetName val="10.Minor Structure"/>
      <sheetName val="7. FLYOVER"/>
      <sheetName val="ABSTRACT"/>
      <sheetName val="2. Earthwork"/>
      <sheetName val="Debit_Transit"/>
      <sheetName val="master"/>
      <sheetName val="Rates Basic"/>
      <sheetName val="Evaluate"/>
      <sheetName val="Material"/>
      <sheetName val="Labour"/>
      <sheetName val="Plant &amp;  Machinery"/>
      <sheetName val="CrRajWMM"/>
      <sheetName val="Sheet4"/>
      <sheetName val="RMC_Debit_Panjar_MB"/>
      <sheetName val="RMC_Debit"/>
      <sheetName val="2.2"/>
      <sheetName val="Details_RMC"/>
      <sheetName val="Non debit-RMC"/>
      <sheetName val="BHANDUP"/>
      <sheetName val="Vehicles"/>
      <sheetName val="Basic Resources"/>
      <sheetName val="factors"/>
      <sheetName val="PROG_DATA"/>
      <sheetName val="Approved MTD Proj #'s"/>
      <sheetName val="ABB"/>
      <sheetName val="Estimate"/>
      <sheetName val="Basic Rates"/>
      <sheetName val="Tubi"/>
      <sheetName val="FORM-W3"/>
      <sheetName val="Lead Statement"/>
      <sheetName val="12"/>
      <sheetName val="8"/>
      <sheetName val="Rate"/>
      <sheetName val="maing1"/>
      <sheetName val="Final Basic rate"/>
      <sheetName val="03"/>
      <sheetName val="04"/>
      <sheetName val="01"/>
      <sheetName val="02"/>
      <sheetName val="Materials "/>
      <sheetName val="MAchinery(R1)"/>
      <sheetName val="RATE COMPILATION"/>
      <sheetName val="Debit_RMC"/>
      <sheetName val="Rocker"/>
      <sheetName val="1.Civil-RA"/>
      <sheetName val="mem_property"/>
      <sheetName val="basic_data"/>
      <sheetName val="conc-foot-gradeslab"/>
      <sheetName val="INPUT"/>
      <sheetName val="70R"/>
      <sheetName val="NAME"/>
      <sheetName val="NonSSR"/>
      <sheetName val="Debit_Pump"/>
      <sheetName val="Details_Transit"/>
      <sheetName val="Qty SR"/>
      <sheetName val="EW SR"/>
      <sheetName val="maingirder"/>
      <sheetName val="C1C2"/>
      <sheetName val="LIFE &amp; REP PROVN"/>
      <sheetName val="O&amp;M CREW"/>
      <sheetName val="LOCAL RATES"/>
      <sheetName val="Diesel Analysis"/>
      <sheetName val="2.civil-RA"/>
      <sheetName val="220 17.6 BS "/>
      <sheetName val="Annex"/>
      <sheetName val="(31)"/>
      <sheetName val="Sheet2"/>
      <sheetName val="Balancesheet"/>
      <sheetName val="Results"/>
      <sheetName val="Cost of O &amp; O"/>
      <sheetName val="abst-of -cost"/>
      <sheetName val="DATA-DEP.(13-17)"/>
      <sheetName val="DATA-KBPL(17-25)"/>
      <sheetName val="DATA-GCC(25-34.7)"/>
      <sheetName val="St.-Con(0-17)"/>
      <sheetName val="St.-Con.(17-34)"/>
      <sheetName val="Package-2"/>
      <sheetName val="Analysis-NH-Roads"/>
      <sheetName val="Dayworks Bill"/>
      <sheetName val="Bills of Quantities"/>
      <sheetName val="BOQ"/>
      <sheetName val="Aggragate"/>
      <sheetName val="Culverts"/>
      <sheetName val="LTG-STG"/>
      <sheetName val="Labour_&amp;_Plant1"/>
      <sheetName val="Material_1"/>
      <sheetName val="_Analysis1"/>
      <sheetName val="BOQ_1"/>
      <sheetName val="Priced_DWR_1"/>
      <sheetName val="Labour___Plant1"/>
      <sheetName val="_AnalysisPCC1"/>
      <sheetName val="_AnalysisNH1"/>
      <sheetName val="Labour_&amp;_Plant2"/>
      <sheetName val="Material_2"/>
      <sheetName val="_Analysis2"/>
      <sheetName val="BOQ_2"/>
      <sheetName val="Priced_DWR_2"/>
      <sheetName val="Labour___Plant2"/>
      <sheetName val="_AnalysisPCC2"/>
      <sheetName val="_AnalysisNH2"/>
      <sheetName val="Labour_&amp;_Plant3"/>
      <sheetName val="Material_3"/>
      <sheetName val="_Analysis3"/>
      <sheetName val="BOQ_3"/>
      <sheetName val="Priced_DWR_3"/>
      <sheetName val="Labour___Plant3"/>
      <sheetName val="_AnalysisPCC3"/>
      <sheetName val="_AnalysisNH3"/>
      <sheetName val="C &amp; G RHS"/>
    </sheetNames>
    <sheetDataSet>
      <sheetData sheetId="0" refreshError="1">
        <row r="14">
          <cell r="C14">
            <v>140</v>
          </cell>
        </row>
        <row r="15">
          <cell r="C15">
            <v>110</v>
          </cell>
        </row>
      </sheetData>
      <sheetData sheetId="1" refreshError="1">
        <row r="30">
          <cell r="G30">
            <v>710</v>
          </cell>
        </row>
        <row r="31">
          <cell r="G31">
            <v>24</v>
          </cell>
        </row>
        <row r="40">
          <cell r="G40">
            <v>10</v>
          </cell>
        </row>
        <row r="48">
          <cell r="G48">
            <v>3500</v>
          </cell>
        </row>
        <row r="49">
          <cell r="G49">
            <v>790</v>
          </cell>
        </row>
        <row r="50">
          <cell r="G50">
            <v>609</v>
          </cell>
        </row>
        <row r="51">
          <cell r="G51">
            <v>18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Data"/>
      <sheetName val="LOCAL RATES"/>
      <sheetName val="DATA SHEET"/>
      <sheetName val="Sheet1"/>
      <sheetName val="Abs PMRL"/>
      <sheetName val="UNP-NCW "/>
      <sheetName val="Calendar"/>
      <sheetName val="Material "/>
      <sheetName val="Labour &amp; Plant"/>
      <sheetName val="FT-05-02IsoBOM"/>
      <sheetName val="Labour _ Plant"/>
      <sheetName val="ANAL"/>
      <sheetName val="BOQ"/>
      <sheetName val="PEP-DATA"/>
      <sheetName val="MRATES"/>
      <sheetName val="Rate Analysis"/>
      <sheetName val="PRECAST lightconc-II"/>
      <sheetName val="S1BOQ"/>
      <sheetName val="labour coeff"/>
      <sheetName val="Inventory"/>
      <sheetName val="doq"/>
      <sheetName val="DETAILED  BOQ"/>
      <sheetName val="upa"/>
      <sheetName val="Bill-12"/>
      <sheetName val=""/>
      <sheetName val="Materials "/>
      <sheetName val="inter"/>
      <sheetName val="dBase"/>
      <sheetName val="LOCAL_RATES"/>
      <sheetName val="DATA_SHEET"/>
      <sheetName val="Abs_PMRL"/>
      <sheetName val="UNP-NCW_"/>
      <sheetName val="Material_"/>
      <sheetName val="Labour___Plant"/>
      <sheetName val="PRECAST_lightconc-II"/>
      <sheetName val="Rate_Analysis"/>
      <sheetName val="Labour_&amp;_Plant"/>
      <sheetName val="Anl"/>
      <sheetName val="Debit_RMC"/>
      <sheetName val="CrRajWMM"/>
      <sheetName val="Sheet4"/>
      <sheetName val="Steel-Circular"/>
      <sheetName val="Debit_Transit"/>
      <sheetName val="Machinery"/>
      <sheetName val="B2.MB_Deck"/>
      <sheetName val="Intro"/>
      <sheetName val="Labour"/>
      <sheetName val="Material"/>
      <sheetName val="Plant &amp;  Machinery"/>
      <sheetName val="SITE DATA"/>
      <sheetName val="Bar Budget"/>
      <sheetName val="Final Qty"/>
      <sheetName val="Machine HC - 19.08 "/>
      <sheetName val="PNM Justi"/>
      <sheetName val="Bar"/>
      <sheetName val="Analysed rate"/>
      <sheetName val="Shutter"/>
      <sheetName val="BOQ Backup"/>
      <sheetName val="Existing"/>
      <sheetName val="p&amp;m"/>
      <sheetName val="Sheet3"/>
      <sheetName val="BLR 1"/>
      <sheetName val="GEN"/>
      <sheetName val="GAS"/>
      <sheetName val="DEAE"/>
      <sheetName val="BLR2"/>
      <sheetName val="BLR3"/>
      <sheetName val="BLR4"/>
      <sheetName val="BLR5"/>
      <sheetName val="DEM"/>
      <sheetName val="SAM"/>
      <sheetName val="CHEM"/>
      <sheetName val="COP"/>
      <sheetName val="INPUT"/>
      <sheetName val="Analysis-NH-Roads"/>
      <sheetName val="4 Annex 1 Basic rate"/>
      <sheetName val="slab"/>
      <sheetName val="basdat"/>
      <sheetName val="01"/>
      <sheetName val="calc"/>
      <sheetName val="hyperstatic"/>
      <sheetName val="COST"/>
      <sheetName val="PROG_DATA"/>
      <sheetName val="(Do not delete)"/>
      <sheetName val=" bus bay"/>
      <sheetName val="doq-10"/>
      <sheetName val="doq 4"/>
      <sheetName val="doq-I"/>
      <sheetName val="doq 2"/>
      <sheetName val="BOQ-"/>
      <sheetName val="Manpower"/>
      <sheetName val="PROCTOR"/>
      <sheetName val="section"/>
      <sheetName val="Basicrates"/>
      <sheetName val="Items"/>
      <sheetName val="final_datas_of_Bhainsa_2004-05_"/>
      <sheetName val="girder"/>
      <sheetName val="Rocker"/>
      <sheetName val="Stability"/>
      <sheetName val="basic-data"/>
      <sheetName val="Table 4"/>
      <sheetName val="Main"/>
      <sheetName val="288-1"/>
      <sheetName val="ANNEXURE-A"/>
      <sheetName val="Flanged Beams"/>
      <sheetName val="Rectangular Beam"/>
      <sheetName val="9.Major Bridge"/>
      <sheetName val="8. ROB"/>
      <sheetName val="10.Minor Structure"/>
      <sheetName val="7. FLYOVER"/>
      <sheetName val="ABSTRACT"/>
      <sheetName val="2. Earthwork"/>
      <sheetName val="aoc-1"/>
      <sheetName val="aoc-10"/>
      <sheetName val="aoc-11"/>
      <sheetName val="aoc-2"/>
      <sheetName val="aoc-3"/>
      <sheetName val="aoc-4"/>
      <sheetName val="aoc-7"/>
      <sheetName val="aoc-8"/>
      <sheetName val="aoc-9"/>
      <sheetName val="Elect."/>
      <sheetName val="sc-mar2000"/>
      <sheetName val="sc-sepVdec99"/>
      <sheetName val="Supply_RMC"/>
      <sheetName val="Monthly Turnover (Final)"/>
      <sheetName val="Monthly Programme"/>
      <sheetName val="C &amp; G RHS"/>
      <sheetName val="box-12"/>
      <sheetName val="Admin"/>
      <sheetName val="Dayworks Bill"/>
      <sheetName val="Bills of Quantities"/>
      <sheetName val="SECPROP"/>
      <sheetName val="CABLENOS."/>
      <sheetName val="loadcal"/>
      <sheetName val="07"/>
      <sheetName val="Bus Ways"/>
      <sheetName val="Boiler&amp;TG"/>
      <sheetName val="Staff Acco."/>
      <sheetName val="Schedule"/>
      <sheetName val="TCS_Schedule (2)"/>
      <sheetName val="TCS Proposed"/>
      <sheetName val="Sheet2"/>
      <sheetName val="FORM-16"/>
      <sheetName val="Curve Details"/>
      <sheetName val="BHANDUP"/>
      <sheetName val="Summary"/>
      <sheetName val="Grand Summary"/>
      <sheetName val="CABLE"/>
      <sheetName val="number"/>
      <sheetName val="Assumptions"/>
      <sheetName val="Final FRL"/>
      <sheetName val="ecc_res"/>
      <sheetName val="Analysis"/>
      <sheetName val="77S(O)"/>
      <sheetName val="Voucher"/>
      <sheetName val="Cal"/>
      <sheetName val="Detail In Door Stad"/>
      <sheetName val="Administrative Prices"/>
      <sheetName val="4.4"/>
      <sheetName val="summery-I"/>
      <sheetName val="2.07 EMB"/>
      <sheetName val="3.01"/>
      <sheetName val="8.ii.8.(b)"/>
      <sheetName val="4.1"/>
      <sheetName val="8.1.2.(a)"/>
      <sheetName val="2.07 S.G"/>
      <sheetName val="4.2(ii)"/>
      <sheetName val="3.02"/>
      <sheetName val="Earthwork MCW"/>
      <sheetName val="labour_coeff"/>
      <sheetName val="leads"/>
      <sheetName val="Ave.wtd.rates"/>
      <sheetName val="Data-Month"/>
      <sheetName val="Master data"/>
      <sheetName val="CS Appl Summary"/>
      <sheetName val="estimate"/>
      <sheetName val="Proposed"/>
      <sheetName val="EQUIP1000"/>
      <sheetName val="P&amp;L01-02GR"/>
      <sheetName val="Exist"/>
      <sheetName val="LEFT"/>
      <sheetName val="RIGHT"/>
      <sheetName val="02"/>
      <sheetName val="03"/>
      <sheetName val="04"/>
      <sheetName val="Acc. for Piling"/>
      <sheetName val="AoR Finishing"/>
      <sheetName val="GVL§CT"/>
      <sheetName val="SC list"/>
      <sheetName val="Design"/>
      <sheetName val="VCH-SLC"/>
      <sheetName val="Suppli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DWR(Priced)"/>
      <sheetName val=" AnalysisPCC"/>
      <sheetName val=" AnalysisNH"/>
      <sheetName val="Estimates"/>
      <sheetName val="Data"/>
      <sheetName val="BOQ_M7"/>
      <sheetName val="Steel_Circular"/>
      <sheetName val="BOQ Distribution"/>
      <sheetName val="Cover sheet"/>
      <sheetName val="LOCAL RATES"/>
      <sheetName val="water prop."/>
      <sheetName val="beam-reinft-IIInd floor"/>
      <sheetName val="#REF"/>
      <sheetName val="PLAN_FEB97"/>
      <sheetName val="Scurve-details"/>
      <sheetName val="Labour"/>
      <sheetName val="Material"/>
      <sheetName val="Plant &amp;  Machinery"/>
      <sheetName val="basdat-f"/>
      <sheetName val="Box Details"/>
      <sheetName val="Input"/>
      <sheetName val="S2groupcode"/>
      <sheetName val="Index"/>
      <sheetName val="concrete"/>
      <sheetName val="Fill this out first..."/>
      <sheetName val="5"/>
      <sheetName val="Staff Acco."/>
      <sheetName val="S1BOQ"/>
      <sheetName val="Indices"/>
      <sheetName val="Publicbuilding"/>
      <sheetName val="Lead (Final)"/>
      <sheetName val="BOQ"/>
      <sheetName val="REL"/>
      <sheetName val="Contents"/>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Rate Analysis"/>
      <sheetName val="estimate"/>
      <sheetName val="budget"/>
      <sheetName val="Wordsdata"/>
      <sheetName val="UNP-NCW "/>
      <sheetName val="Monthly Turnover (Final)"/>
      <sheetName val="Monthly Programme"/>
      <sheetName val="Break up Sheet"/>
      <sheetName val="Output"/>
      <sheetName val="Av.G Level"/>
      <sheetName val="DATA_PILE_BG"/>
      <sheetName val="DATA_PCC"/>
      <sheetName val="DATA_PILECAP"/>
      <sheetName val="DATA_PILE_RT2"/>
      <sheetName val="DATA_PILE_RT1 "/>
      <sheetName val="DATA_PILE _SM"/>
      <sheetName val="Sheet3"/>
      <sheetName val="loadcal"/>
      <sheetName val="Abstruct total"/>
      <sheetName val="Debit_Transit"/>
      <sheetName val="ABSTRACT"/>
      <sheetName val="FORM7"/>
      <sheetName val="doq-10"/>
      <sheetName val="Abt Foundation "/>
      <sheetName val="pier Foundation"/>
      <sheetName val="Input_data"/>
      <sheetName val="steam table"/>
      <sheetName val="Design"/>
      <sheetName val="TCS"/>
      <sheetName val="Longitudinal"/>
      <sheetName val="foundation"/>
      <sheetName val="07"/>
      <sheetName val="stone"/>
      <sheetName val="AOC"/>
      <sheetName val="Timesheet"/>
      <sheetName val="dlvoid"/>
      <sheetName val="Material_"/>
      <sheetName val="Labour_&amp;_Plant"/>
      <sheetName val="_Analysis"/>
      <sheetName val="BOQ_"/>
      <sheetName val="Priced_DWR_"/>
      <sheetName val="_AnalysisPCC"/>
      <sheetName val="_AnalysisNH"/>
      <sheetName val="BOQ_Distribution"/>
      <sheetName val="Cover_sheet"/>
      <sheetName val="LOCAL_RATES"/>
      <sheetName val="Box_Details"/>
      <sheetName val="Plant_&amp;__Machinery"/>
      <sheetName val="water_prop_"/>
      <sheetName val="beam-reinft-IIInd_floor"/>
      <sheetName val="Fill_this_out_first___"/>
      <sheetName val="Lead_(Final)"/>
      <sheetName val="Staff_Acco_"/>
      <sheetName val="BOQ_M7.xls"/>
      <sheetName val="\\Moss3\d\WINDOWS\DESKTOP\All_N"/>
      <sheetName val="HP(9.200)"/>
      <sheetName val="Intro"/>
      <sheetName val="PROG_DATA"/>
      <sheetName val="doq-10 (Traffic)"/>
      <sheetName val="doq-11(Miscellaneous)"/>
      <sheetName val="maing1"/>
      <sheetName val="P&amp;L01-02GR"/>
      <sheetName val="Exist"/>
      <sheetName val="LEFT"/>
      <sheetName val="RIGHT"/>
      <sheetName val="SITE DATA"/>
      <sheetName val="Bar Budget"/>
      <sheetName val="Final Qty"/>
      <sheetName val="Machine HC - 19.08 "/>
      <sheetName val="PNM Justi"/>
      <sheetName val="Bar"/>
      <sheetName val="Analysed rate"/>
      <sheetName val="Shutter"/>
      <sheetName val="BOQ Backup"/>
      <sheetName val="__Moss3_d_WINDOWS_DESKTOP_All_N"/>
      <sheetName val="doq7"/>
      <sheetName val="Wayside amenities"/>
      <sheetName val="doq-1"/>
      <sheetName val="doq 2"/>
      <sheetName val="doq-9"/>
      <sheetName val="CrRajWMM"/>
      <sheetName val="Sheet4"/>
      <sheetName val="old boq"/>
      <sheetName val="ANALYSIS"/>
      <sheetName val="S4"/>
      <sheetName val="Backup"/>
      <sheetName val="Customers"/>
      <sheetName val="scurve(2)"/>
      <sheetName val="PS1"/>
      <sheetName val="fco"/>
      <sheetName val="Assmpns"/>
      <sheetName val="Boiler&amp;TG"/>
      <sheetName val="MRATES"/>
      <sheetName val="UGPIPING"/>
      <sheetName val="ETC Plant Cost"/>
      <sheetName val="Bituminous"/>
      <sheetName val="BP"/>
      <sheetName val="01"/>
      <sheetName val="Cul_detail"/>
      <sheetName val="Contractor &amp; Material Price"/>
      <sheetName val="Cal"/>
      <sheetName val="Road work"/>
      <sheetName val="Voucher"/>
      <sheetName val="MPR_PA_1"/>
      <sheetName val="Machinery"/>
      <sheetName val="ecc_res"/>
      <sheetName val="NLD - Assum"/>
      <sheetName val="Capex-fixed"/>
      <sheetName val="Labour_&amp;_Plant1"/>
      <sheetName val="Material_1"/>
      <sheetName val="_Analysis1"/>
      <sheetName val="BOQ_1"/>
      <sheetName val="Priced_DWR_1"/>
      <sheetName val="_AnalysisPCC1"/>
      <sheetName val="_AnalysisNH1"/>
      <sheetName val="Labour_&amp;_Plant2"/>
      <sheetName val="Material_2"/>
      <sheetName val="_Analysis2"/>
      <sheetName val="BOQ_2"/>
      <sheetName val="Priced_DWR_2"/>
      <sheetName val="_AnalysisPCC2"/>
      <sheetName val="_AnalysisNH2"/>
      <sheetName val="Labour_&amp;_Plant3"/>
      <sheetName val="Material_3"/>
      <sheetName val="_Analysis3"/>
      <sheetName val="BOQ_3"/>
      <sheetName val="Priced_DWR_3"/>
      <sheetName val="_AnalysisPCC3"/>
      <sheetName val="_AnalysisNH3"/>
      <sheetName val="Expanded OD"/>
      <sheetName val="EJ Pier"/>
      <sheetName val="section"/>
      <sheetName val="misc"/>
    </sheetNames>
    <sheetDataSet>
      <sheetData sheetId="0" refreshError="1"/>
      <sheetData sheetId="1" refreshError="1">
        <row r="11">
          <cell r="S11">
            <v>53.900000000000006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Sheet4"/>
      <sheetName val="CrRajWMM"/>
      <sheetName val="costing"/>
      <sheetName val="Timesheet"/>
      <sheetName val="beam-reinft-IIInd floor"/>
      <sheetName val="purpose&amp;input"/>
      <sheetName val="1. Acquisition"/>
      <sheetName val="estimate"/>
      <sheetName val="Final Basic rate"/>
      <sheetName val="Material"/>
      <sheetName val="Basic Rates"/>
      <sheetName val="Aoc"/>
      <sheetName val="REVENUES &amp; BS"/>
      <sheetName val="Results"/>
      <sheetName val="PLGroupings"/>
      <sheetName val="S2groupcode"/>
      <sheetName val="Index"/>
      <sheetName val="beam-reinft"/>
      <sheetName val="RA-markate"/>
      <sheetName val="LOCAL RATES"/>
      <sheetName val="Improvements"/>
      <sheetName val="duyetI-I"/>
      <sheetName val="TH3"/>
      <sheetName val="NLuc"/>
      <sheetName val="Abutment"/>
      <sheetName val="cxac"/>
      <sheetName val="tinhbe"/>
      <sheetName val="soliªu"/>
      <sheetName val="p1-costg"/>
      <sheetName val="EDWise"/>
      <sheetName val="Labour"/>
      <sheetName val=""/>
      <sheetName val="BOQ_M26"/>
      <sheetName val="Perf Distribution"/>
      <sheetName val="Assumptions"/>
      <sheetName val="단가비교표"/>
      <sheetName val="ANNEXURE-A"/>
      <sheetName val="entitlements"/>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AOR"/>
      <sheetName val="MRATES"/>
      <sheetName val="MPR_PA_1"/>
      <sheetName val="RATE COMPILATION"/>
      <sheetName val="RATE LINK UP"/>
      <sheetName val="ABSTRACT"/>
      <sheetName val="Plant &amp;  Machinery"/>
      <sheetName val="BOQ Distribution"/>
      <sheetName val="doq-10"/>
      <sheetName val="PROG_DATA"/>
      <sheetName val="cul-invSUBMITTED"/>
      <sheetName val="Sheet2"/>
      <sheetName val="JV請款"/>
      <sheetName val="Fill this out first..."/>
      <sheetName val="data"/>
      <sheetName val="Rate"/>
      <sheetName val="Abutment "/>
      <sheetName val="Sheet3"/>
      <sheetName val="bASICDATA"/>
      <sheetName val="PLAN_FEB97"/>
      <sheetName val="Currency Sheet"/>
      <sheetName val="BOQ"/>
      <sheetName val="old boq"/>
      <sheetName val="doq br."/>
      <sheetName val="Non debit-RMC"/>
      <sheetName val="Machinery"/>
      <sheetName val="Supply_RMC"/>
      <sheetName val="Debit_RMC"/>
      <sheetName val="INPUT SHEET"/>
      <sheetName val="INPUT"/>
      <sheetName val="water prop."/>
      <sheetName val="Input_data"/>
      <sheetName val="Cal"/>
      <sheetName val="Voucher"/>
      <sheetName val="Cul_detail"/>
      <sheetName val="oresreqsum"/>
      <sheetName val="TCS"/>
      <sheetName val="Rate Analysis"/>
      <sheetName val="Customers"/>
      <sheetName val="CUM-Mar07"/>
      <sheetName val="std.wt."/>
      <sheetName val="6000"/>
      <sheetName val="DATA SHEET"/>
      <sheetName val="SOR"/>
      <sheetName val="Inc.St.-Link"/>
      <sheetName val="Wearing Course"/>
      <sheetName val="Kristal Court"/>
      <sheetName val="Wkgs"/>
      <sheetName val="leads"/>
      <sheetName val="BS8007"/>
      <sheetName val="Analysis"/>
      <sheetName val="Rate Ana"/>
      <sheetName val="Road work"/>
      <sheetName val="P&amp;L01-02GR"/>
      <sheetName val="Exist"/>
      <sheetName val="Boiler&amp;TG"/>
      <sheetName val="LEFT"/>
      <sheetName val="RIGHT"/>
      <sheetName val="ecc_res"/>
      <sheetName val="Schedule"/>
      <sheetName val="SITE DATA"/>
      <sheetName val="Rates Basic"/>
      <sheetName val="P&amp;E - T"/>
      <sheetName val="P&amp;E - U"/>
      <sheetName val="40mm"/>
      <sheetName val="20mm"/>
      <sheetName val="DETAIL SHEET"/>
      <sheetName val="3"/>
      <sheetName val="fco"/>
      <sheetName val="ETC Plant Cost"/>
      <sheetName val="Bar Budget"/>
      <sheetName val="Final Qty"/>
      <sheetName val="Machine HC - 19.08 "/>
      <sheetName val="PNM Justi"/>
      <sheetName val="Bar"/>
      <sheetName val="Analysed rate"/>
      <sheetName val="Shutter"/>
      <sheetName val="BOQ Backup"/>
      <sheetName val="BP"/>
      <sheetName val="OD Shares"/>
      <sheetName val="MWC 1 - Cash Flow"/>
      <sheetName val="Excavation"/>
      <sheetName val="Cover sheet"/>
      <sheetName val="Debit_Pump"/>
      <sheetName val="Details_Transit"/>
      <sheetName val="basdat"/>
    </sheetNames>
    <sheetDataSet>
      <sheetData sheetId="0" refreshError="1">
        <row r="32">
          <cell r="C32">
            <v>120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3"/>
  <sheetViews>
    <sheetView view="pageBreakPreview" zoomScale="90" zoomScaleNormal="100" zoomScaleSheetLayoutView="90" workbookViewId="0">
      <pane xSplit="2" ySplit="2" topLeftCell="C3" activePane="bottomRight" state="frozen"/>
      <selection pane="topRight" activeCell="C1" sqref="C1"/>
      <selection pane="bottomLeft" activeCell="A5" sqref="A5"/>
      <selection pane="bottomRight" activeCell="G11" sqref="G11"/>
    </sheetView>
  </sheetViews>
  <sheetFormatPr defaultRowHeight="12.75"/>
  <cols>
    <col min="1" max="1" width="5.5703125" style="4" customWidth="1"/>
    <col min="2" max="2" width="66.5703125" style="1" customWidth="1"/>
    <col min="3" max="3" width="21.42578125" style="1" customWidth="1"/>
    <col min="4" max="4" width="11.5703125" style="1" customWidth="1"/>
    <col min="5" max="5" width="10.5703125" style="1" customWidth="1"/>
    <col min="6" max="6" width="9.140625" style="1"/>
    <col min="7" max="7" width="18.5703125" style="1" bestFit="1" customWidth="1"/>
    <col min="8" max="8" width="15.5703125" style="1" customWidth="1"/>
    <col min="9" max="16384" width="9.140625" style="1"/>
  </cols>
  <sheetData>
    <row r="1" spans="1:4" ht="20.100000000000001" customHeight="1">
      <c r="A1" s="213" t="s">
        <v>10</v>
      </c>
      <c r="B1" s="214"/>
      <c r="C1" s="214"/>
      <c r="D1" s="215"/>
    </row>
    <row r="2" spans="1:4" ht="33" customHeight="1">
      <c r="A2" s="7" t="s">
        <v>11</v>
      </c>
      <c r="B2" s="7" t="s">
        <v>1</v>
      </c>
      <c r="C2" s="8" t="s">
        <v>9</v>
      </c>
      <c r="D2" s="8" t="s">
        <v>754</v>
      </c>
    </row>
    <row r="3" spans="1:4" ht="21.75" customHeight="1">
      <c r="A3" s="2">
        <v>1</v>
      </c>
      <c r="B3" s="10" t="s">
        <v>746</v>
      </c>
      <c r="C3" s="3">
        <f>BOQ!AL83</f>
        <v>0</v>
      </c>
      <c r="D3" s="12">
        <f>(C3/10^7)</f>
        <v>0</v>
      </c>
    </row>
    <row r="4" spans="1:4" ht="21.75" customHeight="1">
      <c r="A4" s="2">
        <v>2</v>
      </c>
      <c r="B4" s="10" t="s">
        <v>97</v>
      </c>
      <c r="C4" s="3">
        <f>BOQ!AL144</f>
        <v>0</v>
      </c>
      <c r="D4" s="12">
        <f t="shared" ref="D4:D14" si="0">(C4/10^7)</f>
        <v>0</v>
      </c>
    </row>
    <row r="5" spans="1:4" ht="21.75" customHeight="1">
      <c r="A5" s="2">
        <v>3</v>
      </c>
      <c r="B5" s="10" t="s">
        <v>138</v>
      </c>
      <c r="C5" s="3">
        <f>BOQ!AL243+BOQ!AL1585</f>
        <v>0</v>
      </c>
      <c r="D5" s="12">
        <f t="shared" si="0"/>
        <v>0</v>
      </c>
    </row>
    <row r="6" spans="1:4" ht="21.75" customHeight="1">
      <c r="A6" s="2">
        <v>4</v>
      </c>
      <c r="B6" s="10" t="s">
        <v>749</v>
      </c>
      <c r="C6" s="3">
        <f>BOQ!AL310+BOQ!AL318</f>
        <v>0</v>
      </c>
      <c r="D6" s="12">
        <f t="shared" si="0"/>
        <v>0</v>
      </c>
    </row>
    <row r="7" spans="1:4" ht="21.75" customHeight="1">
      <c r="A7" s="2">
        <v>5</v>
      </c>
      <c r="B7" s="10" t="s">
        <v>1773</v>
      </c>
      <c r="C7" s="3">
        <f>BOQ!AL634+BOQ!AL1462</f>
        <v>0</v>
      </c>
      <c r="D7" s="12">
        <f t="shared" si="0"/>
        <v>0</v>
      </c>
    </row>
    <row r="8" spans="1:4" ht="21.75" customHeight="1">
      <c r="A8" s="2">
        <v>6</v>
      </c>
      <c r="B8" s="10" t="s">
        <v>755</v>
      </c>
      <c r="C8" s="3">
        <f>BOQ!AL1169+BOQ!AL1239+BOQ!AL1361</f>
        <v>0</v>
      </c>
      <c r="D8" s="12">
        <f t="shared" si="0"/>
        <v>0</v>
      </c>
    </row>
    <row r="9" spans="1:4" ht="21.75" customHeight="1">
      <c r="A9" s="2" t="s">
        <v>751</v>
      </c>
      <c r="B9" s="10" t="s">
        <v>750</v>
      </c>
      <c r="C9" s="3">
        <f>BOQ!AL1512</f>
        <v>0</v>
      </c>
      <c r="D9" s="12">
        <f t="shared" si="0"/>
        <v>0</v>
      </c>
    </row>
    <row r="10" spans="1:4" ht="21.75" customHeight="1">
      <c r="A10" s="2">
        <v>7</v>
      </c>
      <c r="B10" s="10" t="s">
        <v>752</v>
      </c>
      <c r="C10" s="3">
        <f>BOQ!AL399+BOQ!AL1485+BOQ!AL1584</f>
        <v>0</v>
      </c>
      <c r="D10" s="12">
        <f t="shared" si="0"/>
        <v>0</v>
      </c>
    </row>
    <row r="11" spans="1:4" ht="24" customHeight="1">
      <c r="A11" s="2">
        <v>8</v>
      </c>
      <c r="B11" s="10" t="s">
        <v>430</v>
      </c>
      <c r="C11" s="3">
        <f>BOQ!AL671</f>
        <v>0</v>
      </c>
      <c r="D11" s="12">
        <f t="shared" si="0"/>
        <v>0</v>
      </c>
    </row>
    <row r="12" spans="1:4" ht="21.75" customHeight="1">
      <c r="A12" s="2">
        <v>9</v>
      </c>
      <c r="B12" s="10" t="s">
        <v>239</v>
      </c>
      <c r="C12" s="3">
        <f>BOQ!AL583</f>
        <v>0</v>
      </c>
      <c r="D12" s="12">
        <f t="shared" si="0"/>
        <v>0</v>
      </c>
    </row>
    <row r="13" spans="1:4" ht="23.25" customHeight="1">
      <c r="A13" s="2">
        <v>10</v>
      </c>
      <c r="B13" s="10" t="s">
        <v>753</v>
      </c>
      <c r="C13" s="212">
        <f>BOQ!AL1554</f>
        <v>0</v>
      </c>
      <c r="D13" s="12">
        <f t="shared" si="0"/>
        <v>0</v>
      </c>
    </row>
    <row r="14" spans="1:4" ht="36" customHeight="1">
      <c r="A14" s="2">
        <v>11</v>
      </c>
      <c r="B14" s="11" t="s">
        <v>2702</v>
      </c>
      <c r="C14" s="3">
        <f>BOQ!AL698+BOQ!AL1580</f>
        <v>0</v>
      </c>
      <c r="D14" s="12">
        <f t="shared" si="0"/>
        <v>0</v>
      </c>
    </row>
    <row r="15" spans="1:4" ht="24" customHeight="1">
      <c r="A15" s="9" t="s">
        <v>16</v>
      </c>
      <c r="B15" s="6" t="s">
        <v>757</v>
      </c>
      <c r="C15" s="13">
        <f>SUM(C3:C14)</f>
        <v>0</v>
      </c>
      <c r="D15" s="13">
        <f>(C15/10^7)</f>
        <v>0</v>
      </c>
    </row>
    <row r="16" spans="1:4" ht="24" customHeight="1">
      <c r="A16" s="9" t="s">
        <v>17</v>
      </c>
      <c r="B16" s="6" t="s">
        <v>2722</v>
      </c>
      <c r="C16" s="13">
        <f>C15*18%</f>
        <v>0</v>
      </c>
      <c r="D16" s="13">
        <f>(C16/10^7)</f>
        <v>0</v>
      </c>
    </row>
    <row r="17" spans="1:4" ht="24" customHeight="1">
      <c r="A17" s="9"/>
      <c r="B17" s="6" t="s">
        <v>758</v>
      </c>
      <c r="C17" s="13">
        <f>SUM(C15:C16)</f>
        <v>0</v>
      </c>
      <c r="D17" s="13">
        <f>(C17/10^7)</f>
        <v>0</v>
      </c>
    </row>
    <row r="20" spans="1:4">
      <c r="C20" s="5"/>
      <c r="D20" s="5"/>
    </row>
    <row r="21" spans="1:4">
      <c r="C21" s="5"/>
      <c r="D21" s="5"/>
    </row>
    <row r="22" spans="1:4" ht="20.25" customHeight="1"/>
    <row r="23" spans="1:4" ht="19.5" customHeight="1">
      <c r="C23" s="5"/>
      <c r="D23" s="5"/>
    </row>
  </sheetData>
  <mergeCells count="1">
    <mergeCell ref="A1:D1"/>
  </mergeCells>
  <pageMargins left="0.7" right="0.7" top="0.75" bottom="0.75" header="0.3" footer="0.3"/>
  <pageSetup paperSize="9"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2183"/>
  <sheetViews>
    <sheetView showGridLines="0" tabSelected="1" view="pageBreakPreview" zoomScale="80" zoomScaleNormal="85" zoomScaleSheetLayoutView="80" workbookViewId="0">
      <pane xSplit="4" ySplit="2" topLeftCell="E3" activePane="bottomRight" state="frozen"/>
      <selection pane="topRight" activeCell="D1" sqref="D1"/>
      <selection pane="bottomLeft" activeCell="A3" sqref="A3"/>
      <selection pane="bottomRight" activeCell="G1" activeCellId="1" sqref="E3:AN1048576 G1:AN2"/>
    </sheetView>
  </sheetViews>
  <sheetFormatPr defaultRowHeight="12" customHeight="1"/>
  <cols>
    <col min="1" max="1" width="12" style="32" customWidth="1"/>
    <col min="2" max="2" width="11.42578125" style="189" customWidth="1"/>
    <col min="3" max="3" width="70.5703125" style="30" customWidth="1"/>
    <col min="4" max="4" width="11.5703125" style="146" customWidth="1"/>
    <col min="5" max="16" width="11.5703125" style="190" customWidth="1"/>
    <col min="17" max="17" width="12.42578125" style="190" customWidth="1"/>
    <col min="18" max="19" width="11.5703125" style="190" customWidth="1"/>
    <col min="20" max="20" width="11.5703125" style="191" customWidth="1"/>
    <col min="21" max="21" width="11.5703125" style="190" customWidth="1"/>
    <col min="22" max="22" width="12" style="190" customWidth="1"/>
    <col min="23" max="23" width="12" style="191" customWidth="1"/>
    <col min="24" max="26" width="11.5703125" style="190" customWidth="1"/>
    <col min="27" max="28" width="13.5703125" style="191" customWidth="1"/>
    <col min="29" max="31" width="11.5703125" style="146" customWidth="1"/>
    <col min="32" max="32" width="16.140625" style="192" customWidth="1"/>
    <col min="33" max="33" width="13.140625" style="192" customWidth="1"/>
    <col min="34" max="34" width="14.42578125" style="30" customWidth="1"/>
    <col min="35" max="35" width="13.85546875" style="30" customWidth="1"/>
    <col min="36" max="36" width="12.85546875" style="40" customWidth="1"/>
    <col min="37" max="37" width="11.5703125" style="194" customWidth="1"/>
    <col min="38" max="38" width="33.140625" style="29" customWidth="1"/>
    <col min="39" max="16384" width="9.140625" style="30"/>
  </cols>
  <sheetData>
    <row r="1" spans="1:37" ht="40.5" customHeight="1">
      <c r="A1" s="224" t="s">
        <v>878</v>
      </c>
      <c r="B1" s="224" t="s">
        <v>0</v>
      </c>
      <c r="C1" s="232" t="s">
        <v>1</v>
      </c>
      <c r="D1" s="233" t="s">
        <v>2</v>
      </c>
      <c r="E1" s="218" t="s">
        <v>744</v>
      </c>
      <c r="F1" s="218" t="s">
        <v>745</v>
      </c>
      <c r="G1" s="218"/>
      <c r="H1" s="218"/>
      <c r="I1" s="218"/>
      <c r="J1" s="218"/>
      <c r="K1" s="218"/>
      <c r="L1" s="218"/>
      <c r="M1" s="218"/>
      <c r="N1" s="218"/>
      <c r="O1" s="218"/>
      <c r="P1" s="218"/>
      <c r="Q1" s="220"/>
      <c r="R1" s="220"/>
      <c r="S1" s="220"/>
      <c r="T1" s="220"/>
      <c r="U1" s="220"/>
      <c r="V1" s="220"/>
      <c r="W1" s="218"/>
      <c r="X1" s="218"/>
      <c r="Y1" s="218"/>
      <c r="Z1" s="220"/>
      <c r="AA1" s="222"/>
      <c r="AB1" s="222"/>
      <c r="AC1" s="227"/>
      <c r="AD1" s="229"/>
      <c r="AE1" s="229"/>
      <c r="AF1" s="230"/>
      <c r="AG1" s="235"/>
      <c r="AH1" s="28"/>
      <c r="AI1" s="216"/>
      <c r="AJ1" s="234"/>
      <c r="AK1" s="231"/>
    </row>
    <row r="2" spans="1:37" ht="40.5" customHeight="1">
      <c r="A2" s="224"/>
      <c r="B2" s="224"/>
      <c r="C2" s="232"/>
      <c r="D2" s="233"/>
      <c r="E2" s="219"/>
      <c r="F2" s="219"/>
      <c r="G2" s="219"/>
      <c r="H2" s="219"/>
      <c r="I2" s="219"/>
      <c r="J2" s="219"/>
      <c r="K2" s="219"/>
      <c r="L2" s="219"/>
      <c r="M2" s="219"/>
      <c r="N2" s="219"/>
      <c r="O2" s="219"/>
      <c r="P2" s="219"/>
      <c r="Q2" s="221"/>
      <c r="R2" s="221"/>
      <c r="S2" s="221"/>
      <c r="T2" s="221"/>
      <c r="U2" s="221"/>
      <c r="V2" s="221"/>
      <c r="W2" s="219"/>
      <c r="X2" s="221"/>
      <c r="Y2" s="221"/>
      <c r="Z2" s="221"/>
      <c r="AA2" s="223"/>
      <c r="AB2" s="223"/>
      <c r="AC2" s="228"/>
      <c r="AD2" s="26"/>
      <c r="AE2" s="26"/>
      <c r="AF2" s="31"/>
      <c r="AG2" s="236"/>
      <c r="AH2" s="26"/>
      <c r="AI2" s="217"/>
      <c r="AJ2" s="234"/>
      <c r="AK2" s="231"/>
    </row>
    <row r="3" spans="1:37" ht="15.75" customHeight="1">
      <c r="A3" s="32" t="s">
        <v>2263</v>
      </c>
      <c r="B3" s="25"/>
      <c r="C3" s="33" t="s">
        <v>1475</v>
      </c>
      <c r="D3" s="27"/>
      <c r="E3" s="34"/>
      <c r="F3" s="34"/>
      <c r="G3" s="34"/>
      <c r="H3" s="34"/>
      <c r="I3" s="34"/>
      <c r="J3" s="34"/>
      <c r="K3" s="34"/>
      <c r="L3" s="34"/>
      <c r="M3" s="34"/>
      <c r="N3" s="34"/>
      <c r="O3" s="34"/>
      <c r="P3" s="34"/>
      <c r="Q3" s="35"/>
      <c r="R3" s="35"/>
      <c r="S3" s="35"/>
      <c r="T3" s="36"/>
      <c r="U3" s="35"/>
      <c r="V3" s="35"/>
      <c r="W3" s="36"/>
      <c r="X3" s="36"/>
      <c r="Y3" s="34"/>
      <c r="Z3" s="36"/>
      <c r="AA3" s="37"/>
      <c r="AB3" s="37"/>
      <c r="AC3" s="38"/>
      <c r="AD3" s="31"/>
      <c r="AE3" s="31"/>
      <c r="AF3" s="31"/>
      <c r="AG3" s="31"/>
      <c r="AH3" s="26"/>
      <c r="AI3" s="39"/>
      <c r="AK3" s="41"/>
    </row>
    <row r="4" spans="1:37" ht="41.45" customHeight="1">
      <c r="A4" s="32" t="s">
        <v>1518</v>
      </c>
      <c r="B4" s="42" t="s">
        <v>1498</v>
      </c>
      <c r="C4" s="43" t="s">
        <v>2443</v>
      </c>
      <c r="D4" s="44"/>
      <c r="E4" s="45"/>
      <c r="F4" s="45"/>
      <c r="G4" s="45"/>
      <c r="H4" s="45"/>
      <c r="I4" s="45"/>
      <c r="J4" s="45"/>
      <c r="K4" s="45"/>
      <c r="L4" s="45"/>
      <c r="M4" s="45"/>
      <c r="N4" s="45"/>
      <c r="O4" s="45"/>
      <c r="P4" s="45"/>
      <c r="Q4" s="45"/>
      <c r="R4" s="45"/>
      <c r="S4" s="45"/>
      <c r="T4" s="45"/>
      <c r="U4" s="45"/>
      <c r="V4" s="45"/>
      <c r="W4" s="45"/>
      <c r="X4" s="45"/>
      <c r="Y4" s="45"/>
      <c r="Z4" s="45"/>
      <c r="AA4" s="46"/>
      <c r="AB4" s="46"/>
      <c r="AC4" s="47"/>
      <c r="AD4" s="47"/>
      <c r="AE4" s="47"/>
      <c r="AF4" s="39"/>
      <c r="AG4" s="39"/>
      <c r="AH4" s="48"/>
      <c r="AI4" s="49"/>
      <c r="AK4" s="41"/>
    </row>
    <row r="5" spans="1:37" ht="18" customHeight="1">
      <c r="A5" s="32" t="s">
        <v>1519</v>
      </c>
      <c r="B5" s="50" t="s">
        <v>23</v>
      </c>
      <c r="C5" s="51" t="s">
        <v>27</v>
      </c>
      <c r="D5" s="52" t="s">
        <v>33</v>
      </c>
      <c r="E5" s="53"/>
      <c r="F5" s="53"/>
      <c r="G5" s="53"/>
      <c r="H5" s="53"/>
      <c r="I5" s="53"/>
      <c r="J5" s="53"/>
      <c r="K5" s="53"/>
      <c r="L5" s="53"/>
      <c r="M5" s="53"/>
      <c r="N5" s="53"/>
      <c r="O5" s="53"/>
      <c r="P5" s="53"/>
      <c r="Q5" s="54"/>
      <c r="R5" s="54"/>
      <c r="S5" s="54"/>
      <c r="T5" s="53"/>
      <c r="U5" s="54"/>
      <c r="V5" s="54"/>
      <c r="W5" s="53"/>
      <c r="X5" s="53"/>
      <c r="Y5" s="53"/>
      <c r="Z5" s="53"/>
      <c r="AA5" s="55"/>
      <c r="AB5" s="55"/>
      <c r="AC5" s="55"/>
      <c r="AD5" s="56"/>
      <c r="AE5" s="56"/>
      <c r="AF5" s="56"/>
      <c r="AG5" s="57"/>
      <c r="AH5" s="58"/>
      <c r="AI5" s="49"/>
      <c r="AK5" s="41"/>
    </row>
    <row r="6" spans="1:37" ht="18" customHeight="1">
      <c r="A6" s="32" t="s">
        <v>1520</v>
      </c>
      <c r="B6" s="50" t="s">
        <v>24</v>
      </c>
      <c r="C6" s="51" t="s">
        <v>28</v>
      </c>
      <c r="D6" s="52" t="s">
        <v>33</v>
      </c>
      <c r="E6" s="53"/>
      <c r="F6" s="53"/>
      <c r="G6" s="53"/>
      <c r="H6" s="53"/>
      <c r="I6" s="53"/>
      <c r="J6" s="53"/>
      <c r="K6" s="53"/>
      <c r="L6" s="53"/>
      <c r="M6" s="53"/>
      <c r="N6" s="53"/>
      <c r="O6" s="53"/>
      <c r="P6" s="53"/>
      <c r="Q6" s="54"/>
      <c r="R6" s="54"/>
      <c r="S6" s="54"/>
      <c r="T6" s="53"/>
      <c r="U6" s="54"/>
      <c r="V6" s="54"/>
      <c r="W6" s="53"/>
      <c r="X6" s="53"/>
      <c r="Y6" s="53"/>
      <c r="Z6" s="53"/>
      <c r="AA6" s="55"/>
      <c r="AB6" s="55"/>
      <c r="AC6" s="55"/>
      <c r="AD6" s="56"/>
      <c r="AE6" s="56"/>
      <c r="AF6" s="56"/>
      <c r="AG6" s="57"/>
      <c r="AH6" s="58"/>
      <c r="AI6" s="49"/>
      <c r="AK6" s="41"/>
    </row>
    <row r="7" spans="1:37" ht="18" customHeight="1">
      <c r="A7" s="32" t="s">
        <v>1521</v>
      </c>
      <c r="B7" s="50" t="s">
        <v>29</v>
      </c>
      <c r="C7" s="51" t="s">
        <v>30</v>
      </c>
      <c r="D7" s="52" t="s">
        <v>33</v>
      </c>
      <c r="E7" s="53"/>
      <c r="F7" s="53"/>
      <c r="G7" s="53"/>
      <c r="H7" s="53"/>
      <c r="I7" s="53"/>
      <c r="J7" s="53"/>
      <c r="K7" s="53"/>
      <c r="L7" s="53"/>
      <c r="M7" s="53"/>
      <c r="N7" s="53"/>
      <c r="O7" s="53"/>
      <c r="P7" s="53"/>
      <c r="Q7" s="54"/>
      <c r="R7" s="54"/>
      <c r="S7" s="54"/>
      <c r="T7" s="53"/>
      <c r="U7" s="54"/>
      <c r="V7" s="54"/>
      <c r="W7" s="53"/>
      <c r="X7" s="53"/>
      <c r="Y7" s="53"/>
      <c r="Z7" s="53"/>
      <c r="AA7" s="55"/>
      <c r="AB7" s="55"/>
      <c r="AC7" s="55"/>
      <c r="AD7" s="56"/>
      <c r="AE7" s="56"/>
      <c r="AF7" s="56"/>
      <c r="AG7" s="57"/>
      <c r="AH7" s="58"/>
      <c r="AI7" s="49"/>
      <c r="AK7" s="41"/>
    </row>
    <row r="8" spans="1:37" ht="18" customHeight="1">
      <c r="A8" s="32" t="s">
        <v>1522</v>
      </c>
      <c r="B8" s="50" t="s">
        <v>31</v>
      </c>
      <c r="C8" s="51" t="s">
        <v>32</v>
      </c>
      <c r="D8" s="52" t="s">
        <v>33</v>
      </c>
      <c r="E8" s="53"/>
      <c r="F8" s="53"/>
      <c r="G8" s="53"/>
      <c r="H8" s="53"/>
      <c r="I8" s="53"/>
      <c r="J8" s="53"/>
      <c r="K8" s="53"/>
      <c r="L8" s="53"/>
      <c r="M8" s="53"/>
      <c r="N8" s="53"/>
      <c r="O8" s="53"/>
      <c r="P8" s="53"/>
      <c r="Q8" s="54"/>
      <c r="R8" s="54"/>
      <c r="S8" s="54"/>
      <c r="T8" s="53"/>
      <c r="U8" s="54"/>
      <c r="V8" s="54"/>
      <c r="W8" s="53"/>
      <c r="X8" s="53"/>
      <c r="Y8" s="53"/>
      <c r="Z8" s="53"/>
      <c r="AA8" s="55"/>
      <c r="AB8" s="55"/>
      <c r="AC8" s="55"/>
      <c r="AD8" s="56"/>
      <c r="AE8" s="56"/>
      <c r="AF8" s="56"/>
      <c r="AG8" s="57"/>
      <c r="AH8" s="58"/>
      <c r="AI8" s="49"/>
      <c r="AK8" s="41"/>
    </row>
    <row r="9" spans="1:37" ht="41.45" customHeight="1">
      <c r="A9" s="32" t="s">
        <v>1523</v>
      </c>
      <c r="B9" s="59" t="s">
        <v>1499</v>
      </c>
      <c r="C9" s="60" t="s">
        <v>2444</v>
      </c>
      <c r="D9" s="52"/>
      <c r="E9" s="45"/>
      <c r="F9" s="45"/>
      <c r="G9" s="45"/>
      <c r="H9" s="45"/>
      <c r="I9" s="45"/>
      <c r="J9" s="45"/>
      <c r="K9" s="45"/>
      <c r="L9" s="45"/>
      <c r="M9" s="45"/>
      <c r="N9" s="45"/>
      <c r="O9" s="45"/>
      <c r="P9" s="45"/>
      <c r="Q9" s="45"/>
      <c r="R9" s="45"/>
      <c r="S9" s="45"/>
      <c r="T9" s="45"/>
      <c r="U9" s="45"/>
      <c r="V9" s="45"/>
      <c r="W9" s="45"/>
      <c r="X9" s="45"/>
      <c r="Y9" s="45"/>
      <c r="Z9" s="45"/>
      <c r="AA9" s="46"/>
      <c r="AB9" s="46"/>
      <c r="AC9" s="47"/>
      <c r="AD9" s="56"/>
      <c r="AE9" s="56"/>
      <c r="AF9" s="56"/>
      <c r="AG9" s="56"/>
      <c r="AH9" s="61"/>
      <c r="AI9" s="49"/>
      <c r="AK9" s="41"/>
    </row>
    <row r="10" spans="1:37" ht="18" customHeight="1">
      <c r="A10" s="32" t="s">
        <v>1508</v>
      </c>
      <c r="B10" s="50" t="s">
        <v>23</v>
      </c>
      <c r="C10" s="51" t="s">
        <v>27</v>
      </c>
      <c r="D10" s="52" t="s">
        <v>33</v>
      </c>
      <c r="E10" s="53"/>
      <c r="F10" s="53"/>
      <c r="G10" s="53"/>
      <c r="H10" s="53"/>
      <c r="I10" s="53"/>
      <c r="J10" s="53"/>
      <c r="K10" s="53"/>
      <c r="L10" s="53"/>
      <c r="M10" s="53"/>
      <c r="N10" s="53"/>
      <c r="O10" s="53"/>
      <c r="P10" s="53"/>
      <c r="Q10" s="54"/>
      <c r="R10" s="54"/>
      <c r="S10" s="54"/>
      <c r="T10" s="53"/>
      <c r="U10" s="54"/>
      <c r="V10" s="54"/>
      <c r="W10" s="53"/>
      <c r="X10" s="53"/>
      <c r="Y10" s="53"/>
      <c r="Z10" s="53"/>
      <c r="AA10" s="55"/>
      <c r="AB10" s="55"/>
      <c r="AC10" s="55"/>
      <c r="AD10" s="56"/>
      <c r="AE10" s="56"/>
      <c r="AF10" s="56"/>
      <c r="AG10" s="57"/>
      <c r="AH10" s="58"/>
      <c r="AI10" s="49"/>
      <c r="AK10" s="41"/>
    </row>
    <row r="11" spans="1:37" ht="18" customHeight="1">
      <c r="A11" s="32" t="s">
        <v>1509</v>
      </c>
      <c r="B11" s="50" t="s">
        <v>24</v>
      </c>
      <c r="C11" s="51" t="s">
        <v>28</v>
      </c>
      <c r="D11" s="52" t="s">
        <v>33</v>
      </c>
      <c r="E11" s="53"/>
      <c r="F11" s="53"/>
      <c r="G11" s="53"/>
      <c r="H11" s="53"/>
      <c r="I11" s="53"/>
      <c r="J11" s="53"/>
      <c r="K11" s="53"/>
      <c r="L11" s="53"/>
      <c r="M11" s="53"/>
      <c r="N11" s="53"/>
      <c r="O11" s="53"/>
      <c r="P11" s="53"/>
      <c r="Q11" s="54"/>
      <c r="R11" s="54"/>
      <c r="S11" s="54"/>
      <c r="T11" s="53"/>
      <c r="U11" s="54"/>
      <c r="V11" s="54"/>
      <c r="W11" s="53"/>
      <c r="X11" s="53"/>
      <c r="Y11" s="53"/>
      <c r="Z11" s="53"/>
      <c r="AA11" s="55"/>
      <c r="AB11" s="55"/>
      <c r="AC11" s="55"/>
      <c r="AD11" s="56"/>
      <c r="AE11" s="56"/>
      <c r="AF11" s="56"/>
      <c r="AG11" s="57"/>
      <c r="AH11" s="58"/>
      <c r="AI11" s="49"/>
      <c r="AK11" s="41"/>
    </row>
    <row r="12" spans="1:37" ht="18" customHeight="1">
      <c r="A12" s="32" t="s">
        <v>1510</v>
      </c>
      <c r="B12" s="50" t="s">
        <v>29</v>
      </c>
      <c r="C12" s="51" t="s">
        <v>30</v>
      </c>
      <c r="D12" s="52" t="s">
        <v>33</v>
      </c>
      <c r="E12" s="53"/>
      <c r="F12" s="53"/>
      <c r="G12" s="53"/>
      <c r="H12" s="53"/>
      <c r="I12" s="53"/>
      <c r="J12" s="53"/>
      <c r="K12" s="53"/>
      <c r="L12" s="53"/>
      <c r="M12" s="53"/>
      <c r="N12" s="53"/>
      <c r="O12" s="53"/>
      <c r="P12" s="53"/>
      <c r="Q12" s="54"/>
      <c r="R12" s="54"/>
      <c r="S12" s="54"/>
      <c r="T12" s="53"/>
      <c r="U12" s="54"/>
      <c r="V12" s="54"/>
      <c r="W12" s="53"/>
      <c r="X12" s="53"/>
      <c r="Y12" s="53"/>
      <c r="Z12" s="53"/>
      <c r="AA12" s="55"/>
      <c r="AB12" s="55"/>
      <c r="AC12" s="55"/>
      <c r="AD12" s="56"/>
      <c r="AE12" s="56"/>
      <c r="AF12" s="56"/>
      <c r="AG12" s="57"/>
      <c r="AH12" s="58"/>
      <c r="AI12" s="49"/>
      <c r="AK12" s="41"/>
    </row>
    <row r="13" spans="1:37" ht="18" customHeight="1">
      <c r="A13" s="32" t="s">
        <v>1511</v>
      </c>
      <c r="B13" s="50" t="s">
        <v>31</v>
      </c>
      <c r="C13" s="51" t="s">
        <v>32</v>
      </c>
      <c r="D13" s="52" t="s">
        <v>33</v>
      </c>
      <c r="E13" s="53"/>
      <c r="F13" s="53"/>
      <c r="G13" s="53"/>
      <c r="H13" s="53"/>
      <c r="I13" s="53"/>
      <c r="J13" s="53"/>
      <c r="K13" s="53"/>
      <c r="L13" s="53"/>
      <c r="M13" s="53"/>
      <c r="N13" s="53"/>
      <c r="O13" s="53"/>
      <c r="P13" s="53"/>
      <c r="Q13" s="54"/>
      <c r="R13" s="54"/>
      <c r="S13" s="54"/>
      <c r="T13" s="53"/>
      <c r="U13" s="54"/>
      <c r="V13" s="54"/>
      <c r="W13" s="53"/>
      <c r="X13" s="53"/>
      <c r="Y13" s="53"/>
      <c r="Z13" s="53"/>
      <c r="AA13" s="55"/>
      <c r="AB13" s="55"/>
      <c r="AC13" s="55"/>
      <c r="AD13" s="56"/>
      <c r="AE13" s="56"/>
      <c r="AF13" s="56"/>
      <c r="AG13" s="57"/>
      <c r="AH13" s="58"/>
      <c r="AI13" s="49"/>
      <c r="AK13" s="41"/>
    </row>
    <row r="14" spans="1:37" ht="18" customHeight="1">
      <c r="A14" s="32" t="s">
        <v>1500</v>
      </c>
      <c r="B14" s="59" t="s">
        <v>1500</v>
      </c>
      <c r="C14" s="60" t="s">
        <v>2445</v>
      </c>
      <c r="D14" s="52" t="s">
        <v>26</v>
      </c>
      <c r="E14" s="53"/>
      <c r="F14" s="53"/>
      <c r="G14" s="53"/>
      <c r="H14" s="53"/>
      <c r="I14" s="53"/>
      <c r="J14" s="53"/>
      <c r="K14" s="53"/>
      <c r="L14" s="53"/>
      <c r="M14" s="53"/>
      <c r="N14" s="53"/>
      <c r="O14" s="53"/>
      <c r="P14" s="53"/>
      <c r="Q14" s="54"/>
      <c r="R14" s="54"/>
      <c r="S14" s="54"/>
      <c r="T14" s="53"/>
      <c r="U14" s="54"/>
      <c r="V14" s="54"/>
      <c r="W14" s="53"/>
      <c r="X14" s="53"/>
      <c r="Y14" s="53"/>
      <c r="Z14" s="53"/>
      <c r="AA14" s="55"/>
      <c r="AB14" s="55"/>
      <c r="AC14" s="55"/>
      <c r="AD14" s="56"/>
      <c r="AE14" s="56"/>
      <c r="AF14" s="56"/>
      <c r="AG14" s="57"/>
      <c r="AH14" s="58"/>
      <c r="AI14" s="49"/>
      <c r="AK14" s="41"/>
    </row>
    <row r="15" spans="1:37" ht="66.599999999999994" customHeight="1">
      <c r="A15" s="32" t="s">
        <v>1501</v>
      </c>
      <c r="B15" s="59" t="s">
        <v>1501</v>
      </c>
      <c r="C15" s="60" t="s">
        <v>2446</v>
      </c>
      <c r="D15" s="52"/>
      <c r="E15" s="45"/>
      <c r="F15" s="45"/>
      <c r="G15" s="45"/>
      <c r="H15" s="45"/>
      <c r="I15" s="45"/>
      <c r="J15" s="45"/>
      <c r="K15" s="45"/>
      <c r="L15" s="45"/>
      <c r="M15" s="45"/>
      <c r="N15" s="45"/>
      <c r="O15" s="45"/>
      <c r="P15" s="45"/>
      <c r="Q15" s="45"/>
      <c r="R15" s="45"/>
      <c r="S15" s="45"/>
      <c r="T15" s="45"/>
      <c r="U15" s="45"/>
      <c r="V15" s="45"/>
      <c r="W15" s="45"/>
      <c r="X15" s="45"/>
      <c r="Y15" s="45"/>
      <c r="Z15" s="45"/>
      <c r="AA15" s="46"/>
      <c r="AB15" s="46"/>
      <c r="AC15" s="47"/>
      <c r="AD15" s="56"/>
      <c r="AE15" s="56"/>
      <c r="AF15" s="56"/>
      <c r="AG15" s="56"/>
      <c r="AH15" s="61"/>
      <c r="AI15" s="49"/>
      <c r="AK15" s="41"/>
    </row>
    <row r="16" spans="1:37" ht="21">
      <c r="A16" s="32" t="s">
        <v>1512</v>
      </c>
      <c r="B16" s="62" t="s">
        <v>23</v>
      </c>
      <c r="C16" s="63" t="s">
        <v>18</v>
      </c>
      <c r="D16" s="52"/>
      <c r="E16" s="45"/>
      <c r="F16" s="45"/>
      <c r="G16" s="45"/>
      <c r="H16" s="45"/>
      <c r="I16" s="45"/>
      <c r="J16" s="45"/>
      <c r="K16" s="45"/>
      <c r="L16" s="45"/>
      <c r="M16" s="45"/>
      <c r="N16" s="45"/>
      <c r="O16" s="45"/>
      <c r="P16" s="45"/>
      <c r="Q16" s="45"/>
      <c r="R16" s="45"/>
      <c r="S16" s="45"/>
      <c r="T16" s="45"/>
      <c r="U16" s="45"/>
      <c r="V16" s="45"/>
      <c r="W16" s="45"/>
      <c r="X16" s="45"/>
      <c r="Y16" s="45"/>
      <c r="Z16" s="45"/>
      <c r="AA16" s="46"/>
      <c r="AB16" s="46"/>
      <c r="AC16" s="47"/>
      <c r="AD16" s="56"/>
      <c r="AE16" s="56"/>
      <c r="AF16" s="56"/>
      <c r="AG16" s="56"/>
      <c r="AH16" s="61"/>
      <c r="AI16" s="49"/>
      <c r="AK16" s="41"/>
    </row>
    <row r="17" spans="1:38" ht="21">
      <c r="A17" s="32" t="s">
        <v>1513</v>
      </c>
      <c r="B17" s="50" t="s">
        <v>14</v>
      </c>
      <c r="C17" s="51" t="s">
        <v>19</v>
      </c>
      <c r="D17" s="52" t="s">
        <v>26</v>
      </c>
      <c r="E17" s="53"/>
      <c r="F17" s="53"/>
      <c r="G17" s="53"/>
      <c r="H17" s="53"/>
      <c r="I17" s="53"/>
      <c r="J17" s="53"/>
      <c r="K17" s="53"/>
      <c r="L17" s="53"/>
      <c r="M17" s="53"/>
      <c r="N17" s="53"/>
      <c r="O17" s="53"/>
      <c r="P17" s="53"/>
      <c r="Q17" s="54"/>
      <c r="R17" s="54"/>
      <c r="S17" s="54"/>
      <c r="T17" s="53"/>
      <c r="U17" s="54"/>
      <c r="V17" s="54"/>
      <c r="W17" s="53"/>
      <c r="X17" s="53"/>
      <c r="Y17" s="53"/>
      <c r="Z17" s="53"/>
      <c r="AA17" s="55"/>
      <c r="AB17" s="55"/>
      <c r="AC17" s="55"/>
      <c r="AD17" s="56"/>
      <c r="AE17" s="56"/>
      <c r="AF17" s="56"/>
      <c r="AG17" s="57"/>
      <c r="AH17" s="58"/>
      <c r="AI17" s="49"/>
      <c r="AK17" s="41"/>
    </row>
    <row r="18" spans="1:38" ht="21">
      <c r="A18" s="32" t="s">
        <v>1514</v>
      </c>
      <c r="B18" s="50" t="s">
        <v>15</v>
      </c>
      <c r="C18" s="51" t="s">
        <v>20</v>
      </c>
      <c r="D18" s="52" t="s">
        <v>26</v>
      </c>
      <c r="E18" s="53"/>
      <c r="F18" s="53"/>
      <c r="G18" s="53"/>
      <c r="H18" s="53"/>
      <c r="I18" s="53"/>
      <c r="J18" s="53"/>
      <c r="K18" s="53"/>
      <c r="L18" s="53"/>
      <c r="M18" s="53"/>
      <c r="N18" s="53"/>
      <c r="O18" s="53"/>
      <c r="P18" s="53"/>
      <c r="Q18" s="54"/>
      <c r="R18" s="54"/>
      <c r="S18" s="54"/>
      <c r="T18" s="53"/>
      <c r="U18" s="54"/>
      <c r="V18" s="54"/>
      <c r="W18" s="53"/>
      <c r="X18" s="53"/>
      <c r="Y18" s="53"/>
      <c r="Z18" s="53"/>
      <c r="AA18" s="55"/>
      <c r="AB18" s="55"/>
      <c r="AC18" s="55"/>
      <c r="AD18" s="56"/>
      <c r="AE18" s="56"/>
      <c r="AF18" s="56"/>
      <c r="AG18" s="57"/>
      <c r="AH18" s="58"/>
      <c r="AI18" s="49"/>
      <c r="AK18" s="41"/>
    </row>
    <row r="19" spans="1:38" ht="21">
      <c r="A19" s="32" t="s">
        <v>1515</v>
      </c>
      <c r="B19" s="62" t="s">
        <v>24</v>
      </c>
      <c r="C19" s="63" t="s">
        <v>21</v>
      </c>
      <c r="D19" s="52"/>
      <c r="E19" s="53"/>
      <c r="F19" s="53"/>
      <c r="G19" s="53"/>
      <c r="H19" s="53"/>
      <c r="I19" s="53"/>
      <c r="J19" s="53"/>
      <c r="K19" s="53"/>
      <c r="L19" s="53"/>
      <c r="M19" s="53"/>
      <c r="N19" s="53"/>
      <c r="O19" s="53"/>
      <c r="P19" s="53"/>
      <c r="Q19" s="54"/>
      <c r="R19" s="54"/>
      <c r="S19" s="54"/>
      <c r="T19" s="53"/>
      <c r="U19" s="54"/>
      <c r="V19" s="54"/>
      <c r="W19" s="53"/>
      <c r="X19" s="53"/>
      <c r="Y19" s="53"/>
      <c r="Z19" s="53"/>
      <c r="AA19" s="55"/>
      <c r="AB19" s="55"/>
      <c r="AC19" s="55"/>
      <c r="AD19" s="56"/>
      <c r="AE19" s="56"/>
      <c r="AF19" s="56"/>
      <c r="AG19" s="57"/>
      <c r="AH19" s="58"/>
      <c r="AI19" s="49"/>
      <c r="AK19" s="41"/>
    </row>
    <row r="20" spans="1:38" s="68" customFormat="1" ht="21">
      <c r="A20" s="64" t="s">
        <v>1516</v>
      </c>
      <c r="B20" s="50" t="s">
        <v>14</v>
      </c>
      <c r="C20" s="51" t="s">
        <v>19</v>
      </c>
      <c r="D20" s="52" t="s">
        <v>26</v>
      </c>
      <c r="E20" s="53"/>
      <c r="F20" s="53"/>
      <c r="G20" s="53"/>
      <c r="H20" s="53"/>
      <c r="I20" s="53"/>
      <c r="J20" s="53"/>
      <c r="K20" s="53"/>
      <c r="L20" s="53"/>
      <c r="M20" s="53"/>
      <c r="N20" s="53"/>
      <c r="O20" s="53"/>
      <c r="P20" s="53"/>
      <c r="Q20" s="54"/>
      <c r="R20" s="54"/>
      <c r="S20" s="54"/>
      <c r="T20" s="53"/>
      <c r="U20" s="54"/>
      <c r="V20" s="54"/>
      <c r="W20" s="53"/>
      <c r="X20" s="53"/>
      <c r="Y20" s="53"/>
      <c r="Z20" s="53"/>
      <c r="AA20" s="55"/>
      <c r="AB20" s="55"/>
      <c r="AC20" s="55"/>
      <c r="AD20" s="56"/>
      <c r="AE20" s="56"/>
      <c r="AF20" s="56"/>
      <c r="AG20" s="65"/>
      <c r="AH20" s="66"/>
      <c r="AI20" s="49"/>
      <c r="AJ20" s="40"/>
      <c r="AK20" s="41"/>
      <c r="AL20" s="67"/>
    </row>
    <row r="21" spans="1:38" ht="21">
      <c r="A21" s="32" t="s">
        <v>1517</v>
      </c>
      <c r="B21" s="50" t="s">
        <v>15</v>
      </c>
      <c r="C21" s="51" t="s">
        <v>20</v>
      </c>
      <c r="D21" s="52" t="s">
        <v>26</v>
      </c>
      <c r="E21" s="53"/>
      <c r="F21" s="53"/>
      <c r="G21" s="53"/>
      <c r="H21" s="53"/>
      <c r="I21" s="53"/>
      <c r="J21" s="53"/>
      <c r="K21" s="53"/>
      <c r="L21" s="53"/>
      <c r="M21" s="53"/>
      <c r="N21" s="53"/>
      <c r="O21" s="53"/>
      <c r="P21" s="53"/>
      <c r="Q21" s="54"/>
      <c r="R21" s="54"/>
      <c r="S21" s="54"/>
      <c r="T21" s="53"/>
      <c r="U21" s="54"/>
      <c r="V21" s="54"/>
      <c r="W21" s="53"/>
      <c r="X21" s="53"/>
      <c r="Y21" s="53"/>
      <c r="Z21" s="53"/>
      <c r="AA21" s="55"/>
      <c r="AB21" s="55"/>
      <c r="AC21" s="55"/>
      <c r="AD21" s="56"/>
      <c r="AE21" s="56"/>
      <c r="AF21" s="56"/>
      <c r="AG21" s="57"/>
      <c r="AH21" s="58"/>
      <c r="AI21" s="49"/>
      <c r="AK21" s="41"/>
    </row>
    <row r="22" spans="1:38" ht="21">
      <c r="A22" s="32" t="s">
        <v>879</v>
      </c>
      <c r="B22" s="69" t="s">
        <v>25</v>
      </c>
      <c r="C22" s="63" t="s">
        <v>22</v>
      </c>
      <c r="D22" s="52"/>
      <c r="E22" s="53"/>
      <c r="F22" s="53"/>
      <c r="G22" s="53"/>
      <c r="H22" s="53"/>
      <c r="I22" s="53"/>
      <c r="J22" s="53"/>
      <c r="K22" s="53"/>
      <c r="L22" s="53"/>
      <c r="M22" s="53"/>
      <c r="N22" s="53"/>
      <c r="O22" s="53"/>
      <c r="P22" s="53"/>
      <c r="Q22" s="54"/>
      <c r="R22" s="54"/>
      <c r="S22" s="54"/>
      <c r="T22" s="53"/>
      <c r="U22" s="54"/>
      <c r="V22" s="54"/>
      <c r="W22" s="53"/>
      <c r="X22" s="53"/>
      <c r="Y22" s="53"/>
      <c r="Z22" s="53"/>
      <c r="AA22" s="55"/>
      <c r="AB22" s="55"/>
      <c r="AC22" s="55"/>
      <c r="AD22" s="56"/>
      <c r="AE22" s="56"/>
      <c r="AF22" s="56"/>
      <c r="AG22" s="56"/>
      <c r="AH22" s="61"/>
      <c r="AI22" s="49"/>
      <c r="AK22" s="41"/>
    </row>
    <row r="23" spans="1:38" ht="21">
      <c r="A23" s="32" t="s">
        <v>880</v>
      </c>
      <c r="B23" s="50" t="s">
        <v>14</v>
      </c>
      <c r="C23" s="51" t="s">
        <v>19</v>
      </c>
      <c r="D23" s="52" t="s">
        <v>26</v>
      </c>
      <c r="E23" s="53"/>
      <c r="F23" s="53"/>
      <c r="G23" s="53"/>
      <c r="H23" s="53"/>
      <c r="I23" s="53"/>
      <c r="J23" s="53"/>
      <c r="K23" s="53"/>
      <c r="L23" s="53"/>
      <c r="M23" s="53"/>
      <c r="N23" s="53"/>
      <c r="O23" s="53"/>
      <c r="P23" s="53"/>
      <c r="Q23" s="54"/>
      <c r="R23" s="54"/>
      <c r="S23" s="54"/>
      <c r="T23" s="53"/>
      <c r="U23" s="54"/>
      <c r="V23" s="54"/>
      <c r="W23" s="53"/>
      <c r="X23" s="53"/>
      <c r="Y23" s="53"/>
      <c r="Z23" s="53"/>
      <c r="AA23" s="55"/>
      <c r="AB23" s="55"/>
      <c r="AC23" s="55"/>
      <c r="AD23" s="56"/>
      <c r="AE23" s="56"/>
      <c r="AF23" s="56"/>
      <c r="AG23" s="57"/>
      <c r="AH23" s="58"/>
      <c r="AI23" s="49"/>
      <c r="AK23" s="41"/>
    </row>
    <row r="24" spans="1:38" ht="21">
      <c r="A24" s="32" t="s">
        <v>881</v>
      </c>
      <c r="B24" s="50" t="s">
        <v>15</v>
      </c>
      <c r="C24" s="51" t="s">
        <v>20</v>
      </c>
      <c r="D24" s="52" t="s">
        <v>26</v>
      </c>
      <c r="E24" s="53"/>
      <c r="F24" s="53"/>
      <c r="G24" s="53"/>
      <c r="H24" s="53"/>
      <c r="I24" s="53"/>
      <c r="J24" s="53"/>
      <c r="K24" s="53"/>
      <c r="L24" s="53"/>
      <c r="M24" s="53"/>
      <c r="N24" s="53"/>
      <c r="O24" s="53"/>
      <c r="P24" s="53"/>
      <c r="Q24" s="54"/>
      <c r="R24" s="54"/>
      <c r="S24" s="54"/>
      <c r="T24" s="53"/>
      <c r="U24" s="54"/>
      <c r="V24" s="54"/>
      <c r="W24" s="53"/>
      <c r="X24" s="53"/>
      <c r="Y24" s="53"/>
      <c r="Z24" s="53"/>
      <c r="AA24" s="55"/>
      <c r="AB24" s="55"/>
      <c r="AC24" s="55"/>
      <c r="AD24" s="56"/>
      <c r="AE24" s="56"/>
      <c r="AF24" s="56"/>
      <c r="AG24" s="57"/>
      <c r="AH24" s="58"/>
      <c r="AI24" s="49"/>
      <c r="AK24" s="41"/>
    </row>
    <row r="25" spans="1:38" ht="52.5" customHeight="1">
      <c r="A25" s="32">
        <v>2.04</v>
      </c>
      <c r="B25" s="59" t="s">
        <v>1502</v>
      </c>
      <c r="C25" s="60" t="s">
        <v>2447</v>
      </c>
      <c r="D25" s="52"/>
      <c r="E25" s="70"/>
      <c r="F25" s="70"/>
      <c r="G25" s="70"/>
      <c r="H25" s="70"/>
      <c r="I25" s="70"/>
      <c r="J25" s="70"/>
      <c r="K25" s="70"/>
      <c r="L25" s="70"/>
      <c r="M25" s="70"/>
      <c r="N25" s="70"/>
      <c r="O25" s="70"/>
      <c r="P25" s="70"/>
      <c r="Q25" s="70"/>
      <c r="R25" s="70"/>
      <c r="S25" s="70"/>
      <c r="T25" s="70"/>
      <c r="U25" s="70"/>
      <c r="V25" s="70"/>
      <c r="W25" s="70"/>
      <c r="X25" s="70"/>
      <c r="Y25" s="70"/>
      <c r="Z25" s="70"/>
      <c r="AA25" s="71"/>
      <c r="AB25" s="71"/>
      <c r="AC25" s="55"/>
      <c r="AD25" s="56"/>
      <c r="AE25" s="56"/>
      <c r="AF25" s="72"/>
      <c r="AG25" s="72"/>
      <c r="AH25" s="61"/>
      <c r="AI25" s="49"/>
      <c r="AK25" s="41"/>
    </row>
    <row r="26" spans="1:38" ht="21">
      <c r="A26" s="32" t="s">
        <v>2248</v>
      </c>
      <c r="B26" s="62" t="s">
        <v>23</v>
      </c>
      <c r="C26" s="63" t="s">
        <v>34</v>
      </c>
      <c r="D26" s="52"/>
      <c r="E26" s="73"/>
      <c r="F26" s="73"/>
      <c r="G26" s="73"/>
      <c r="H26" s="73"/>
      <c r="I26" s="73"/>
      <c r="J26" s="73"/>
      <c r="K26" s="73"/>
      <c r="L26" s="73"/>
      <c r="M26" s="73"/>
      <c r="N26" s="73"/>
      <c r="O26" s="73"/>
      <c r="P26" s="73"/>
      <c r="Q26" s="74"/>
      <c r="R26" s="74"/>
      <c r="S26" s="74"/>
      <c r="T26" s="73"/>
      <c r="U26" s="74"/>
      <c r="V26" s="74"/>
      <c r="W26" s="73"/>
      <c r="X26" s="73"/>
      <c r="Y26" s="73"/>
      <c r="Z26" s="73"/>
      <c r="AA26" s="75"/>
      <c r="AB26" s="75"/>
      <c r="AC26" s="55"/>
      <c r="AD26" s="56"/>
      <c r="AE26" s="56"/>
      <c r="AF26" s="72"/>
      <c r="AG26" s="72"/>
      <c r="AH26" s="61"/>
      <c r="AI26" s="49"/>
      <c r="AK26" s="41"/>
    </row>
    <row r="27" spans="1:38" ht="21">
      <c r="A27" s="32" t="s">
        <v>2249</v>
      </c>
      <c r="B27" s="69" t="s">
        <v>35</v>
      </c>
      <c r="C27" s="63" t="s">
        <v>36</v>
      </c>
      <c r="D27" s="52"/>
      <c r="E27" s="73"/>
      <c r="F27" s="73"/>
      <c r="G27" s="73"/>
      <c r="H27" s="73"/>
      <c r="I27" s="73"/>
      <c r="J27" s="73"/>
      <c r="K27" s="73"/>
      <c r="L27" s="73"/>
      <c r="M27" s="73"/>
      <c r="N27" s="73"/>
      <c r="O27" s="73"/>
      <c r="P27" s="73"/>
      <c r="Q27" s="74"/>
      <c r="R27" s="74"/>
      <c r="S27" s="74"/>
      <c r="T27" s="73"/>
      <c r="U27" s="74"/>
      <c r="V27" s="74"/>
      <c r="W27" s="73"/>
      <c r="X27" s="73"/>
      <c r="Y27" s="73"/>
      <c r="Z27" s="73"/>
      <c r="AA27" s="75"/>
      <c r="AB27" s="75"/>
      <c r="AC27" s="55"/>
      <c r="AD27" s="56"/>
      <c r="AE27" s="56"/>
      <c r="AF27" s="72"/>
      <c r="AG27" s="72"/>
      <c r="AH27" s="61"/>
      <c r="AI27" s="49"/>
      <c r="AK27" s="41"/>
    </row>
    <row r="28" spans="1:38" ht="21">
      <c r="A28" s="32" t="s">
        <v>2250</v>
      </c>
      <c r="B28" s="50" t="s">
        <v>14</v>
      </c>
      <c r="C28" s="51" t="s">
        <v>37</v>
      </c>
      <c r="D28" s="52" t="s">
        <v>38</v>
      </c>
      <c r="E28" s="73"/>
      <c r="F28" s="73"/>
      <c r="G28" s="73"/>
      <c r="H28" s="73"/>
      <c r="I28" s="73"/>
      <c r="J28" s="73"/>
      <c r="K28" s="73"/>
      <c r="L28" s="73"/>
      <c r="M28" s="73"/>
      <c r="N28" s="73"/>
      <c r="O28" s="73"/>
      <c r="P28" s="73"/>
      <c r="Q28" s="74"/>
      <c r="R28" s="74"/>
      <c r="S28" s="74"/>
      <c r="T28" s="73"/>
      <c r="U28" s="74"/>
      <c r="V28" s="74"/>
      <c r="W28" s="73"/>
      <c r="X28" s="73"/>
      <c r="Y28" s="73"/>
      <c r="Z28" s="73"/>
      <c r="AA28" s="75"/>
      <c r="AB28" s="75"/>
      <c r="AC28" s="55"/>
      <c r="AD28" s="56"/>
      <c r="AE28" s="56"/>
      <c r="AF28" s="56"/>
      <c r="AG28" s="57"/>
      <c r="AH28" s="58"/>
      <c r="AI28" s="49"/>
      <c r="AK28" s="41"/>
    </row>
    <row r="29" spans="1:38" ht="21">
      <c r="A29" s="32" t="s">
        <v>2251</v>
      </c>
      <c r="B29" s="50" t="s">
        <v>15</v>
      </c>
      <c r="C29" s="51" t="s">
        <v>39</v>
      </c>
      <c r="D29" s="52" t="s">
        <v>38</v>
      </c>
      <c r="E29" s="73"/>
      <c r="F29" s="73"/>
      <c r="G29" s="73"/>
      <c r="H29" s="73"/>
      <c r="I29" s="73"/>
      <c r="J29" s="73"/>
      <c r="K29" s="73"/>
      <c r="L29" s="73"/>
      <c r="M29" s="73"/>
      <c r="N29" s="73"/>
      <c r="O29" s="73"/>
      <c r="P29" s="73"/>
      <c r="Q29" s="74"/>
      <c r="R29" s="74"/>
      <c r="S29" s="74"/>
      <c r="T29" s="73"/>
      <c r="U29" s="74"/>
      <c r="V29" s="74"/>
      <c r="W29" s="73"/>
      <c r="X29" s="73"/>
      <c r="Y29" s="73"/>
      <c r="Z29" s="73"/>
      <c r="AA29" s="75"/>
      <c r="AB29" s="75"/>
      <c r="AC29" s="55"/>
      <c r="AD29" s="56"/>
      <c r="AE29" s="56"/>
      <c r="AF29" s="56"/>
      <c r="AG29" s="57"/>
      <c r="AH29" s="58"/>
      <c r="AI29" s="49"/>
      <c r="AK29" s="41"/>
    </row>
    <row r="30" spans="1:38" ht="21">
      <c r="A30" s="32" t="s">
        <v>2252</v>
      </c>
      <c r="B30" s="50" t="s">
        <v>40</v>
      </c>
      <c r="C30" s="51" t="s">
        <v>41</v>
      </c>
      <c r="D30" s="52" t="s">
        <v>38</v>
      </c>
      <c r="E30" s="73"/>
      <c r="F30" s="73"/>
      <c r="G30" s="73"/>
      <c r="H30" s="73"/>
      <c r="I30" s="73"/>
      <c r="J30" s="73"/>
      <c r="K30" s="73"/>
      <c r="L30" s="73"/>
      <c r="M30" s="73"/>
      <c r="N30" s="73"/>
      <c r="O30" s="73"/>
      <c r="P30" s="73"/>
      <c r="Q30" s="74"/>
      <c r="R30" s="74"/>
      <c r="S30" s="74"/>
      <c r="T30" s="73"/>
      <c r="U30" s="74"/>
      <c r="V30" s="74"/>
      <c r="W30" s="73"/>
      <c r="X30" s="73"/>
      <c r="Y30" s="73"/>
      <c r="Z30" s="73"/>
      <c r="AA30" s="75"/>
      <c r="AB30" s="75"/>
      <c r="AC30" s="55"/>
      <c r="AD30" s="56"/>
      <c r="AE30" s="56"/>
      <c r="AF30" s="56"/>
      <c r="AG30" s="57"/>
      <c r="AH30" s="58"/>
      <c r="AI30" s="49"/>
      <c r="AK30" s="41"/>
    </row>
    <row r="31" spans="1:38" ht="21">
      <c r="A31" s="32" t="s">
        <v>2253</v>
      </c>
      <c r="B31" s="69" t="s">
        <v>42</v>
      </c>
      <c r="C31" s="63" t="s">
        <v>43</v>
      </c>
      <c r="D31" s="52"/>
      <c r="E31" s="73"/>
      <c r="F31" s="73"/>
      <c r="G31" s="73"/>
      <c r="H31" s="73"/>
      <c r="I31" s="73"/>
      <c r="J31" s="73"/>
      <c r="K31" s="73"/>
      <c r="L31" s="73"/>
      <c r="M31" s="73"/>
      <c r="N31" s="73"/>
      <c r="O31" s="73"/>
      <c r="P31" s="73"/>
      <c r="Q31" s="74"/>
      <c r="R31" s="74"/>
      <c r="S31" s="74"/>
      <c r="T31" s="73"/>
      <c r="U31" s="74"/>
      <c r="V31" s="74"/>
      <c r="W31" s="73"/>
      <c r="X31" s="73"/>
      <c r="Y31" s="73"/>
      <c r="Z31" s="73"/>
      <c r="AA31" s="75"/>
      <c r="AB31" s="75"/>
      <c r="AC31" s="55"/>
      <c r="AD31" s="56"/>
      <c r="AE31" s="56"/>
      <c r="AF31" s="56"/>
      <c r="AG31" s="72"/>
      <c r="AH31" s="61"/>
      <c r="AI31" s="49"/>
      <c r="AK31" s="41"/>
    </row>
    <row r="32" spans="1:38" ht="21">
      <c r="A32" s="32" t="s">
        <v>2254</v>
      </c>
      <c r="B32" s="50" t="s">
        <v>14</v>
      </c>
      <c r="C32" s="51" t="s">
        <v>39</v>
      </c>
      <c r="D32" s="52" t="s">
        <v>38</v>
      </c>
      <c r="E32" s="73"/>
      <c r="F32" s="73"/>
      <c r="G32" s="73"/>
      <c r="H32" s="73"/>
      <c r="I32" s="73"/>
      <c r="J32" s="73"/>
      <c r="K32" s="73"/>
      <c r="L32" s="73"/>
      <c r="M32" s="73"/>
      <c r="N32" s="73"/>
      <c r="O32" s="73"/>
      <c r="P32" s="73"/>
      <c r="Q32" s="74"/>
      <c r="R32" s="74"/>
      <c r="S32" s="74"/>
      <c r="T32" s="73"/>
      <c r="U32" s="74"/>
      <c r="V32" s="74"/>
      <c r="W32" s="73"/>
      <c r="X32" s="73"/>
      <c r="Y32" s="73"/>
      <c r="Z32" s="73"/>
      <c r="AA32" s="75"/>
      <c r="AB32" s="75"/>
      <c r="AC32" s="55"/>
      <c r="AD32" s="56"/>
      <c r="AE32" s="56"/>
      <c r="AF32" s="56"/>
      <c r="AG32" s="57"/>
      <c r="AH32" s="58"/>
      <c r="AI32" s="49"/>
      <c r="AK32" s="41"/>
    </row>
    <row r="33" spans="1:37" ht="21">
      <c r="A33" s="32" t="s">
        <v>2255</v>
      </c>
      <c r="B33" s="50" t="s">
        <v>15</v>
      </c>
      <c r="C33" s="51" t="s">
        <v>41</v>
      </c>
      <c r="D33" s="52" t="s">
        <v>38</v>
      </c>
      <c r="E33" s="73"/>
      <c r="F33" s="73"/>
      <c r="G33" s="73"/>
      <c r="H33" s="73"/>
      <c r="I33" s="73"/>
      <c r="J33" s="73"/>
      <c r="K33" s="73"/>
      <c r="L33" s="73"/>
      <c r="M33" s="73"/>
      <c r="N33" s="73"/>
      <c r="O33" s="73"/>
      <c r="P33" s="73"/>
      <c r="Q33" s="74"/>
      <c r="R33" s="74"/>
      <c r="S33" s="74"/>
      <c r="T33" s="73"/>
      <c r="U33" s="74"/>
      <c r="V33" s="74"/>
      <c r="W33" s="73"/>
      <c r="X33" s="73"/>
      <c r="Y33" s="73"/>
      <c r="Z33" s="73"/>
      <c r="AA33" s="75"/>
      <c r="AB33" s="75"/>
      <c r="AC33" s="55"/>
      <c r="AD33" s="56"/>
      <c r="AE33" s="56"/>
      <c r="AF33" s="56"/>
      <c r="AG33" s="57"/>
      <c r="AH33" s="58"/>
      <c r="AI33" s="49"/>
      <c r="AK33" s="41"/>
    </row>
    <row r="34" spans="1:37" ht="21">
      <c r="A34" s="32" t="s">
        <v>2256</v>
      </c>
      <c r="B34" s="62" t="s">
        <v>24</v>
      </c>
      <c r="C34" s="63" t="s">
        <v>44</v>
      </c>
      <c r="D34" s="52"/>
      <c r="E34" s="73"/>
      <c r="F34" s="73"/>
      <c r="G34" s="73"/>
      <c r="H34" s="73"/>
      <c r="I34" s="73"/>
      <c r="J34" s="73"/>
      <c r="K34" s="73"/>
      <c r="L34" s="73"/>
      <c r="M34" s="73"/>
      <c r="N34" s="73"/>
      <c r="O34" s="73"/>
      <c r="P34" s="73"/>
      <c r="Q34" s="74"/>
      <c r="R34" s="74"/>
      <c r="S34" s="74"/>
      <c r="T34" s="73"/>
      <c r="U34" s="74"/>
      <c r="V34" s="74"/>
      <c r="W34" s="73"/>
      <c r="X34" s="73"/>
      <c r="Y34" s="73"/>
      <c r="Z34" s="73"/>
      <c r="AA34" s="75"/>
      <c r="AB34" s="75"/>
      <c r="AC34" s="55"/>
      <c r="AD34" s="56"/>
      <c r="AE34" s="56"/>
      <c r="AF34" s="56"/>
      <c r="AG34" s="72"/>
      <c r="AH34" s="61"/>
      <c r="AI34" s="49"/>
      <c r="AK34" s="41"/>
    </row>
    <row r="35" spans="1:37" ht="21">
      <c r="A35" s="32" t="s">
        <v>2257</v>
      </c>
      <c r="B35" s="50" t="s">
        <v>14</v>
      </c>
      <c r="C35" s="51" t="s">
        <v>45</v>
      </c>
      <c r="D35" s="52" t="s">
        <v>38</v>
      </c>
      <c r="E35" s="73"/>
      <c r="F35" s="73"/>
      <c r="G35" s="73"/>
      <c r="H35" s="73"/>
      <c r="I35" s="73"/>
      <c r="J35" s="73"/>
      <c r="K35" s="73"/>
      <c r="L35" s="73"/>
      <c r="M35" s="73"/>
      <c r="N35" s="73"/>
      <c r="O35" s="73"/>
      <c r="P35" s="73"/>
      <c r="Q35" s="74"/>
      <c r="R35" s="74"/>
      <c r="S35" s="74"/>
      <c r="T35" s="73"/>
      <c r="U35" s="74"/>
      <c r="V35" s="74"/>
      <c r="W35" s="73"/>
      <c r="X35" s="73"/>
      <c r="Y35" s="73"/>
      <c r="Z35" s="73"/>
      <c r="AA35" s="75"/>
      <c r="AB35" s="75"/>
      <c r="AC35" s="55"/>
      <c r="AD35" s="56"/>
      <c r="AE35" s="56"/>
      <c r="AF35" s="56"/>
      <c r="AG35" s="57"/>
      <c r="AH35" s="58"/>
      <c r="AI35" s="49"/>
      <c r="AK35" s="41"/>
    </row>
    <row r="36" spans="1:37" ht="21">
      <c r="A36" s="32" t="s">
        <v>2258</v>
      </c>
      <c r="B36" s="50" t="s">
        <v>15</v>
      </c>
      <c r="C36" s="51" t="s">
        <v>46</v>
      </c>
      <c r="D36" s="52" t="s">
        <v>38</v>
      </c>
      <c r="E36" s="73"/>
      <c r="F36" s="73"/>
      <c r="G36" s="73"/>
      <c r="H36" s="73"/>
      <c r="I36" s="73"/>
      <c r="J36" s="73"/>
      <c r="K36" s="73"/>
      <c r="L36" s="73"/>
      <c r="M36" s="73"/>
      <c r="N36" s="73"/>
      <c r="O36" s="73"/>
      <c r="P36" s="73"/>
      <c r="Q36" s="74"/>
      <c r="R36" s="74"/>
      <c r="S36" s="74"/>
      <c r="T36" s="73"/>
      <c r="U36" s="74"/>
      <c r="V36" s="74"/>
      <c r="W36" s="73"/>
      <c r="X36" s="73"/>
      <c r="Y36" s="73"/>
      <c r="Z36" s="73"/>
      <c r="AA36" s="75"/>
      <c r="AB36" s="75"/>
      <c r="AC36" s="55"/>
      <c r="AD36" s="56"/>
      <c r="AE36" s="56"/>
      <c r="AF36" s="56"/>
      <c r="AG36" s="57"/>
      <c r="AH36" s="58"/>
      <c r="AI36" s="49"/>
      <c r="AK36" s="41"/>
    </row>
    <row r="37" spans="1:37" ht="21">
      <c r="A37" s="32" t="s">
        <v>2259</v>
      </c>
      <c r="B37" s="50" t="s">
        <v>40</v>
      </c>
      <c r="C37" s="51" t="s">
        <v>47</v>
      </c>
      <c r="D37" s="52" t="s">
        <v>38</v>
      </c>
      <c r="E37" s="73"/>
      <c r="F37" s="73"/>
      <c r="G37" s="73"/>
      <c r="H37" s="73"/>
      <c r="I37" s="73"/>
      <c r="J37" s="73"/>
      <c r="K37" s="73"/>
      <c r="L37" s="73"/>
      <c r="M37" s="73"/>
      <c r="N37" s="73"/>
      <c r="O37" s="73"/>
      <c r="P37" s="73"/>
      <c r="Q37" s="74"/>
      <c r="R37" s="74"/>
      <c r="S37" s="74"/>
      <c r="T37" s="73"/>
      <c r="U37" s="74"/>
      <c r="V37" s="74"/>
      <c r="W37" s="73"/>
      <c r="X37" s="73"/>
      <c r="Y37" s="73"/>
      <c r="Z37" s="73"/>
      <c r="AA37" s="75"/>
      <c r="AB37" s="75"/>
      <c r="AC37" s="55"/>
      <c r="AD37" s="56"/>
      <c r="AE37" s="56"/>
      <c r="AF37" s="56"/>
      <c r="AG37" s="57"/>
      <c r="AH37" s="58"/>
      <c r="AI37" s="49"/>
      <c r="AK37" s="41"/>
    </row>
    <row r="38" spans="1:37" ht="21">
      <c r="A38" s="32" t="s">
        <v>2260</v>
      </c>
      <c r="B38" s="50" t="s">
        <v>48</v>
      </c>
      <c r="C38" s="51" t="s">
        <v>49</v>
      </c>
      <c r="D38" s="52" t="s">
        <v>38</v>
      </c>
      <c r="E38" s="73"/>
      <c r="F38" s="73"/>
      <c r="G38" s="73"/>
      <c r="H38" s="73"/>
      <c r="I38" s="73"/>
      <c r="J38" s="73"/>
      <c r="K38" s="73"/>
      <c r="L38" s="73"/>
      <c r="M38" s="73"/>
      <c r="N38" s="73"/>
      <c r="O38" s="73"/>
      <c r="P38" s="73"/>
      <c r="Q38" s="74"/>
      <c r="R38" s="74"/>
      <c r="S38" s="74"/>
      <c r="T38" s="73"/>
      <c r="U38" s="74"/>
      <c r="V38" s="74"/>
      <c r="W38" s="73"/>
      <c r="X38" s="73"/>
      <c r="Y38" s="73"/>
      <c r="Z38" s="73"/>
      <c r="AA38" s="75"/>
      <c r="AB38" s="75"/>
      <c r="AC38" s="55"/>
      <c r="AD38" s="56"/>
      <c r="AE38" s="56"/>
      <c r="AF38" s="56"/>
      <c r="AG38" s="57"/>
      <c r="AH38" s="58"/>
      <c r="AI38" s="49"/>
      <c r="AK38" s="41"/>
    </row>
    <row r="39" spans="1:37" ht="21">
      <c r="A39" s="32" t="s">
        <v>2261</v>
      </c>
      <c r="B39" s="62" t="s">
        <v>25</v>
      </c>
      <c r="C39" s="63" t="s">
        <v>50</v>
      </c>
      <c r="D39" s="52"/>
      <c r="E39" s="73"/>
      <c r="F39" s="73"/>
      <c r="G39" s="73"/>
      <c r="H39" s="73"/>
      <c r="I39" s="73"/>
      <c r="J39" s="73"/>
      <c r="K39" s="73"/>
      <c r="L39" s="73"/>
      <c r="M39" s="73"/>
      <c r="N39" s="73"/>
      <c r="O39" s="73"/>
      <c r="P39" s="73"/>
      <c r="Q39" s="74"/>
      <c r="R39" s="74"/>
      <c r="S39" s="74"/>
      <c r="T39" s="73"/>
      <c r="U39" s="74"/>
      <c r="V39" s="74"/>
      <c r="W39" s="73"/>
      <c r="X39" s="73"/>
      <c r="Y39" s="73"/>
      <c r="Z39" s="73"/>
      <c r="AA39" s="75"/>
      <c r="AB39" s="75"/>
      <c r="AC39" s="55"/>
      <c r="AD39" s="56"/>
      <c r="AE39" s="56"/>
      <c r="AF39" s="56"/>
      <c r="AG39" s="72"/>
      <c r="AH39" s="61"/>
      <c r="AI39" s="49"/>
      <c r="AK39" s="41"/>
    </row>
    <row r="40" spans="1:37" ht="21">
      <c r="A40" s="32" t="s">
        <v>2262</v>
      </c>
      <c r="B40" s="50" t="s">
        <v>14</v>
      </c>
      <c r="C40" s="51" t="s">
        <v>51</v>
      </c>
      <c r="D40" s="52" t="s">
        <v>38</v>
      </c>
      <c r="E40" s="73"/>
      <c r="F40" s="73"/>
      <c r="G40" s="73"/>
      <c r="H40" s="73"/>
      <c r="I40" s="73"/>
      <c r="J40" s="73"/>
      <c r="K40" s="73"/>
      <c r="L40" s="73"/>
      <c r="M40" s="73"/>
      <c r="N40" s="73"/>
      <c r="O40" s="73"/>
      <c r="P40" s="73"/>
      <c r="Q40" s="74"/>
      <c r="R40" s="74"/>
      <c r="S40" s="74"/>
      <c r="T40" s="73"/>
      <c r="U40" s="74"/>
      <c r="V40" s="74"/>
      <c r="W40" s="73"/>
      <c r="X40" s="73"/>
      <c r="Y40" s="73"/>
      <c r="Z40" s="73"/>
      <c r="AA40" s="75"/>
      <c r="AB40" s="75"/>
      <c r="AC40" s="55"/>
      <c r="AD40" s="56"/>
      <c r="AE40" s="56"/>
      <c r="AF40" s="56"/>
      <c r="AG40" s="57"/>
      <c r="AH40" s="58"/>
      <c r="AI40" s="49"/>
      <c r="AK40" s="41"/>
    </row>
    <row r="41" spans="1:37" ht="21">
      <c r="A41" s="32" t="s">
        <v>1552</v>
      </c>
      <c r="B41" s="50" t="s">
        <v>15</v>
      </c>
      <c r="C41" s="51" t="s">
        <v>52</v>
      </c>
      <c r="D41" s="52" t="s">
        <v>38</v>
      </c>
      <c r="E41" s="73"/>
      <c r="F41" s="73"/>
      <c r="G41" s="73"/>
      <c r="H41" s="73"/>
      <c r="I41" s="73"/>
      <c r="J41" s="73"/>
      <c r="K41" s="73"/>
      <c r="L41" s="73"/>
      <c r="M41" s="73"/>
      <c r="N41" s="73"/>
      <c r="O41" s="73"/>
      <c r="P41" s="73"/>
      <c r="Q41" s="74"/>
      <c r="R41" s="74"/>
      <c r="S41" s="74"/>
      <c r="T41" s="73"/>
      <c r="U41" s="74"/>
      <c r="V41" s="74"/>
      <c r="W41" s="73"/>
      <c r="X41" s="73"/>
      <c r="Y41" s="73"/>
      <c r="Z41" s="73"/>
      <c r="AA41" s="75"/>
      <c r="AB41" s="75"/>
      <c r="AC41" s="55"/>
      <c r="AD41" s="56"/>
      <c r="AE41" s="56"/>
      <c r="AF41" s="56"/>
      <c r="AG41" s="57"/>
      <c r="AH41" s="58"/>
      <c r="AI41" s="49"/>
      <c r="AK41" s="41"/>
    </row>
    <row r="42" spans="1:37" ht="21">
      <c r="A42" s="32" t="s">
        <v>1550</v>
      </c>
      <c r="B42" s="50" t="s">
        <v>40</v>
      </c>
      <c r="C42" s="51" t="s">
        <v>53</v>
      </c>
      <c r="D42" s="52" t="s">
        <v>38</v>
      </c>
      <c r="E42" s="73"/>
      <c r="F42" s="73"/>
      <c r="G42" s="73"/>
      <c r="H42" s="73"/>
      <c r="I42" s="73"/>
      <c r="J42" s="73"/>
      <c r="K42" s="73"/>
      <c r="L42" s="73"/>
      <c r="M42" s="73"/>
      <c r="N42" s="73"/>
      <c r="O42" s="73"/>
      <c r="P42" s="73"/>
      <c r="Q42" s="74"/>
      <c r="R42" s="74"/>
      <c r="S42" s="74"/>
      <c r="T42" s="73"/>
      <c r="U42" s="74"/>
      <c r="V42" s="74"/>
      <c r="W42" s="73"/>
      <c r="X42" s="73"/>
      <c r="Y42" s="73"/>
      <c r="Z42" s="73"/>
      <c r="AA42" s="75"/>
      <c r="AB42" s="75"/>
      <c r="AC42" s="55"/>
      <c r="AD42" s="56"/>
      <c r="AE42" s="56"/>
      <c r="AF42" s="56"/>
      <c r="AG42" s="57"/>
      <c r="AH42" s="58"/>
      <c r="AI42" s="49"/>
      <c r="AK42" s="41"/>
    </row>
    <row r="43" spans="1:37" ht="21">
      <c r="A43" s="32" t="s">
        <v>1551</v>
      </c>
      <c r="B43" s="50" t="s">
        <v>48</v>
      </c>
      <c r="C43" s="51" t="s">
        <v>54</v>
      </c>
      <c r="D43" s="52" t="s">
        <v>38</v>
      </c>
      <c r="E43" s="73"/>
      <c r="F43" s="73"/>
      <c r="G43" s="73"/>
      <c r="H43" s="73"/>
      <c r="I43" s="73"/>
      <c r="J43" s="73"/>
      <c r="K43" s="73"/>
      <c r="L43" s="73"/>
      <c r="M43" s="73"/>
      <c r="N43" s="73"/>
      <c r="O43" s="73"/>
      <c r="P43" s="73"/>
      <c r="Q43" s="74"/>
      <c r="R43" s="74"/>
      <c r="S43" s="74"/>
      <c r="T43" s="73"/>
      <c r="U43" s="74"/>
      <c r="V43" s="74"/>
      <c r="W43" s="73"/>
      <c r="X43" s="73"/>
      <c r="Y43" s="73"/>
      <c r="Z43" s="73"/>
      <c r="AA43" s="75"/>
      <c r="AB43" s="75"/>
      <c r="AC43" s="55"/>
      <c r="AD43" s="56"/>
      <c r="AE43" s="56"/>
      <c r="AF43" s="56"/>
      <c r="AG43" s="57"/>
      <c r="AH43" s="58"/>
      <c r="AI43" s="49"/>
      <c r="AK43" s="41"/>
    </row>
    <row r="44" spans="1:37" ht="21">
      <c r="A44" s="32" t="s">
        <v>1549</v>
      </c>
      <c r="B44" s="50" t="s">
        <v>55</v>
      </c>
      <c r="C44" s="51" t="s">
        <v>56</v>
      </c>
      <c r="D44" s="52" t="s">
        <v>38</v>
      </c>
      <c r="E44" s="73"/>
      <c r="F44" s="73"/>
      <c r="G44" s="73"/>
      <c r="H44" s="73"/>
      <c r="I44" s="73"/>
      <c r="J44" s="73"/>
      <c r="K44" s="73"/>
      <c r="L44" s="73"/>
      <c r="M44" s="73"/>
      <c r="N44" s="73"/>
      <c r="O44" s="73"/>
      <c r="P44" s="73"/>
      <c r="Q44" s="74"/>
      <c r="R44" s="74"/>
      <c r="S44" s="74"/>
      <c r="T44" s="73"/>
      <c r="U44" s="74"/>
      <c r="V44" s="74"/>
      <c r="W44" s="73"/>
      <c r="X44" s="73"/>
      <c r="Y44" s="73"/>
      <c r="Z44" s="73"/>
      <c r="AA44" s="75"/>
      <c r="AB44" s="75"/>
      <c r="AC44" s="55"/>
      <c r="AD44" s="56"/>
      <c r="AE44" s="56"/>
      <c r="AF44" s="56"/>
      <c r="AG44" s="57"/>
      <c r="AH44" s="58"/>
      <c r="AI44" s="49"/>
      <c r="AK44" s="41"/>
    </row>
    <row r="45" spans="1:37" ht="21">
      <c r="A45" s="32" t="s">
        <v>1548</v>
      </c>
      <c r="B45" s="50" t="s">
        <v>57</v>
      </c>
      <c r="C45" s="51" t="s">
        <v>58</v>
      </c>
      <c r="D45" s="52" t="s">
        <v>38</v>
      </c>
      <c r="E45" s="73"/>
      <c r="F45" s="73"/>
      <c r="G45" s="73"/>
      <c r="H45" s="73"/>
      <c r="I45" s="73"/>
      <c r="J45" s="73"/>
      <c r="K45" s="73"/>
      <c r="L45" s="73"/>
      <c r="M45" s="73"/>
      <c r="N45" s="73"/>
      <c r="O45" s="73"/>
      <c r="P45" s="73"/>
      <c r="Q45" s="74"/>
      <c r="R45" s="74"/>
      <c r="S45" s="74"/>
      <c r="T45" s="73"/>
      <c r="U45" s="74"/>
      <c r="V45" s="74"/>
      <c r="W45" s="73"/>
      <c r="X45" s="73"/>
      <c r="Y45" s="73"/>
      <c r="Z45" s="73"/>
      <c r="AA45" s="75"/>
      <c r="AB45" s="75"/>
      <c r="AC45" s="55"/>
      <c r="AD45" s="56"/>
      <c r="AE45" s="56"/>
      <c r="AF45" s="56"/>
      <c r="AG45" s="57"/>
      <c r="AH45" s="58"/>
      <c r="AI45" s="49"/>
      <c r="AK45" s="41"/>
    </row>
    <row r="46" spans="1:37" ht="21">
      <c r="A46" s="32" t="s">
        <v>1547</v>
      </c>
      <c r="B46" s="69" t="s">
        <v>42</v>
      </c>
      <c r="C46" s="63" t="s">
        <v>59</v>
      </c>
      <c r="D46" s="52"/>
      <c r="E46" s="73"/>
      <c r="F46" s="73"/>
      <c r="G46" s="73"/>
      <c r="H46" s="73"/>
      <c r="I46" s="73"/>
      <c r="J46" s="73"/>
      <c r="K46" s="73"/>
      <c r="L46" s="73"/>
      <c r="M46" s="73"/>
      <c r="N46" s="73"/>
      <c r="O46" s="73"/>
      <c r="P46" s="73"/>
      <c r="Q46" s="74"/>
      <c r="R46" s="74"/>
      <c r="S46" s="74"/>
      <c r="T46" s="73"/>
      <c r="U46" s="74"/>
      <c r="V46" s="74"/>
      <c r="W46" s="73"/>
      <c r="X46" s="73"/>
      <c r="Y46" s="73"/>
      <c r="Z46" s="73"/>
      <c r="AA46" s="75"/>
      <c r="AB46" s="75"/>
      <c r="AC46" s="55"/>
      <c r="AD46" s="56"/>
      <c r="AE46" s="56"/>
      <c r="AF46" s="56"/>
      <c r="AG46" s="72"/>
      <c r="AH46" s="61"/>
      <c r="AI46" s="49"/>
      <c r="AK46" s="41"/>
    </row>
    <row r="47" spans="1:37" ht="21">
      <c r="A47" s="32" t="s">
        <v>1546</v>
      </c>
      <c r="B47" s="50" t="s">
        <v>14</v>
      </c>
      <c r="C47" s="51" t="s">
        <v>84</v>
      </c>
      <c r="D47" s="52" t="s">
        <v>38</v>
      </c>
      <c r="E47" s="73"/>
      <c r="F47" s="73"/>
      <c r="G47" s="73"/>
      <c r="H47" s="73"/>
      <c r="I47" s="73"/>
      <c r="J47" s="73"/>
      <c r="K47" s="73"/>
      <c r="L47" s="73"/>
      <c r="M47" s="73"/>
      <c r="N47" s="73"/>
      <c r="O47" s="73"/>
      <c r="P47" s="73"/>
      <c r="Q47" s="74"/>
      <c r="R47" s="74"/>
      <c r="S47" s="74"/>
      <c r="T47" s="73"/>
      <c r="U47" s="74"/>
      <c r="V47" s="74"/>
      <c r="W47" s="73"/>
      <c r="X47" s="73"/>
      <c r="Y47" s="73"/>
      <c r="Z47" s="73"/>
      <c r="AA47" s="75"/>
      <c r="AB47" s="75"/>
      <c r="AC47" s="55"/>
      <c r="AD47" s="56"/>
      <c r="AE47" s="56"/>
      <c r="AF47" s="56"/>
      <c r="AG47" s="57"/>
      <c r="AH47" s="58"/>
      <c r="AI47" s="49"/>
      <c r="AK47" s="41"/>
    </row>
    <row r="48" spans="1:37" ht="21">
      <c r="A48" s="32" t="s">
        <v>1545</v>
      </c>
      <c r="B48" s="62" t="s">
        <v>60</v>
      </c>
      <c r="C48" s="63" t="s">
        <v>61</v>
      </c>
      <c r="D48" s="52" t="s">
        <v>38</v>
      </c>
      <c r="E48" s="73"/>
      <c r="F48" s="73"/>
      <c r="G48" s="73"/>
      <c r="H48" s="73"/>
      <c r="I48" s="73"/>
      <c r="J48" s="73"/>
      <c r="K48" s="73"/>
      <c r="L48" s="73"/>
      <c r="M48" s="73"/>
      <c r="N48" s="73"/>
      <c r="O48" s="73"/>
      <c r="P48" s="73"/>
      <c r="Q48" s="74"/>
      <c r="R48" s="74"/>
      <c r="S48" s="74"/>
      <c r="T48" s="73"/>
      <c r="U48" s="74"/>
      <c r="V48" s="74"/>
      <c r="W48" s="73"/>
      <c r="X48" s="73"/>
      <c r="Y48" s="73"/>
      <c r="Z48" s="73"/>
      <c r="AA48" s="75"/>
      <c r="AB48" s="75"/>
      <c r="AC48" s="55"/>
      <c r="AD48" s="56"/>
      <c r="AE48" s="56"/>
      <c r="AF48" s="56"/>
      <c r="AG48" s="57"/>
      <c r="AH48" s="58"/>
      <c r="AI48" s="49"/>
      <c r="AK48" s="41"/>
    </row>
    <row r="49" spans="1:37" ht="21">
      <c r="A49" s="32" t="s">
        <v>1544</v>
      </c>
      <c r="B49" s="62" t="s">
        <v>62</v>
      </c>
      <c r="C49" s="63" t="s">
        <v>63</v>
      </c>
      <c r="D49" s="52"/>
      <c r="E49" s="73"/>
      <c r="F49" s="73"/>
      <c r="G49" s="73"/>
      <c r="H49" s="73"/>
      <c r="I49" s="73"/>
      <c r="J49" s="73"/>
      <c r="K49" s="73"/>
      <c r="L49" s="73"/>
      <c r="M49" s="73"/>
      <c r="N49" s="73"/>
      <c r="O49" s="73"/>
      <c r="P49" s="73"/>
      <c r="Q49" s="74"/>
      <c r="R49" s="74"/>
      <c r="S49" s="74"/>
      <c r="T49" s="73"/>
      <c r="U49" s="74"/>
      <c r="V49" s="74"/>
      <c r="W49" s="73"/>
      <c r="X49" s="73"/>
      <c r="Y49" s="73"/>
      <c r="Z49" s="73"/>
      <c r="AA49" s="75"/>
      <c r="AB49" s="75"/>
      <c r="AC49" s="55"/>
      <c r="AD49" s="56"/>
      <c r="AE49" s="56"/>
      <c r="AF49" s="56"/>
      <c r="AG49" s="72"/>
      <c r="AH49" s="61"/>
      <c r="AI49" s="49"/>
      <c r="AK49" s="41"/>
    </row>
    <row r="50" spans="1:37" ht="21">
      <c r="A50" s="32" t="s">
        <v>1543</v>
      </c>
      <c r="B50" s="50" t="s">
        <v>14</v>
      </c>
      <c r="C50" s="51" t="s">
        <v>64</v>
      </c>
      <c r="D50" s="52" t="s">
        <v>13</v>
      </c>
      <c r="E50" s="73"/>
      <c r="F50" s="73"/>
      <c r="G50" s="73"/>
      <c r="H50" s="73"/>
      <c r="I50" s="73"/>
      <c r="J50" s="73"/>
      <c r="K50" s="73"/>
      <c r="L50" s="73"/>
      <c r="M50" s="73"/>
      <c r="N50" s="73"/>
      <c r="O50" s="73"/>
      <c r="P50" s="73"/>
      <c r="Q50" s="74"/>
      <c r="R50" s="74"/>
      <c r="S50" s="74"/>
      <c r="T50" s="73"/>
      <c r="U50" s="74"/>
      <c r="V50" s="74"/>
      <c r="W50" s="73"/>
      <c r="X50" s="73"/>
      <c r="Y50" s="73"/>
      <c r="Z50" s="73"/>
      <c r="AA50" s="75"/>
      <c r="AB50" s="75"/>
      <c r="AC50" s="55"/>
      <c r="AD50" s="56"/>
      <c r="AE50" s="56"/>
      <c r="AF50" s="56"/>
      <c r="AG50" s="57"/>
      <c r="AH50" s="58"/>
      <c r="AI50" s="49"/>
      <c r="AK50" s="41"/>
    </row>
    <row r="51" spans="1:37" ht="21">
      <c r="A51" s="32" t="s">
        <v>1542</v>
      </c>
      <c r="B51" s="50" t="s">
        <v>15</v>
      </c>
      <c r="C51" s="51" t="s">
        <v>65</v>
      </c>
      <c r="D51" s="52" t="s">
        <v>13</v>
      </c>
      <c r="E51" s="73"/>
      <c r="F51" s="73"/>
      <c r="G51" s="73"/>
      <c r="H51" s="73"/>
      <c r="I51" s="73"/>
      <c r="J51" s="73"/>
      <c r="K51" s="73"/>
      <c r="L51" s="73"/>
      <c r="M51" s="73"/>
      <c r="N51" s="73"/>
      <c r="O51" s="73"/>
      <c r="P51" s="73"/>
      <c r="Q51" s="74"/>
      <c r="R51" s="74"/>
      <c r="S51" s="74"/>
      <c r="T51" s="73"/>
      <c r="U51" s="74"/>
      <c r="V51" s="74"/>
      <c r="W51" s="73"/>
      <c r="X51" s="73"/>
      <c r="Y51" s="73"/>
      <c r="Z51" s="73"/>
      <c r="AA51" s="75"/>
      <c r="AB51" s="75"/>
      <c r="AC51" s="55"/>
      <c r="AD51" s="56"/>
      <c r="AE51" s="56"/>
      <c r="AF51" s="56"/>
      <c r="AG51" s="57"/>
      <c r="AH51" s="58"/>
      <c r="AI51" s="49"/>
      <c r="AK51" s="41"/>
    </row>
    <row r="52" spans="1:37" ht="21">
      <c r="A52" s="32" t="s">
        <v>1541</v>
      </c>
      <c r="B52" s="50" t="s">
        <v>40</v>
      </c>
      <c r="C52" s="51" t="s">
        <v>66</v>
      </c>
      <c r="D52" s="52" t="s">
        <v>13</v>
      </c>
      <c r="E52" s="73"/>
      <c r="F52" s="73"/>
      <c r="G52" s="73"/>
      <c r="H52" s="73"/>
      <c r="I52" s="73"/>
      <c r="J52" s="73"/>
      <c r="K52" s="73"/>
      <c r="L52" s="73"/>
      <c r="M52" s="73"/>
      <c r="N52" s="73"/>
      <c r="O52" s="73"/>
      <c r="P52" s="73"/>
      <c r="Q52" s="74"/>
      <c r="R52" s="74"/>
      <c r="S52" s="74"/>
      <c r="T52" s="73"/>
      <c r="U52" s="74"/>
      <c r="V52" s="74"/>
      <c r="W52" s="73"/>
      <c r="X52" s="73"/>
      <c r="Y52" s="73"/>
      <c r="Z52" s="73"/>
      <c r="AA52" s="75"/>
      <c r="AB52" s="75"/>
      <c r="AC52" s="55"/>
      <c r="AD52" s="56"/>
      <c r="AE52" s="56"/>
      <c r="AF52" s="56"/>
      <c r="AG52" s="57"/>
      <c r="AH52" s="58"/>
      <c r="AI52" s="49"/>
      <c r="AK52" s="41"/>
    </row>
    <row r="53" spans="1:37" ht="21">
      <c r="A53" s="32" t="s">
        <v>1540</v>
      </c>
      <c r="B53" s="62" t="s">
        <v>67</v>
      </c>
      <c r="C53" s="63" t="s">
        <v>68</v>
      </c>
      <c r="D53" s="52"/>
      <c r="E53" s="73"/>
      <c r="F53" s="73"/>
      <c r="G53" s="73"/>
      <c r="H53" s="73"/>
      <c r="I53" s="73"/>
      <c r="J53" s="73"/>
      <c r="K53" s="73"/>
      <c r="L53" s="73"/>
      <c r="M53" s="73"/>
      <c r="N53" s="73"/>
      <c r="O53" s="73"/>
      <c r="P53" s="73"/>
      <c r="Q53" s="74"/>
      <c r="R53" s="74"/>
      <c r="S53" s="74"/>
      <c r="T53" s="73"/>
      <c r="U53" s="74"/>
      <c r="V53" s="74"/>
      <c r="W53" s="73"/>
      <c r="X53" s="73"/>
      <c r="Y53" s="73"/>
      <c r="Z53" s="73"/>
      <c r="AA53" s="75"/>
      <c r="AB53" s="75"/>
      <c r="AC53" s="55"/>
      <c r="AD53" s="56"/>
      <c r="AE53" s="56"/>
      <c r="AF53" s="56"/>
      <c r="AG53" s="72"/>
      <c r="AH53" s="61"/>
      <c r="AI53" s="49"/>
      <c r="AK53" s="41"/>
    </row>
    <row r="54" spans="1:37" ht="21">
      <c r="A54" s="32" t="s">
        <v>1539</v>
      </c>
      <c r="B54" s="50" t="s">
        <v>14</v>
      </c>
      <c r="C54" s="51" t="s">
        <v>69</v>
      </c>
      <c r="D54" s="52" t="s">
        <v>70</v>
      </c>
      <c r="E54" s="73"/>
      <c r="F54" s="73"/>
      <c r="G54" s="73"/>
      <c r="H54" s="73"/>
      <c r="I54" s="73"/>
      <c r="J54" s="73"/>
      <c r="K54" s="73"/>
      <c r="L54" s="73"/>
      <c r="M54" s="73"/>
      <c r="N54" s="73"/>
      <c r="O54" s="73"/>
      <c r="P54" s="73"/>
      <c r="Q54" s="74"/>
      <c r="R54" s="74"/>
      <c r="S54" s="74"/>
      <c r="T54" s="73"/>
      <c r="U54" s="74"/>
      <c r="V54" s="74"/>
      <c r="W54" s="73"/>
      <c r="X54" s="73"/>
      <c r="Y54" s="73"/>
      <c r="Z54" s="73"/>
      <c r="AA54" s="75"/>
      <c r="AB54" s="75"/>
      <c r="AC54" s="55"/>
      <c r="AD54" s="56"/>
      <c r="AE54" s="56"/>
      <c r="AF54" s="56"/>
      <c r="AG54" s="57"/>
      <c r="AH54" s="58"/>
      <c r="AI54" s="49"/>
      <c r="AK54" s="41"/>
    </row>
    <row r="55" spans="1:37" ht="21">
      <c r="A55" s="32" t="s">
        <v>1538</v>
      </c>
      <c r="B55" s="50" t="s">
        <v>15</v>
      </c>
      <c r="C55" s="51" t="s">
        <v>47</v>
      </c>
      <c r="D55" s="52" t="s">
        <v>70</v>
      </c>
      <c r="E55" s="73"/>
      <c r="F55" s="73"/>
      <c r="G55" s="73"/>
      <c r="H55" s="73"/>
      <c r="I55" s="73"/>
      <c r="J55" s="73"/>
      <c r="K55" s="73"/>
      <c r="L55" s="73"/>
      <c r="M55" s="73"/>
      <c r="N55" s="73"/>
      <c r="O55" s="73"/>
      <c r="P55" s="73"/>
      <c r="Q55" s="74"/>
      <c r="R55" s="74"/>
      <c r="S55" s="74"/>
      <c r="T55" s="73"/>
      <c r="U55" s="74"/>
      <c r="V55" s="74"/>
      <c r="W55" s="73"/>
      <c r="X55" s="73"/>
      <c r="Y55" s="73"/>
      <c r="Z55" s="73"/>
      <c r="AA55" s="75"/>
      <c r="AB55" s="75"/>
      <c r="AC55" s="55"/>
      <c r="AD55" s="56"/>
      <c r="AE55" s="56"/>
      <c r="AF55" s="56"/>
      <c r="AG55" s="57"/>
      <c r="AH55" s="58"/>
      <c r="AI55" s="49"/>
      <c r="AK55" s="41"/>
    </row>
    <row r="56" spans="1:37" ht="21">
      <c r="A56" s="32" t="s">
        <v>1537</v>
      </c>
      <c r="B56" s="62" t="s">
        <v>71</v>
      </c>
      <c r="C56" s="63" t="s">
        <v>72</v>
      </c>
      <c r="D56" s="52"/>
      <c r="E56" s="73"/>
      <c r="F56" s="73"/>
      <c r="G56" s="73"/>
      <c r="H56" s="73"/>
      <c r="I56" s="73"/>
      <c r="J56" s="73"/>
      <c r="K56" s="73"/>
      <c r="L56" s="73"/>
      <c r="M56" s="73"/>
      <c r="N56" s="73"/>
      <c r="O56" s="73"/>
      <c r="P56" s="73"/>
      <c r="Q56" s="74"/>
      <c r="R56" s="74"/>
      <c r="S56" s="74"/>
      <c r="T56" s="73"/>
      <c r="U56" s="74"/>
      <c r="V56" s="74"/>
      <c r="W56" s="73"/>
      <c r="X56" s="73"/>
      <c r="Y56" s="73"/>
      <c r="Z56" s="73"/>
      <c r="AA56" s="75"/>
      <c r="AB56" s="75"/>
      <c r="AC56" s="55"/>
      <c r="AD56" s="56"/>
      <c r="AE56" s="56"/>
      <c r="AF56" s="56"/>
      <c r="AG56" s="72"/>
      <c r="AH56" s="61"/>
      <c r="AI56" s="49"/>
      <c r="AK56" s="41"/>
    </row>
    <row r="57" spans="1:37" ht="21">
      <c r="A57" s="32" t="s">
        <v>1536</v>
      </c>
      <c r="B57" s="50" t="s">
        <v>14</v>
      </c>
      <c r="C57" s="51" t="s">
        <v>73</v>
      </c>
      <c r="D57" s="52" t="s">
        <v>38</v>
      </c>
      <c r="E57" s="73"/>
      <c r="F57" s="73"/>
      <c r="G57" s="73"/>
      <c r="H57" s="73"/>
      <c r="I57" s="73"/>
      <c r="J57" s="73"/>
      <c r="K57" s="73"/>
      <c r="L57" s="73"/>
      <c r="M57" s="73"/>
      <c r="N57" s="73"/>
      <c r="O57" s="73"/>
      <c r="P57" s="73"/>
      <c r="Q57" s="74"/>
      <c r="R57" s="74"/>
      <c r="S57" s="74"/>
      <c r="T57" s="73"/>
      <c r="U57" s="74"/>
      <c r="V57" s="74"/>
      <c r="W57" s="73"/>
      <c r="X57" s="73"/>
      <c r="Y57" s="73"/>
      <c r="Z57" s="73"/>
      <c r="AA57" s="75"/>
      <c r="AB57" s="75"/>
      <c r="AC57" s="55"/>
      <c r="AD57" s="56"/>
      <c r="AE57" s="56"/>
      <c r="AF57" s="56"/>
      <c r="AG57" s="57"/>
      <c r="AH57" s="58"/>
      <c r="AI57" s="49"/>
      <c r="AK57" s="41"/>
    </row>
    <row r="58" spans="1:37" ht="21">
      <c r="A58" s="32" t="s">
        <v>1535</v>
      </c>
      <c r="B58" s="50" t="s">
        <v>15</v>
      </c>
      <c r="C58" s="51" t="s">
        <v>74</v>
      </c>
      <c r="D58" s="52" t="s">
        <v>38</v>
      </c>
      <c r="E58" s="73"/>
      <c r="F58" s="73"/>
      <c r="G58" s="73"/>
      <c r="H58" s="73"/>
      <c r="I58" s="73"/>
      <c r="J58" s="73"/>
      <c r="K58" s="73"/>
      <c r="L58" s="73"/>
      <c r="M58" s="73"/>
      <c r="N58" s="73"/>
      <c r="O58" s="73"/>
      <c r="P58" s="73"/>
      <c r="Q58" s="74"/>
      <c r="R58" s="74"/>
      <c r="S58" s="74"/>
      <c r="T58" s="73"/>
      <c r="U58" s="74"/>
      <c r="V58" s="74"/>
      <c r="W58" s="73"/>
      <c r="X58" s="73"/>
      <c r="Y58" s="73"/>
      <c r="Z58" s="73"/>
      <c r="AA58" s="75"/>
      <c r="AB58" s="75"/>
      <c r="AC58" s="55"/>
      <c r="AD58" s="56"/>
      <c r="AE58" s="56"/>
      <c r="AF58" s="56"/>
      <c r="AG58" s="57"/>
      <c r="AH58" s="58"/>
      <c r="AI58" s="49"/>
      <c r="AK58" s="41"/>
    </row>
    <row r="59" spans="1:37" ht="21">
      <c r="A59" s="32" t="s">
        <v>1534</v>
      </c>
      <c r="B59" s="62" t="s">
        <v>75</v>
      </c>
      <c r="C59" s="63" t="s">
        <v>76</v>
      </c>
      <c r="D59" s="52" t="s">
        <v>77</v>
      </c>
      <c r="E59" s="73"/>
      <c r="F59" s="73"/>
      <c r="G59" s="73"/>
      <c r="H59" s="73"/>
      <c r="I59" s="73"/>
      <c r="J59" s="73"/>
      <c r="K59" s="73"/>
      <c r="L59" s="73"/>
      <c r="M59" s="73"/>
      <c r="N59" s="73"/>
      <c r="O59" s="73"/>
      <c r="P59" s="73"/>
      <c r="Q59" s="74"/>
      <c r="R59" s="74"/>
      <c r="S59" s="74"/>
      <c r="T59" s="73"/>
      <c r="U59" s="74"/>
      <c r="V59" s="74"/>
      <c r="W59" s="73"/>
      <c r="X59" s="73"/>
      <c r="Y59" s="73"/>
      <c r="Z59" s="73"/>
      <c r="AA59" s="75"/>
      <c r="AB59" s="75"/>
      <c r="AC59" s="55"/>
      <c r="AD59" s="56"/>
      <c r="AE59" s="56"/>
      <c r="AF59" s="56"/>
      <c r="AG59" s="57"/>
      <c r="AH59" s="58"/>
      <c r="AI59" s="49"/>
      <c r="AK59" s="41"/>
    </row>
    <row r="60" spans="1:37" ht="27.75">
      <c r="A60" s="32" t="s">
        <v>1533</v>
      </c>
      <c r="B60" s="62" t="s">
        <v>78</v>
      </c>
      <c r="C60" s="63" t="s">
        <v>79</v>
      </c>
      <c r="D60" s="52"/>
      <c r="E60" s="73"/>
      <c r="F60" s="73"/>
      <c r="G60" s="73"/>
      <c r="H60" s="73"/>
      <c r="I60" s="73"/>
      <c r="J60" s="73"/>
      <c r="K60" s="73"/>
      <c r="L60" s="73"/>
      <c r="M60" s="73"/>
      <c r="N60" s="73"/>
      <c r="O60" s="73"/>
      <c r="P60" s="73"/>
      <c r="Q60" s="74"/>
      <c r="R60" s="74"/>
      <c r="S60" s="74"/>
      <c r="T60" s="73"/>
      <c r="U60" s="74"/>
      <c r="V60" s="74"/>
      <c r="W60" s="73"/>
      <c r="X60" s="73"/>
      <c r="Y60" s="73"/>
      <c r="Z60" s="73"/>
      <c r="AA60" s="75"/>
      <c r="AB60" s="75"/>
      <c r="AC60" s="55"/>
      <c r="AD60" s="56"/>
      <c r="AE60" s="56"/>
      <c r="AF60" s="56"/>
      <c r="AG60" s="72"/>
      <c r="AH60" s="61"/>
      <c r="AI60" s="49"/>
      <c r="AK60" s="41"/>
    </row>
    <row r="61" spans="1:37" ht="21">
      <c r="A61" s="32" t="s">
        <v>1532</v>
      </c>
      <c r="B61" s="50" t="s">
        <v>14</v>
      </c>
      <c r="C61" s="51" t="s">
        <v>80</v>
      </c>
      <c r="D61" s="52" t="s">
        <v>81</v>
      </c>
      <c r="E61" s="73"/>
      <c r="F61" s="73"/>
      <c r="G61" s="73"/>
      <c r="H61" s="73"/>
      <c r="I61" s="73"/>
      <c r="J61" s="73"/>
      <c r="K61" s="73"/>
      <c r="L61" s="73"/>
      <c r="M61" s="73"/>
      <c r="N61" s="73"/>
      <c r="O61" s="73"/>
      <c r="P61" s="73"/>
      <c r="Q61" s="74"/>
      <c r="R61" s="74"/>
      <c r="S61" s="74"/>
      <c r="T61" s="73"/>
      <c r="U61" s="74"/>
      <c r="V61" s="74"/>
      <c r="W61" s="73"/>
      <c r="X61" s="73"/>
      <c r="Y61" s="73"/>
      <c r="Z61" s="73"/>
      <c r="AA61" s="75"/>
      <c r="AB61" s="75"/>
      <c r="AC61" s="55"/>
      <c r="AD61" s="56"/>
      <c r="AE61" s="56"/>
      <c r="AF61" s="56"/>
      <c r="AG61" s="57"/>
      <c r="AH61" s="58"/>
      <c r="AI61" s="49"/>
      <c r="AK61" s="41"/>
    </row>
    <row r="62" spans="1:37" ht="21">
      <c r="A62" s="32" t="s">
        <v>1531</v>
      </c>
      <c r="B62" s="50" t="s">
        <v>15</v>
      </c>
      <c r="C62" s="51" t="s">
        <v>82</v>
      </c>
      <c r="D62" s="52" t="s">
        <v>81</v>
      </c>
      <c r="E62" s="73"/>
      <c r="F62" s="73"/>
      <c r="G62" s="73"/>
      <c r="H62" s="73"/>
      <c r="I62" s="73"/>
      <c r="J62" s="73"/>
      <c r="K62" s="73"/>
      <c r="L62" s="73"/>
      <c r="M62" s="73"/>
      <c r="N62" s="73"/>
      <c r="O62" s="73"/>
      <c r="P62" s="73"/>
      <c r="Q62" s="74"/>
      <c r="R62" s="74"/>
      <c r="S62" s="74"/>
      <c r="T62" s="73"/>
      <c r="U62" s="74"/>
      <c r="V62" s="74"/>
      <c r="W62" s="73"/>
      <c r="X62" s="73"/>
      <c r="Y62" s="73"/>
      <c r="Z62" s="73"/>
      <c r="AA62" s="75"/>
      <c r="AB62" s="75"/>
      <c r="AC62" s="55"/>
      <c r="AD62" s="56"/>
      <c r="AE62" s="56"/>
      <c r="AF62" s="56"/>
      <c r="AG62" s="57"/>
      <c r="AH62" s="58"/>
      <c r="AI62" s="49"/>
      <c r="AK62" s="41"/>
    </row>
    <row r="63" spans="1:37" ht="21">
      <c r="A63" s="32" t="s">
        <v>1530</v>
      </c>
      <c r="B63" s="50" t="s">
        <v>40</v>
      </c>
      <c r="C63" s="51" t="s">
        <v>83</v>
      </c>
      <c r="D63" s="52" t="s">
        <v>81</v>
      </c>
      <c r="E63" s="73"/>
      <c r="F63" s="73"/>
      <c r="G63" s="73"/>
      <c r="H63" s="73"/>
      <c r="I63" s="73"/>
      <c r="J63" s="73"/>
      <c r="K63" s="73"/>
      <c r="L63" s="73"/>
      <c r="M63" s="73"/>
      <c r="N63" s="73"/>
      <c r="O63" s="73"/>
      <c r="P63" s="73"/>
      <c r="Q63" s="74"/>
      <c r="R63" s="74"/>
      <c r="S63" s="74"/>
      <c r="T63" s="73"/>
      <c r="U63" s="74"/>
      <c r="V63" s="74"/>
      <c r="W63" s="73"/>
      <c r="X63" s="73"/>
      <c r="Y63" s="73"/>
      <c r="Z63" s="73"/>
      <c r="AA63" s="75"/>
      <c r="AB63" s="75"/>
      <c r="AC63" s="55"/>
      <c r="AD63" s="56"/>
      <c r="AE63" s="56"/>
      <c r="AF63" s="56"/>
      <c r="AG63" s="57"/>
      <c r="AH63" s="58"/>
      <c r="AI63" s="49"/>
      <c r="AK63" s="41"/>
    </row>
    <row r="64" spans="1:37" ht="48.75" customHeight="1">
      <c r="A64" s="32" t="s">
        <v>1503</v>
      </c>
      <c r="B64" s="59" t="s">
        <v>1503</v>
      </c>
      <c r="C64" s="60" t="s">
        <v>2448</v>
      </c>
      <c r="D64" s="52"/>
      <c r="E64" s="53"/>
      <c r="F64" s="53"/>
      <c r="G64" s="53"/>
      <c r="H64" s="53"/>
      <c r="I64" s="53"/>
      <c r="J64" s="53"/>
      <c r="K64" s="53"/>
      <c r="L64" s="53"/>
      <c r="M64" s="53"/>
      <c r="N64" s="53"/>
      <c r="O64" s="53"/>
      <c r="P64" s="53"/>
      <c r="Q64" s="54"/>
      <c r="R64" s="54"/>
      <c r="S64" s="54"/>
      <c r="T64" s="53"/>
      <c r="U64" s="54"/>
      <c r="V64" s="54"/>
      <c r="W64" s="53"/>
      <c r="X64" s="53"/>
      <c r="Y64" s="53"/>
      <c r="Z64" s="53"/>
      <c r="AA64" s="55"/>
      <c r="AB64" s="55"/>
      <c r="AC64" s="55"/>
      <c r="AD64" s="56"/>
      <c r="AE64" s="56"/>
      <c r="AF64" s="56"/>
      <c r="AG64" s="72"/>
      <c r="AH64" s="61"/>
      <c r="AI64" s="49"/>
      <c r="AK64" s="41"/>
    </row>
    <row r="65" spans="1:37" ht="21">
      <c r="A65" s="32" t="s">
        <v>1529</v>
      </c>
      <c r="B65" s="69" t="s">
        <v>35</v>
      </c>
      <c r="C65" s="63" t="s">
        <v>36</v>
      </c>
      <c r="D65" s="52"/>
      <c r="E65" s="53"/>
      <c r="F65" s="53"/>
      <c r="G65" s="53"/>
      <c r="H65" s="53"/>
      <c r="I65" s="53"/>
      <c r="J65" s="53"/>
      <c r="K65" s="53"/>
      <c r="L65" s="53"/>
      <c r="M65" s="53"/>
      <c r="N65" s="53"/>
      <c r="O65" s="53"/>
      <c r="P65" s="53"/>
      <c r="Q65" s="54"/>
      <c r="R65" s="54"/>
      <c r="S65" s="54"/>
      <c r="T65" s="53"/>
      <c r="U65" s="54"/>
      <c r="V65" s="54"/>
      <c r="W65" s="53"/>
      <c r="X65" s="53"/>
      <c r="Y65" s="53"/>
      <c r="Z65" s="53"/>
      <c r="AA65" s="55"/>
      <c r="AB65" s="55"/>
      <c r="AC65" s="55"/>
      <c r="AD65" s="56"/>
      <c r="AE65" s="56"/>
      <c r="AF65" s="56"/>
      <c r="AG65" s="72"/>
      <c r="AH65" s="61"/>
      <c r="AI65" s="49"/>
      <c r="AK65" s="41"/>
    </row>
    <row r="66" spans="1:37" ht="21">
      <c r="A66" s="32" t="s">
        <v>1528</v>
      </c>
      <c r="B66" s="50" t="s">
        <v>14</v>
      </c>
      <c r="C66" s="51" t="s">
        <v>85</v>
      </c>
      <c r="D66" s="52" t="s">
        <v>38</v>
      </c>
      <c r="E66" s="76"/>
      <c r="F66" s="76"/>
      <c r="G66" s="76"/>
      <c r="H66" s="76"/>
      <c r="I66" s="76"/>
      <c r="J66" s="76"/>
      <c r="K66" s="76"/>
      <c r="L66" s="76"/>
      <c r="M66" s="76"/>
      <c r="N66" s="76"/>
      <c r="O66" s="76"/>
      <c r="P66" s="76"/>
      <c r="Q66" s="77"/>
      <c r="R66" s="77"/>
      <c r="S66" s="77"/>
      <c r="T66" s="76"/>
      <c r="U66" s="77"/>
      <c r="V66" s="77"/>
      <c r="W66" s="76"/>
      <c r="X66" s="76"/>
      <c r="Y66" s="76"/>
      <c r="Z66" s="76"/>
      <c r="AA66" s="78"/>
      <c r="AB66" s="78"/>
      <c r="AC66" s="55"/>
      <c r="AD66" s="56"/>
      <c r="AE66" s="56"/>
      <c r="AF66" s="56"/>
      <c r="AG66" s="57"/>
      <c r="AH66" s="58"/>
      <c r="AI66" s="49"/>
      <c r="AK66" s="41"/>
    </row>
    <row r="67" spans="1:37" ht="21">
      <c r="A67" s="32" t="s">
        <v>1526</v>
      </c>
      <c r="B67" s="50" t="s">
        <v>15</v>
      </c>
      <c r="C67" s="51" t="s">
        <v>86</v>
      </c>
      <c r="D67" s="52" t="s">
        <v>38</v>
      </c>
      <c r="E67" s="76"/>
      <c r="F67" s="76"/>
      <c r="G67" s="76"/>
      <c r="H67" s="76"/>
      <c r="I67" s="76"/>
      <c r="J67" s="76"/>
      <c r="K67" s="76"/>
      <c r="L67" s="76"/>
      <c r="M67" s="76"/>
      <c r="N67" s="76"/>
      <c r="O67" s="76"/>
      <c r="P67" s="76"/>
      <c r="Q67" s="77"/>
      <c r="R67" s="77"/>
      <c r="S67" s="77"/>
      <c r="T67" s="76"/>
      <c r="U67" s="77"/>
      <c r="V67" s="77"/>
      <c r="W67" s="76"/>
      <c r="X67" s="76"/>
      <c r="Y67" s="76"/>
      <c r="Z67" s="76"/>
      <c r="AA67" s="78"/>
      <c r="AB67" s="78"/>
      <c r="AC67" s="55"/>
      <c r="AD67" s="56"/>
      <c r="AE67" s="56"/>
      <c r="AF67" s="56"/>
      <c r="AG67" s="57"/>
      <c r="AH67" s="58"/>
      <c r="AI67" s="49"/>
      <c r="AK67" s="41"/>
    </row>
    <row r="68" spans="1:37" ht="21">
      <c r="A68" s="32" t="s">
        <v>1527</v>
      </c>
      <c r="B68" s="69" t="s">
        <v>42</v>
      </c>
      <c r="C68" s="63" t="s">
        <v>87</v>
      </c>
      <c r="D68" s="52"/>
      <c r="E68" s="53"/>
      <c r="F68" s="53"/>
      <c r="G68" s="53"/>
      <c r="H68" s="53"/>
      <c r="I68" s="53"/>
      <c r="J68" s="53"/>
      <c r="K68" s="53"/>
      <c r="L68" s="53"/>
      <c r="M68" s="53"/>
      <c r="N68" s="53"/>
      <c r="O68" s="53"/>
      <c r="P68" s="53"/>
      <c r="Q68" s="54"/>
      <c r="R68" s="54"/>
      <c r="S68" s="54"/>
      <c r="T68" s="53"/>
      <c r="U68" s="54"/>
      <c r="V68" s="54"/>
      <c r="W68" s="53"/>
      <c r="X68" s="53"/>
      <c r="Y68" s="53"/>
      <c r="Z68" s="53"/>
      <c r="AA68" s="55"/>
      <c r="AB68" s="55"/>
      <c r="AC68" s="55"/>
      <c r="AD68" s="56"/>
      <c r="AE68" s="56"/>
      <c r="AF68" s="56"/>
      <c r="AG68" s="56"/>
      <c r="AH68" s="61"/>
      <c r="AI68" s="49"/>
      <c r="AK68" s="41"/>
    </row>
    <row r="69" spans="1:37" ht="21">
      <c r="A69" s="32" t="s">
        <v>1525</v>
      </c>
      <c r="B69" s="50" t="s">
        <v>14</v>
      </c>
      <c r="C69" s="51" t="s">
        <v>88</v>
      </c>
      <c r="D69" s="52" t="s">
        <v>38</v>
      </c>
      <c r="E69" s="76"/>
      <c r="F69" s="76"/>
      <c r="G69" s="76"/>
      <c r="H69" s="76"/>
      <c r="I69" s="76"/>
      <c r="J69" s="76"/>
      <c r="K69" s="76"/>
      <c r="L69" s="76"/>
      <c r="M69" s="76"/>
      <c r="N69" s="76"/>
      <c r="O69" s="76"/>
      <c r="P69" s="76"/>
      <c r="Q69" s="77"/>
      <c r="R69" s="77"/>
      <c r="S69" s="77"/>
      <c r="T69" s="76"/>
      <c r="U69" s="77"/>
      <c r="V69" s="77"/>
      <c r="W69" s="76"/>
      <c r="X69" s="76"/>
      <c r="Y69" s="76"/>
      <c r="Z69" s="76"/>
      <c r="AA69" s="78"/>
      <c r="AB69" s="78"/>
      <c r="AC69" s="55"/>
      <c r="AD69" s="56"/>
      <c r="AE69" s="56"/>
      <c r="AF69" s="56"/>
      <c r="AG69" s="57"/>
      <c r="AH69" s="58"/>
      <c r="AI69" s="49"/>
      <c r="AK69" s="41"/>
    </row>
    <row r="70" spans="1:37" ht="21">
      <c r="A70" s="32" t="s">
        <v>1524</v>
      </c>
      <c r="B70" s="79" t="s">
        <v>15</v>
      </c>
      <c r="C70" s="51" t="s">
        <v>86</v>
      </c>
      <c r="D70" s="52" t="s">
        <v>38</v>
      </c>
      <c r="E70" s="76"/>
      <c r="F70" s="76"/>
      <c r="G70" s="76"/>
      <c r="H70" s="76"/>
      <c r="I70" s="76"/>
      <c r="J70" s="76"/>
      <c r="K70" s="76"/>
      <c r="L70" s="76"/>
      <c r="M70" s="76"/>
      <c r="N70" s="76"/>
      <c r="O70" s="76"/>
      <c r="P70" s="76"/>
      <c r="Q70" s="77"/>
      <c r="R70" s="77"/>
      <c r="S70" s="77"/>
      <c r="T70" s="76"/>
      <c r="U70" s="77"/>
      <c r="V70" s="77"/>
      <c r="W70" s="76"/>
      <c r="X70" s="76"/>
      <c r="Y70" s="76"/>
      <c r="Z70" s="76"/>
      <c r="AA70" s="78"/>
      <c r="AB70" s="78"/>
      <c r="AC70" s="55"/>
      <c r="AD70" s="56"/>
      <c r="AE70" s="56"/>
      <c r="AF70" s="56"/>
      <c r="AG70" s="57"/>
      <c r="AH70" s="58"/>
      <c r="AI70" s="49"/>
      <c r="AK70" s="41"/>
    </row>
    <row r="71" spans="1:37" ht="53.25">
      <c r="A71" s="32" t="s">
        <v>1504</v>
      </c>
      <c r="B71" s="59" t="s">
        <v>1504</v>
      </c>
      <c r="C71" s="60" t="s">
        <v>2449</v>
      </c>
      <c r="D71" s="52" t="s">
        <v>38</v>
      </c>
      <c r="E71" s="53"/>
      <c r="F71" s="53"/>
      <c r="G71" s="53"/>
      <c r="H71" s="53"/>
      <c r="I71" s="53"/>
      <c r="J71" s="53"/>
      <c r="K71" s="53"/>
      <c r="L71" s="53"/>
      <c r="M71" s="53"/>
      <c r="N71" s="53"/>
      <c r="O71" s="53"/>
      <c r="P71" s="53"/>
      <c r="Q71" s="54"/>
      <c r="R71" s="54"/>
      <c r="S71" s="54"/>
      <c r="T71" s="53"/>
      <c r="U71" s="54"/>
      <c r="V71" s="54"/>
      <c r="W71" s="53"/>
      <c r="X71" s="53"/>
      <c r="Y71" s="53"/>
      <c r="Z71" s="53"/>
      <c r="AA71" s="55"/>
      <c r="AB71" s="55"/>
      <c r="AC71" s="55"/>
      <c r="AD71" s="56"/>
      <c r="AE71" s="56"/>
      <c r="AF71" s="56"/>
      <c r="AG71" s="57"/>
      <c r="AH71" s="58"/>
      <c r="AI71" s="49"/>
      <c r="AK71" s="41"/>
    </row>
    <row r="72" spans="1:37" ht="40.5">
      <c r="A72" s="32" t="s">
        <v>1505</v>
      </c>
      <c r="B72" s="59" t="s">
        <v>1505</v>
      </c>
      <c r="C72" s="60" t="s">
        <v>2450</v>
      </c>
      <c r="D72" s="52" t="s">
        <v>81</v>
      </c>
      <c r="E72" s="53"/>
      <c r="F72" s="53"/>
      <c r="G72" s="53"/>
      <c r="H72" s="53"/>
      <c r="I72" s="53"/>
      <c r="J72" s="53"/>
      <c r="K72" s="53"/>
      <c r="L72" s="53"/>
      <c r="M72" s="53"/>
      <c r="N72" s="53"/>
      <c r="O72" s="53"/>
      <c r="P72" s="53"/>
      <c r="Q72" s="54"/>
      <c r="R72" s="54"/>
      <c r="S72" s="54"/>
      <c r="T72" s="53"/>
      <c r="U72" s="54"/>
      <c r="V72" s="54"/>
      <c r="W72" s="53"/>
      <c r="X72" s="53"/>
      <c r="Y72" s="53"/>
      <c r="Z72" s="53"/>
      <c r="AA72" s="55"/>
      <c r="AB72" s="55"/>
      <c r="AC72" s="55"/>
      <c r="AD72" s="56"/>
      <c r="AE72" s="56"/>
      <c r="AF72" s="56"/>
      <c r="AG72" s="57"/>
      <c r="AH72" s="58"/>
      <c r="AI72" s="49"/>
      <c r="AK72" s="41"/>
    </row>
    <row r="73" spans="1:37" ht="27.75">
      <c r="A73" s="32" t="s">
        <v>1506</v>
      </c>
      <c r="B73" s="59" t="s">
        <v>1506</v>
      </c>
      <c r="C73" s="60" t="s">
        <v>2451</v>
      </c>
      <c r="D73" s="52" t="s">
        <v>81</v>
      </c>
      <c r="E73" s="53"/>
      <c r="F73" s="53"/>
      <c r="G73" s="53"/>
      <c r="H73" s="53"/>
      <c r="I73" s="53"/>
      <c r="J73" s="53"/>
      <c r="K73" s="53"/>
      <c r="L73" s="53"/>
      <c r="M73" s="53"/>
      <c r="N73" s="53"/>
      <c r="O73" s="53"/>
      <c r="P73" s="53"/>
      <c r="Q73" s="54"/>
      <c r="R73" s="54"/>
      <c r="S73" s="54"/>
      <c r="T73" s="53"/>
      <c r="U73" s="54"/>
      <c r="V73" s="54"/>
      <c r="W73" s="53"/>
      <c r="X73" s="53"/>
      <c r="Y73" s="53"/>
      <c r="Z73" s="53"/>
      <c r="AA73" s="55"/>
      <c r="AB73" s="55"/>
      <c r="AC73" s="55"/>
      <c r="AD73" s="56"/>
      <c r="AE73" s="56"/>
      <c r="AF73" s="56"/>
      <c r="AG73" s="57"/>
      <c r="AH73" s="58"/>
      <c r="AI73" s="49"/>
      <c r="AK73" s="41"/>
    </row>
    <row r="74" spans="1:37" ht="42.75" customHeight="1">
      <c r="A74" s="32" t="s">
        <v>1507</v>
      </c>
      <c r="B74" s="59" t="s">
        <v>1507</v>
      </c>
      <c r="C74" s="60" t="s">
        <v>2452</v>
      </c>
      <c r="D74" s="52" t="s">
        <v>81</v>
      </c>
      <c r="E74" s="53"/>
      <c r="F74" s="53"/>
      <c r="G74" s="53"/>
      <c r="H74" s="53"/>
      <c r="I74" s="53"/>
      <c r="J74" s="53"/>
      <c r="K74" s="53"/>
      <c r="L74" s="53"/>
      <c r="M74" s="53"/>
      <c r="N74" s="53"/>
      <c r="O74" s="53"/>
      <c r="P74" s="53"/>
      <c r="Q74" s="54"/>
      <c r="R74" s="54"/>
      <c r="S74" s="54"/>
      <c r="T74" s="53"/>
      <c r="U74" s="54"/>
      <c r="V74" s="54"/>
      <c r="W74" s="53"/>
      <c r="X74" s="53"/>
      <c r="Y74" s="53"/>
      <c r="Z74" s="53"/>
      <c r="AA74" s="55"/>
      <c r="AB74" s="55"/>
      <c r="AC74" s="55"/>
      <c r="AD74" s="56"/>
      <c r="AE74" s="56"/>
      <c r="AF74" s="56"/>
      <c r="AG74" s="57"/>
      <c r="AH74" s="58"/>
      <c r="AI74" s="49"/>
      <c r="AK74" s="41"/>
    </row>
    <row r="75" spans="1:37" ht="42.75" customHeight="1">
      <c r="A75" s="32" t="s">
        <v>89</v>
      </c>
      <c r="B75" s="59" t="s">
        <v>89</v>
      </c>
      <c r="C75" s="60" t="s">
        <v>2453</v>
      </c>
      <c r="D75" s="52"/>
      <c r="E75" s="53"/>
      <c r="F75" s="53"/>
      <c r="G75" s="53"/>
      <c r="H75" s="53"/>
      <c r="I75" s="53"/>
      <c r="J75" s="53"/>
      <c r="K75" s="53"/>
      <c r="L75" s="53"/>
      <c r="M75" s="53"/>
      <c r="N75" s="53"/>
      <c r="O75" s="53"/>
      <c r="P75" s="53"/>
      <c r="Q75" s="54"/>
      <c r="R75" s="54"/>
      <c r="S75" s="54"/>
      <c r="T75" s="53"/>
      <c r="U75" s="54"/>
      <c r="V75" s="54"/>
      <c r="W75" s="53"/>
      <c r="X75" s="53"/>
      <c r="Y75" s="53"/>
      <c r="Z75" s="53"/>
      <c r="AA75" s="55"/>
      <c r="AB75" s="55"/>
      <c r="AC75" s="55"/>
      <c r="AD75" s="56"/>
      <c r="AE75" s="56"/>
      <c r="AF75" s="56"/>
      <c r="AG75" s="56"/>
      <c r="AH75" s="61"/>
      <c r="AI75" s="49"/>
      <c r="AK75" s="41"/>
    </row>
    <row r="76" spans="1:37" ht="21">
      <c r="A76" s="32" t="s">
        <v>882</v>
      </c>
      <c r="B76" s="50" t="s">
        <v>14</v>
      </c>
      <c r="C76" s="51" t="s">
        <v>90</v>
      </c>
      <c r="D76" s="52" t="s">
        <v>33</v>
      </c>
      <c r="E76" s="76"/>
      <c r="F76" s="76"/>
      <c r="G76" s="76"/>
      <c r="H76" s="76"/>
      <c r="I76" s="76"/>
      <c r="J76" s="76"/>
      <c r="K76" s="76"/>
      <c r="L76" s="76"/>
      <c r="M76" s="76"/>
      <c r="N76" s="76"/>
      <c r="O76" s="76"/>
      <c r="P76" s="76"/>
      <c r="Q76" s="77"/>
      <c r="R76" s="77"/>
      <c r="S76" s="77"/>
      <c r="T76" s="76"/>
      <c r="U76" s="77"/>
      <c r="V76" s="77"/>
      <c r="W76" s="76"/>
      <c r="X76" s="76"/>
      <c r="Y76" s="76"/>
      <c r="Z76" s="76"/>
      <c r="AA76" s="78"/>
      <c r="AB76" s="78"/>
      <c r="AC76" s="55"/>
      <c r="AD76" s="56"/>
      <c r="AE76" s="56"/>
      <c r="AF76" s="56"/>
      <c r="AG76" s="57"/>
      <c r="AH76" s="58"/>
      <c r="AI76" s="49"/>
      <c r="AK76" s="41"/>
    </row>
    <row r="77" spans="1:37" ht="21">
      <c r="A77" s="32" t="s">
        <v>883</v>
      </c>
      <c r="B77" s="50" t="s">
        <v>15</v>
      </c>
      <c r="C77" s="51" t="s">
        <v>91</v>
      </c>
      <c r="D77" s="52" t="s">
        <v>33</v>
      </c>
      <c r="E77" s="76"/>
      <c r="F77" s="76"/>
      <c r="G77" s="76"/>
      <c r="H77" s="76"/>
      <c r="I77" s="76"/>
      <c r="J77" s="76"/>
      <c r="K77" s="76"/>
      <c r="L77" s="76"/>
      <c r="M77" s="76"/>
      <c r="N77" s="76"/>
      <c r="O77" s="76"/>
      <c r="P77" s="76"/>
      <c r="Q77" s="77"/>
      <c r="R77" s="77"/>
      <c r="S77" s="77"/>
      <c r="T77" s="76"/>
      <c r="U77" s="77"/>
      <c r="V77" s="77"/>
      <c r="W77" s="76"/>
      <c r="X77" s="76"/>
      <c r="Y77" s="76"/>
      <c r="Z77" s="76"/>
      <c r="AA77" s="78"/>
      <c r="AB77" s="78"/>
      <c r="AC77" s="55"/>
      <c r="AD77" s="56"/>
      <c r="AE77" s="56"/>
      <c r="AF77" s="56"/>
      <c r="AG77" s="57"/>
      <c r="AH77" s="58"/>
      <c r="AI77" s="49"/>
      <c r="AK77" s="41"/>
    </row>
    <row r="78" spans="1:37" ht="21">
      <c r="A78" s="32" t="s">
        <v>884</v>
      </c>
      <c r="B78" s="50" t="s">
        <v>40</v>
      </c>
      <c r="C78" s="51" t="s">
        <v>92</v>
      </c>
      <c r="D78" s="52" t="s">
        <v>33</v>
      </c>
      <c r="E78" s="76"/>
      <c r="F78" s="76"/>
      <c r="G78" s="76"/>
      <c r="H78" s="76"/>
      <c r="I78" s="76"/>
      <c r="J78" s="76"/>
      <c r="K78" s="76"/>
      <c r="L78" s="76"/>
      <c r="M78" s="76"/>
      <c r="N78" s="76"/>
      <c r="O78" s="76"/>
      <c r="P78" s="76"/>
      <c r="Q78" s="77"/>
      <c r="R78" s="77"/>
      <c r="S78" s="77"/>
      <c r="T78" s="76"/>
      <c r="U78" s="77"/>
      <c r="V78" s="77"/>
      <c r="W78" s="76"/>
      <c r="X78" s="76"/>
      <c r="Y78" s="76"/>
      <c r="Z78" s="76"/>
      <c r="AA78" s="78"/>
      <c r="AB78" s="78"/>
      <c r="AC78" s="55"/>
      <c r="AD78" s="56"/>
      <c r="AE78" s="56"/>
      <c r="AF78" s="56"/>
      <c r="AG78" s="57"/>
      <c r="AH78" s="58"/>
      <c r="AI78" s="49"/>
      <c r="AK78" s="41"/>
    </row>
    <row r="79" spans="1:37" ht="53.25">
      <c r="A79" s="32" t="s">
        <v>93</v>
      </c>
      <c r="B79" s="59" t="s">
        <v>93</v>
      </c>
      <c r="C79" s="60" t="s">
        <v>2454</v>
      </c>
      <c r="D79" s="52" t="s">
        <v>81</v>
      </c>
      <c r="E79" s="53"/>
      <c r="F79" s="53"/>
      <c r="G79" s="53"/>
      <c r="H79" s="53"/>
      <c r="I79" s="53"/>
      <c r="J79" s="53"/>
      <c r="K79" s="53"/>
      <c r="L79" s="53"/>
      <c r="M79" s="53"/>
      <c r="N79" s="53"/>
      <c r="O79" s="53"/>
      <c r="P79" s="53"/>
      <c r="Q79" s="54"/>
      <c r="R79" s="54"/>
      <c r="S79" s="54"/>
      <c r="T79" s="53"/>
      <c r="U79" s="54"/>
      <c r="V79" s="54"/>
      <c r="W79" s="53"/>
      <c r="X79" s="53"/>
      <c r="Y79" s="53"/>
      <c r="Z79" s="53"/>
      <c r="AA79" s="55"/>
      <c r="AB79" s="55"/>
      <c r="AC79" s="55"/>
      <c r="AD79" s="56"/>
      <c r="AE79" s="56"/>
      <c r="AF79" s="56"/>
      <c r="AG79" s="57"/>
      <c r="AH79" s="58"/>
      <c r="AI79" s="49"/>
      <c r="AK79" s="41"/>
    </row>
    <row r="80" spans="1:37" ht="40.5">
      <c r="A80" s="32" t="s">
        <v>94</v>
      </c>
      <c r="B80" s="59" t="s">
        <v>94</v>
      </c>
      <c r="C80" s="60" t="s">
        <v>2455</v>
      </c>
      <c r="D80" s="52" t="s">
        <v>81</v>
      </c>
      <c r="E80" s="53"/>
      <c r="F80" s="53"/>
      <c r="G80" s="53"/>
      <c r="H80" s="53"/>
      <c r="I80" s="53"/>
      <c r="J80" s="53"/>
      <c r="K80" s="53"/>
      <c r="L80" s="53"/>
      <c r="M80" s="53"/>
      <c r="N80" s="53"/>
      <c r="O80" s="53"/>
      <c r="P80" s="53"/>
      <c r="Q80" s="54"/>
      <c r="R80" s="54"/>
      <c r="S80" s="54"/>
      <c r="T80" s="53"/>
      <c r="U80" s="54"/>
      <c r="V80" s="54"/>
      <c r="W80" s="53"/>
      <c r="X80" s="53"/>
      <c r="Y80" s="53"/>
      <c r="Z80" s="53"/>
      <c r="AA80" s="55"/>
      <c r="AB80" s="55"/>
      <c r="AC80" s="55"/>
      <c r="AD80" s="56"/>
      <c r="AE80" s="56"/>
      <c r="AF80" s="56"/>
      <c r="AG80" s="57"/>
      <c r="AH80" s="58"/>
      <c r="AI80" s="49"/>
      <c r="AK80" s="41"/>
    </row>
    <row r="81" spans="1:38" ht="53.25">
      <c r="A81" s="32" t="s">
        <v>95</v>
      </c>
      <c r="B81" s="59" t="s">
        <v>95</v>
      </c>
      <c r="C81" s="60" t="s">
        <v>2456</v>
      </c>
      <c r="D81" s="52" t="s">
        <v>81</v>
      </c>
      <c r="E81" s="53"/>
      <c r="F81" s="53"/>
      <c r="G81" s="53"/>
      <c r="H81" s="53"/>
      <c r="I81" s="53"/>
      <c r="J81" s="53"/>
      <c r="K81" s="53"/>
      <c r="L81" s="53"/>
      <c r="M81" s="53"/>
      <c r="N81" s="53"/>
      <c r="O81" s="53"/>
      <c r="P81" s="53"/>
      <c r="Q81" s="54"/>
      <c r="R81" s="54"/>
      <c r="S81" s="54"/>
      <c r="T81" s="53"/>
      <c r="U81" s="54"/>
      <c r="V81" s="54"/>
      <c r="W81" s="53"/>
      <c r="X81" s="53"/>
      <c r="Y81" s="53"/>
      <c r="Z81" s="53"/>
      <c r="AA81" s="55"/>
      <c r="AB81" s="55"/>
      <c r="AC81" s="55"/>
      <c r="AD81" s="56"/>
      <c r="AE81" s="56"/>
      <c r="AF81" s="56"/>
      <c r="AG81" s="57"/>
      <c r="AH81" s="58"/>
      <c r="AI81" s="49"/>
      <c r="AK81" s="41"/>
    </row>
    <row r="82" spans="1:38" ht="53.25">
      <c r="A82" s="32" t="s">
        <v>96</v>
      </c>
      <c r="B82" s="59" t="s">
        <v>96</v>
      </c>
      <c r="C82" s="60" t="s">
        <v>2457</v>
      </c>
      <c r="D82" s="52" t="s">
        <v>33</v>
      </c>
      <c r="E82" s="53"/>
      <c r="F82" s="53"/>
      <c r="G82" s="53"/>
      <c r="H82" s="53"/>
      <c r="I82" s="53"/>
      <c r="J82" s="53"/>
      <c r="K82" s="53"/>
      <c r="L82" s="53"/>
      <c r="M82" s="53"/>
      <c r="N82" s="53"/>
      <c r="O82" s="53"/>
      <c r="P82" s="53"/>
      <c r="Q82" s="54"/>
      <c r="R82" s="54"/>
      <c r="S82" s="54"/>
      <c r="T82" s="53"/>
      <c r="U82" s="54"/>
      <c r="V82" s="54"/>
      <c r="W82" s="53"/>
      <c r="X82" s="53"/>
      <c r="Y82" s="53"/>
      <c r="Z82" s="53"/>
      <c r="AA82" s="55"/>
      <c r="AB82" s="55"/>
      <c r="AC82" s="55"/>
      <c r="AD82" s="56"/>
      <c r="AE82" s="56"/>
      <c r="AF82" s="56"/>
      <c r="AG82" s="57"/>
      <c r="AH82" s="58"/>
      <c r="AI82" s="49"/>
      <c r="AK82" s="41"/>
    </row>
    <row r="83" spans="1:38" ht="21">
      <c r="A83" s="32" t="s">
        <v>1476</v>
      </c>
      <c r="B83" s="80"/>
      <c r="C83" s="33" t="s">
        <v>1477</v>
      </c>
      <c r="D83" s="80"/>
      <c r="E83" s="81"/>
      <c r="F83" s="81"/>
      <c r="G83" s="81"/>
      <c r="H83" s="81"/>
      <c r="I83" s="81"/>
      <c r="J83" s="81"/>
      <c r="K83" s="81"/>
      <c r="L83" s="81"/>
      <c r="M83" s="81"/>
      <c r="N83" s="81"/>
      <c r="O83" s="81"/>
      <c r="P83" s="81"/>
      <c r="Q83" s="82"/>
      <c r="R83" s="82"/>
      <c r="S83" s="82"/>
      <c r="T83" s="81"/>
      <c r="U83" s="82"/>
      <c r="V83" s="82"/>
      <c r="W83" s="81"/>
      <c r="X83" s="81"/>
      <c r="Y83" s="81"/>
      <c r="Z83" s="81"/>
      <c r="AA83" s="83"/>
      <c r="AB83" s="83"/>
      <c r="AC83" s="61"/>
      <c r="AD83" s="61"/>
      <c r="AE83" s="61"/>
      <c r="AF83" s="28"/>
      <c r="AG83" s="84"/>
      <c r="AH83" s="48"/>
      <c r="AI83" s="49"/>
      <c r="AK83" s="41"/>
      <c r="AL83" s="85"/>
    </row>
    <row r="84" spans="1:38" ht="27.75">
      <c r="A84" s="32" t="s">
        <v>2264</v>
      </c>
      <c r="B84" s="86">
        <v>3.01</v>
      </c>
      <c r="C84" s="87" t="s">
        <v>2458</v>
      </c>
      <c r="D84" s="88" t="s">
        <v>38</v>
      </c>
      <c r="E84" s="73"/>
      <c r="F84" s="73"/>
      <c r="G84" s="73"/>
      <c r="H84" s="73"/>
      <c r="I84" s="73"/>
      <c r="J84" s="73"/>
      <c r="K84" s="73"/>
      <c r="L84" s="73"/>
      <c r="M84" s="73"/>
      <c r="N84" s="73"/>
      <c r="O84" s="73"/>
      <c r="P84" s="73"/>
      <c r="Q84" s="74"/>
      <c r="R84" s="74"/>
      <c r="S84" s="74"/>
      <c r="T84" s="73"/>
      <c r="U84" s="74"/>
      <c r="V84" s="74"/>
      <c r="W84" s="73"/>
      <c r="X84" s="73"/>
      <c r="Y84" s="73"/>
      <c r="Z84" s="73"/>
      <c r="AA84" s="75"/>
      <c r="AB84" s="75"/>
      <c r="AC84" s="55"/>
      <c r="AD84" s="89"/>
      <c r="AE84" s="89"/>
      <c r="AF84" s="89"/>
      <c r="AG84" s="57"/>
      <c r="AH84" s="58"/>
      <c r="AI84" s="49"/>
      <c r="AK84" s="41"/>
    </row>
    <row r="85" spans="1:38" ht="40.5">
      <c r="A85" s="32" t="s">
        <v>2265</v>
      </c>
      <c r="B85" s="86">
        <v>3.02</v>
      </c>
      <c r="C85" s="87" t="s">
        <v>2459</v>
      </c>
      <c r="D85" s="88" t="s">
        <v>38</v>
      </c>
      <c r="E85" s="73"/>
      <c r="F85" s="73"/>
      <c r="G85" s="73"/>
      <c r="H85" s="73"/>
      <c r="I85" s="73"/>
      <c r="J85" s="73"/>
      <c r="K85" s="73"/>
      <c r="L85" s="73"/>
      <c r="M85" s="73"/>
      <c r="N85" s="73"/>
      <c r="O85" s="73"/>
      <c r="P85" s="73"/>
      <c r="Q85" s="74"/>
      <c r="R85" s="74"/>
      <c r="S85" s="74"/>
      <c r="T85" s="73"/>
      <c r="U85" s="74"/>
      <c r="V85" s="74"/>
      <c r="W85" s="73"/>
      <c r="X85" s="73"/>
      <c r="Y85" s="73"/>
      <c r="Z85" s="73"/>
      <c r="AA85" s="75"/>
      <c r="AB85" s="75"/>
      <c r="AC85" s="55"/>
      <c r="AD85" s="89"/>
      <c r="AE85" s="89"/>
      <c r="AF85" s="89"/>
      <c r="AG85" s="57"/>
      <c r="AH85" s="58"/>
      <c r="AI85" s="49"/>
      <c r="AK85" s="41"/>
    </row>
    <row r="86" spans="1:38" ht="53.25">
      <c r="A86" s="32" t="s">
        <v>2266</v>
      </c>
      <c r="B86" s="86">
        <v>3.03</v>
      </c>
      <c r="C86" s="87" t="s">
        <v>2460</v>
      </c>
      <c r="D86" s="88" t="s">
        <v>38</v>
      </c>
      <c r="E86" s="73"/>
      <c r="F86" s="73"/>
      <c r="G86" s="73"/>
      <c r="H86" s="73"/>
      <c r="I86" s="73"/>
      <c r="J86" s="73"/>
      <c r="K86" s="73"/>
      <c r="L86" s="73"/>
      <c r="M86" s="73"/>
      <c r="N86" s="73"/>
      <c r="O86" s="73"/>
      <c r="P86" s="73"/>
      <c r="Q86" s="74"/>
      <c r="R86" s="74"/>
      <c r="S86" s="74"/>
      <c r="T86" s="73"/>
      <c r="U86" s="74"/>
      <c r="V86" s="74"/>
      <c r="W86" s="73"/>
      <c r="X86" s="73"/>
      <c r="Y86" s="73"/>
      <c r="Z86" s="73"/>
      <c r="AA86" s="75"/>
      <c r="AB86" s="75"/>
      <c r="AC86" s="55"/>
      <c r="AD86" s="89"/>
      <c r="AE86" s="89"/>
      <c r="AF86" s="89"/>
      <c r="AG86" s="57"/>
      <c r="AH86" s="58"/>
      <c r="AI86" s="49"/>
      <c r="AK86" s="41"/>
    </row>
    <row r="87" spans="1:38" ht="53.25">
      <c r="A87" s="32" t="s">
        <v>2267</v>
      </c>
      <c r="B87" s="86">
        <v>3.04</v>
      </c>
      <c r="C87" s="87" t="s">
        <v>2461</v>
      </c>
      <c r="D87" s="88" t="s">
        <v>38</v>
      </c>
      <c r="E87" s="73"/>
      <c r="F87" s="73"/>
      <c r="G87" s="73"/>
      <c r="H87" s="73"/>
      <c r="I87" s="73"/>
      <c r="J87" s="73"/>
      <c r="K87" s="73"/>
      <c r="L87" s="73"/>
      <c r="M87" s="73"/>
      <c r="N87" s="73"/>
      <c r="O87" s="73"/>
      <c r="P87" s="73"/>
      <c r="Q87" s="74"/>
      <c r="R87" s="74"/>
      <c r="S87" s="74"/>
      <c r="T87" s="73"/>
      <c r="U87" s="74"/>
      <c r="V87" s="74"/>
      <c r="W87" s="73"/>
      <c r="X87" s="73"/>
      <c r="Y87" s="73"/>
      <c r="Z87" s="73"/>
      <c r="AA87" s="75"/>
      <c r="AB87" s="75"/>
      <c r="AC87" s="55"/>
      <c r="AD87" s="89"/>
      <c r="AE87" s="89"/>
      <c r="AF87" s="89"/>
      <c r="AG87" s="57"/>
      <c r="AH87" s="58"/>
      <c r="AI87" s="49"/>
      <c r="AK87" s="41"/>
    </row>
    <row r="88" spans="1:38" ht="53.25">
      <c r="A88" s="32" t="s">
        <v>2268</v>
      </c>
      <c r="B88" s="86">
        <v>3.05</v>
      </c>
      <c r="C88" s="87" t="s">
        <v>2462</v>
      </c>
      <c r="D88" s="88" t="s">
        <v>38</v>
      </c>
      <c r="E88" s="73"/>
      <c r="F88" s="73"/>
      <c r="G88" s="73"/>
      <c r="H88" s="73"/>
      <c r="I88" s="73"/>
      <c r="J88" s="73"/>
      <c r="K88" s="73"/>
      <c r="L88" s="73"/>
      <c r="M88" s="73"/>
      <c r="N88" s="73"/>
      <c r="O88" s="73"/>
      <c r="P88" s="73"/>
      <c r="Q88" s="74"/>
      <c r="R88" s="74"/>
      <c r="S88" s="74"/>
      <c r="T88" s="73"/>
      <c r="U88" s="74"/>
      <c r="V88" s="74"/>
      <c r="W88" s="73"/>
      <c r="X88" s="73"/>
      <c r="Y88" s="73"/>
      <c r="Z88" s="73"/>
      <c r="AA88" s="75"/>
      <c r="AB88" s="75"/>
      <c r="AC88" s="55"/>
      <c r="AD88" s="89"/>
      <c r="AE88" s="89"/>
      <c r="AF88" s="89"/>
      <c r="AG88" s="57"/>
      <c r="AH88" s="58"/>
      <c r="AI88" s="49"/>
      <c r="AK88" s="41"/>
    </row>
    <row r="89" spans="1:38" ht="53.25">
      <c r="A89" s="32" t="s">
        <v>2269</v>
      </c>
      <c r="B89" s="86">
        <v>3.06</v>
      </c>
      <c r="C89" s="87" t="s">
        <v>2463</v>
      </c>
      <c r="D89" s="88" t="s">
        <v>38</v>
      </c>
      <c r="E89" s="73"/>
      <c r="F89" s="73"/>
      <c r="G89" s="90"/>
      <c r="H89" s="73"/>
      <c r="I89" s="73"/>
      <c r="J89" s="73"/>
      <c r="K89" s="73"/>
      <c r="L89" s="73"/>
      <c r="M89" s="73"/>
      <c r="N89" s="73"/>
      <c r="O89" s="73"/>
      <c r="P89" s="73"/>
      <c r="Q89" s="74"/>
      <c r="R89" s="74"/>
      <c r="S89" s="74"/>
      <c r="T89" s="73"/>
      <c r="U89" s="74"/>
      <c r="V89" s="74"/>
      <c r="W89" s="73"/>
      <c r="X89" s="73"/>
      <c r="Y89" s="73"/>
      <c r="Z89" s="73"/>
      <c r="AA89" s="75"/>
      <c r="AB89" s="75"/>
      <c r="AC89" s="55"/>
      <c r="AD89" s="89"/>
      <c r="AE89" s="89"/>
      <c r="AF89" s="89"/>
      <c r="AG89" s="57"/>
      <c r="AH89" s="58"/>
      <c r="AI89" s="49"/>
      <c r="AK89" s="41"/>
    </row>
    <row r="90" spans="1:38" ht="53.25">
      <c r="A90" s="32" t="s">
        <v>2270</v>
      </c>
      <c r="B90" s="86">
        <v>3.07</v>
      </c>
      <c r="C90" s="87" t="s">
        <v>2464</v>
      </c>
      <c r="D90" s="88" t="s">
        <v>38</v>
      </c>
      <c r="E90" s="73"/>
      <c r="F90" s="73"/>
      <c r="G90" s="73"/>
      <c r="H90" s="73"/>
      <c r="I90" s="73"/>
      <c r="J90" s="73"/>
      <c r="K90" s="73"/>
      <c r="L90" s="73"/>
      <c r="M90" s="73"/>
      <c r="N90" s="73"/>
      <c r="O90" s="73"/>
      <c r="P90" s="73"/>
      <c r="Q90" s="74"/>
      <c r="R90" s="74"/>
      <c r="S90" s="74"/>
      <c r="T90" s="73"/>
      <c r="U90" s="74"/>
      <c r="V90" s="74"/>
      <c r="W90" s="73"/>
      <c r="X90" s="73"/>
      <c r="Y90" s="73"/>
      <c r="Z90" s="73"/>
      <c r="AA90" s="75"/>
      <c r="AB90" s="75"/>
      <c r="AC90" s="55"/>
      <c r="AD90" s="89"/>
      <c r="AE90" s="89"/>
      <c r="AF90" s="89"/>
      <c r="AG90" s="57"/>
      <c r="AH90" s="58"/>
      <c r="AI90" s="49"/>
      <c r="AK90" s="41"/>
    </row>
    <row r="91" spans="1:38" ht="53.25">
      <c r="A91" s="32" t="s">
        <v>2271</v>
      </c>
      <c r="B91" s="86">
        <v>3.08</v>
      </c>
      <c r="C91" s="87" t="s">
        <v>2465</v>
      </c>
      <c r="D91" s="88"/>
      <c r="E91" s="73"/>
      <c r="F91" s="73"/>
      <c r="G91" s="73"/>
      <c r="H91" s="73"/>
      <c r="I91" s="73"/>
      <c r="J91" s="73"/>
      <c r="K91" s="73"/>
      <c r="L91" s="73"/>
      <c r="M91" s="73"/>
      <c r="N91" s="73"/>
      <c r="O91" s="73"/>
      <c r="P91" s="73"/>
      <c r="Q91" s="74"/>
      <c r="R91" s="74"/>
      <c r="S91" s="74"/>
      <c r="T91" s="73"/>
      <c r="U91" s="74"/>
      <c r="V91" s="74"/>
      <c r="W91" s="73"/>
      <c r="X91" s="73"/>
      <c r="Y91" s="73"/>
      <c r="Z91" s="73"/>
      <c r="AA91" s="75"/>
      <c r="AB91" s="75"/>
      <c r="AC91" s="61"/>
      <c r="AD91" s="89"/>
      <c r="AE91" s="89"/>
      <c r="AF91" s="89"/>
      <c r="AG91" s="91"/>
      <c r="AH91" s="61"/>
      <c r="AI91" s="49"/>
      <c r="AK91" s="41"/>
    </row>
    <row r="92" spans="1:38" ht="21">
      <c r="A92" s="32" t="s">
        <v>2272</v>
      </c>
      <c r="B92" s="92" t="s">
        <v>14</v>
      </c>
      <c r="C92" s="93" t="s">
        <v>98</v>
      </c>
      <c r="D92" s="88" t="s">
        <v>38</v>
      </c>
      <c r="E92" s="73"/>
      <c r="F92" s="73"/>
      <c r="G92" s="73"/>
      <c r="H92" s="73"/>
      <c r="I92" s="73"/>
      <c r="J92" s="73"/>
      <c r="K92" s="73"/>
      <c r="L92" s="73"/>
      <c r="M92" s="73"/>
      <c r="N92" s="73"/>
      <c r="O92" s="73"/>
      <c r="P92" s="73"/>
      <c r="Q92" s="74"/>
      <c r="R92" s="74"/>
      <c r="S92" s="74"/>
      <c r="T92" s="73"/>
      <c r="U92" s="74"/>
      <c r="V92" s="74"/>
      <c r="W92" s="73"/>
      <c r="X92" s="73"/>
      <c r="Y92" s="73"/>
      <c r="Z92" s="73"/>
      <c r="AA92" s="75"/>
      <c r="AB92" s="75"/>
      <c r="AC92" s="55"/>
      <c r="AD92" s="89"/>
      <c r="AE92" s="89"/>
      <c r="AF92" s="89"/>
      <c r="AG92" s="57"/>
      <c r="AH92" s="58"/>
      <c r="AI92" s="49"/>
      <c r="AK92" s="41"/>
    </row>
    <row r="93" spans="1:38" ht="21">
      <c r="A93" s="32" t="s">
        <v>2273</v>
      </c>
      <c r="B93" s="92" t="s">
        <v>15</v>
      </c>
      <c r="C93" s="93" t="s">
        <v>99</v>
      </c>
      <c r="D93" s="88" t="s">
        <v>38</v>
      </c>
      <c r="E93" s="73"/>
      <c r="F93" s="73"/>
      <c r="G93" s="73"/>
      <c r="H93" s="73"/>
      <c r="I93" s="73"/>
      <c r="J93" s="73"/>
      <c r="K93" s="73"/>
      <c r="L93" s="73"/>
      <c r="M93" s="73"/>
      <c r="N93" s="73"/>
      <c r="O93" s="73"/>
      <c r="P93" s="73"/>
      <c r="Q93" s="74"/>
      <c r="R93" s="74"/>
      <c r="S93" s="74"/>
      <c r="T93" s="73"/>
      <c r="U93" s="74"/>
      <c r="V93" s="74"/>
      <c r="W93" s="73"/>
      <c r="X93" s="73"/>
      <c r="Y93" s="73"/>
      <c r="Z93" s="73"/>
      <c r="AA93" s="75"/>
      <c r="AB93" s="75"/>
      <c r="AC93" s="55"/>
      <c r="AD93" s="89"/>
      <c r="AE93" s="89"/>
      <c r="AF93" s="89"/>
      <c r="AG93" s="57"/>
      <c r="AH93" s="58"/>
      <c r="AI93" s="49"/>
      <c r="AK93" s="41"/>
    </row>
    <row r="94" spans="1:38" ht="53.25">
      <c r="A94" s="32" t="s">
        <v>2274</v>
      </c>
      <c r="B94" s="86">
        <v>3.09</v>
      </c>
      <c r="C94" s="87" t="s">
        <v>2466</v>
      </c>
      <c r="D94" s="88" t="s">
        <v>38</v>
      </c>
      <c r="E94" s="73"/>
      <c r="F94" s="73"/>
      <c r="G94" s="73"/>
      <c r="H94" s="73"/>
      <c r="I94" s="73"/>
      <c r="J94" s="73"/>
      <c r="K94" s="73"/>
      <c r="L94" s="73"/>
      <c r="M94" s="73"/>
      <c r="N94" s="73"/>
      <c r="O94" s="73"/>
      <c r="P94" s="73"/>
      <c r="Q94" s="74"/>
      <c r="R94" s="74"/>
      <c r="S94" s="74"/>
      <c r="T94" s="73"/>
      <c r="U94" s="74"/>
      <c r="V94" s="74"/>
      <c r="W94" s="73"/>
      <c r="X94" s="73"/>
      <c r="Y94" s="73"/>
      <c r="Z94" s="73"/>
      <c r="AA94" s="75"/>
      <c r="AB94" s="75"/>
      <c r="AC94" s="55"/>
      <c r="AD94" s="89"/>
      <c r="AE94" s="89"/>
      <c r="AF94" s="89"/>
      <c r="AG94" s="57"/>
      <c r="AH94" s="58"/>
      <c r="AI94" s="49"/>
      <c r="AK94" s="41"/>
    </row>
    <row r="95" spans="1:38" ht="53.25">
      <c r="A95" s="32" t="s">
        <v>100</v>
      </c>
      <c r="B95" s="86" t="s">
        <v>100</v>
      </c>
      <c r="C95" s="87" t="s">
        <v>2467</v>
      </c>
      <c r="D95" s="88" t="s">
        <v>38</v>
      </c>
      <c r="E95" s="73"/>
      <c r="F95" s="73"/>
      <c r="G95" s="73"/>
      <c r="H95" s="73"/>
      <c r="I95" s="73"/>
      <c r="J95" s="73"/>
      <c r="K95" s="73"/>
      <c r="L95" s="73"/>
      <c r="M95" s="73"/>
      <c r="N95" s="73"/>
      <c r="O95" s="73"/>
      <c r="P95" s="73"/>
      <c r="Q95" s="74"/>
      <c r="R95" s="74"/>
      <c r="S95" s="74"/>
      <c r="T95" s="73"/>
      <c r="U95" s="74"/>
      <c r="V95" s="74"/>
      <c r="W95" s="73"/>
      <c r="X95" s="73"/>
      <c r="Y95" s="73"/>
      <c r="Z95" s="73"/>
      <c r="AA95" s="75"/>
      <c r="AB95" s="75"/>
      <c r="AC95" s="55"/>
      <c r="AD95" s="89"/>
      <c r="AE95" s="89"/>
      <c r="AF95" s="89"/>
      <c r="AG95" s="57"/>
      <c r="AH95" s="58"/>
      <c r="AI95" s="49"/>
      <c r="AK95" s="41"/>
    </row>
    <row r="96" spans="1:38" ht="40.5">
      <c r="A96" s="32" t="s">
        <v>101</v>
      </c>
      <c r="B96" s="86" t="s">
        <v>101</v>
      </c>
      <c r="C96" s="87" t="s">
        <v>2468</v>
      </c>
      <c r="D96" s="88" t="s">
        <v>38</v>
      </c>
      <c r="E96" s="73"/>
      <c r="F96" s="73"/>
      <c r="G96" s="73"/>
      <c r="H96" s="73"/>
      <c r="I96" s="73"/>
      <c r="J96" s="73"/>
      <c r="K96" s="73"/>
      <c r="L96" s="73"/>
      <c r="M96" s="73"/>
      <c r="N96" s="73"/>
      <c r="O96" s="73"/>
      <c r="P96" s="73"/>
      <c r="Q96" s="74"/>
      <c r="R96" s="74"/>
      <c r="S96" s="74"/>
      <c r="T96" s="73"/>
      <c r="U96" s="74"/>
      <c r="V96" s="74"/>
      <c r="W96" s="73"/>
      <c r="X96" s="73"/>
      <c r="Y96" s="73"/>
      <c r="Z96" s="73"/>
      <c r="AA96" s="75"/>
      <c r="AB96" s="75"/>
      <c r="AC96" s="55"/>
      <c r="AD96" s="89"/>
      <c r="AE96" s="89"/>
      <c r="AF96" s="89"/>
      <c r="AG96" s="57"/>
      <c r="AH96" s="58"/>
      <c r="AI96" s="49"/>
      <c r="AK96" s="41"/>
    </row>
    <row r="97" spans="1:37" ht="66">
      <c r="A97" s="32" t="s">
        <v>102</v>
      </c>
      <c r="B97" s="86" t="s">
        <v>102</v>
      </c>
      <c r="C97" s="87" t="s">
        <v>2469</v>
      </c>
      <c r="D97" s="88" t="s">
        <v>77</v>
      </c>
      <c r="E97" s="73"/>
      <c r="F97" s="73"/>
      <c r="G97" s="73"/>
      <c r="H97" s="73"/>
      <c r="I97" s="73"/>
      <c r="J97" s="73"/>
      <c r="K97" s="73"/>
      <c r="L97" s="73"/>
      <c r="M97" s="73"/>
      <c r="N97" s="73"/>
      <c r="O97" s="73"/>
      <c r="P97" s="73"/>
      <c r="Q97" s="74"/>
      <c r="R97" s="74"/>
      <c r="S97" s="74"/>
      <c r="T97" s="73"/>
      <c r="U97" s="74"/>
      <c r="V97" s="74"/>
      <c r="W97" s="73"/>
      <c r="X97" s="73"/>
      <c r="Y97" s="73"/>
      <c r="Z97" s="73"/>
      <c r="AA97" s="75"/>
      <c r="AB97" s="75"/>
      <c r="AC97" s="55"/>
      <c r="AD97" s="89"/>
      <c r="AE97" s="89"/>
      <c r="AF97" s="89"/>
      <c r="AG97" s="57"/>
      <c r="AH97" s="58"/>
      <c r="AI97" s="49"/>
      <c r="AK97" s="41"/>
    </row>
    <row r="98" spans="1:37" ht="53.25">
      <c r="A98" s="32" t="s">
        <v>103</v>
      </c>
      <c r="B98" s="86" t="s">
        <v>103</v>
      </c>
      <c r="C98" s="87" t="s">
        <v>2470</v>
      </c>
      <c r="D98" s="88"/>
      <c r="E98" s="73"/>
      <c r="F98" s="73"/>
      <c r="G98" s="73"/>
      <c r="H98" s="73"/>
      <c r="I98" s="73"/>
      <c r="J98" s="73"/>
      <c r="K98" s="73"/>
      <c r="L98" s="73"/>
      <c r="M98" s="73"/>
      <c r="N98" s="73"/>
      <c r="O98" s="73"/>
      <c r="P98" s="73"/>
      <c r="Q98" s="74"/>
      <c r="R98" s="74"/>
      <c r="S98" s="74"/>
      <c r="T98" s="73"/>
      <c r="U98" s="74"/>
      <c r="V98" s="74"/>
      <c r="W98" s="73"/>
      <c r="X98" s="73"/>
      <c r="Y98" s="73"/>
      <c r="Z98" s="73"/>
      <c r="AA98" s="75"/>
      <c r="AB98" s="75"/>
      <c r="AC98" s="61"/>
      <c r="AD98" s="89"/>
      <c r="AE98" s="89"/>
      <c r="AF98" s="89"/>
      <c r="AG98" s="91"/>
      <c r="AH98" s="61"/>
      <c r="AI98" s="49"/>
      <c r="AK98" s="41"/>
    </row>
    <row r="99" spans="1:37" ht="21">
      <c r="A99" s="32" t="s">
        <v>885</v>
      </c>
      <c r="B99" s="94" t="s">
        <v>104</v>
      </c>
      <c r="C99" s="95" t="s">
        <v>105</v>
      </c>
      <c r="D99" s="88"/>
      <c r="E99" s="73"/>
      <c r="F99" s="73"/>
      <c r="G99" s="73"/>
      <c r="H99" s="73"/>
      <c r="I99" s="73"/>
      <c r="J99" s="73"/>
      <c r="K99" s="73"/>
      <c r="L99" s="73"/>
      <c r="M99" s="73"/>
      <c r="N99" s="73"/>
      <c r="O99" s="73"/>
      <c r="P99" s="73"/>
      <c r="Q99" s="74"/>
      <c r="R99" s="74"/>
      <c r="S99" s="74"/>
      <c r="T99" s="73"/>
      <c r="U99" s="74"/>
      <c r="V99" s="74"/>
      <c r="W99" s="73"/>
      <c r="X99" s="73"/>
      <c r="Y99" s="73"/>
      <c r="Z99" s="73"/>
      <c r="AA99" s="75"/>
      <c r="AB99" s="75"/>
      <c r="AC99" s="61"/>
      <c r="AD99" s="89"/>
      <c r="AE99" s="89"/>
      <c r="AF99" s="89"/>
      <c r="AG99" s="91"/>
      <c r="AH99" s="61"/>
      <c r="AI99" s="49"/>
      <c r="AK99" s="41"/>
    </row>
    <row r="100" spans="1:37" ht="21">
      <c r="A100" s="32" t="s">
        <v>886</v>
      </c>
      <c r="B100" s="92" t="s">
        <v>14</v>
      </c>
      <c r="C100" s="93" t="s">
        <v>106</v>
      </c>
      <c r="D100" s="88" t="s">
        <v>38</v>
      </c>
      <c r="E100" s="73"/>
      <c r="F100" s="73"/>
      <c r="G100" s="73"/>
      <c r="H100" s="73"/>
      <c r="I100" s="73"/>
      <c r="J100" s="73"/>
      <c r="K100" s="73"/>
      <c r="L100" s="73"/>
      <c r="M100" s="73"/>
      <c r="N100" s="73"/>
      <c r="O100" s="73"/>
      <c r="P100" s="73"/>
      <c r="Q100" s="74"/>
      <c r="R100" s="74"/>
      <c r="S100" s="74"/>
      <c r="T100" s="73"/>
      <c r="U100" s="74"/>
      <c r="V100" s="74"/>
      <c r="W100" s="73"/>
      <c r="X100" s="73"/>
      <c r="Y100" s="73"/>
      <c r="Z100" s="73"/>
      <c r="AA100" s="75"/>
      <c r="AB100" s="75"/>
      <c r="AC100" s="55"/>
      <c r="AD100" s="89"/>
      <c r="AE100" s="89"/>
      <c r="AF100" s="89"/>
      <c r="AG100" s="57"/>
      <c r="AH100" s="58"/>
      <c r="AI100" s="49"/>
      <c r="AK100" s="41"/>
    </row>
    <row r="101" spans="1:37" ht="21">
      <c r="A101" s="32" t="s">
        <v>887</v>
      </c>
      <c r="B101" s="92" t="s">
        <v>15</v>
      </c>
      <c r="C101" s="93" t="s">
        <v>107</v>
      </c>
      <c r="D101" s="88" t="s">
        <v>38</v>
      </c>
      <c r="E101" s="73"/>
      <c r="F101" s="73"/>
      <c r="G101" s="73"/>
      <c r="H101" s="73"/>
      <c r="I101" s="73"/>
      <c r="J101" s="73"/>
      <c r="K101" s="73"/>
      <c r="L101" s="73"/>
      <c r="M101" s="73"/>
      <c r="N101" s="73"/>
      <c r="O101" s="73"/>
      <c r="P101" s="73"/>
      <c r="Q101" s="74"/>
      <c r="R101" s="74"/>
      <c r="S101" s="74"/>
      <c r="T101" s="73"/>
      <c r="U101" s="74"/>
      <c r="V101" s="74"/>
      <c r="W101" s="73"/>
      <c r="X101" s="73"/>
      <c r="Y101" s="73"/>
      <c r="Z101" s="73"/>
      <c r="AA101" s="75"/>
      <c r="AB101" s="75"/>
      <c r="AC101" s="55"/>
      <c r="AD101" s="89"/>
      <c r="AE101" s="89"/>
      <c r="AF101" s="89"/>
      <c r="AG101" s="57"/>
      <c r="AH101" s="58"/>
      <c r="AI101" s="49"/>
      <c r="AK101" s="41"/>
    </row>
    <row r="102" spans="1:37" ht="21">
      <c r="A102" s="32" t="s">
        <v>888</v>
      </c>
      <c r="B102" s="94" t="s">
        <v>24</v>
      </c>
      <c r="C102" s="95" t="s">
        <v>108</v>
      </c>
      <c r="D102" s="88"/>
      <c r="E102" s="73"/>
      <c r="F102" s="73"/>
      <c r="G102" s="73"/>
      <c r="H102" s="73"/>
      <c r="I102" s="73"/>
      <c r="J102" s="73"/>
      <c r="K102" s="73"/>
      <c r="L102" s="73"/>
      <c r="M102" s="73"/>
      <c r="N102" s="73"/>
      <c r="O102" s="73"/>
      <c r="P102" s="73"/>
      <c r="Q102" s="74"/>
      <c r="R102" s="74"/>
      <c r="S102" s="74"/>
      <c r="T102" s="73"/>
      <c r="U102" s="74"/>
      <c r="V102" s="74"/>
      <c r="W102" s="73"/>
      <c r="X102" s="73"/>
      <c r="Y102" s="73"/>
      <c r="Z102" s="73"/>
      <c r="AA102" s="75"/>
      <c r="AB102" s="75"/>
      <c r="AC102" s="61"/>
      <c r="AD102" s="89"/>
      <c r="AE102" s="89"/>
      <c r="AF102" s="89"/>
      <c r="AG102" s="91"/>
      <c r="AH102" s="61"/>
      <c r="AI102" s="49"/>
      <c r="AK102" s="41"/>
    </row>
    <row r="103" spans="1:37" ht="21">
      <c r="A103" s="32" t="s">
        <v>889</v>
      </c>
      <c r="B103" s="92" t="s">
        <v>14</v>
      </c>
      <c r="C103" s="93" t="s">
        <v>106</v>
      </c>
      <c r="D103" s="88" t="s">
        <v>38</v>
      </c>
      <c r="E103" s="73"/>
      <c r="F103" s="73"/>
      <c r="G103" s="73"/>
      <c r="H103" s="73"/>
      <c r="I103" s="73"/>
      <c r="J103" s="73"/>
      <c r="K103" s="73"/>
      <c r="L103" s="73"/>
      <c r="M103" s="73"/>
      <c r="N103" s="73"/>
      <c r="O103" s="73"/>
      <c r="P103" s="73"/>
      <c r="Q103" s="74"/>
      <c r="R103" s="74"/>
      <c r="S103" s="74"/>
      <c r="T103" s="73"/>
      <c r="U103" s="74"/>
      <c r="V103" s="74"/>
      <c r="W103" s="73"/>
      <c r="X103" s="73"/>
      <c r="Y103" s="73"/>
      <c r="Z103" s="73"/>
      <c r="AA103" s="75"/>
      <c r="AB103" s="75"/>
      <c r="AC103" s="55"/>
      <c r="AD103" s="89"/>
      <c r="AE103" s="89"/>
      <c r="AF103" s="89"/>
      <c r="AG103" s="57"/>
      <c r="AH103" s="58"/>
      <c r="AI103" s="49"/>
      <c r="AK103" s="41"/>
    </row>
    <row r="104" spans="1:37" ht="21">
      <c r="A104" s="32" t="s">
        <v>890</v>
      </c>
      <c r="B104" s="92" t="s">
        <v>15</v>
      </c>
      <c r="C104" s="93" t="s">
        <v>109</v>
      </c>
      <c r="D104" s="88" t="s">
        <v>38</v>
      </c>
      <c r="E104" s="73"/>
      <c r="F104" s="73"/>
      <c r="G104" s="73"/>
      <c r="H104" s="73"/>
      <c r="I104" s="73"/>
      <c r="J104" s="73"/>
      <c r="K104" s="73"/>
      <c r="L104" s="73"/>
      <c r="M104" s="73"/>
      <c r="N104" s="73"/>
      <c r="O104" s="73"/>
      <c r="P104" s="73"/>
      <c r="Q104" s="74"/>
      <c r="R104" s="74"/>
      <c r="S104" s="74"/>
      <c r="T104" s="73"/>
      <c r="U104" s="74"/>
      <c r="V104" s="74"/>
      <c r="W104" s="73"/>
      <c r="X104" s="73"/>
      <c r="Y104" s="73"/>
      <c r="Z104" s="73"/>
      <c r="AA104" s="75"/>
      <c r="AB104" s="75"/>
      <c r="AC104" s="55"/>
      <c r="AD104" s="89"/>
      <c r="AE104" s="89"/>
      <c r="AF104" s="89"/>
      <c r="AG104" s="57"/>
      <c r="AH104" s="58"/>
      <c r="AI104" s="49"/>
      <c r="AK104" s="41"/>
    </row>
    <row r="105" spans="1:37" ht="21">
      <c r="A105" s="32" t="s">
        <v>891</v>
      </c>
      <c r="B105" s="94" t="s">
        <v>25</v>
      </c>
      <c r="C105" s="95" t="s">
        <v>110</v>
      </c>
      <c r="D105" s="88"/>
      <c r="E105" s="73"/>
      <c r="F105" s="73"/>
      <c r="G105" s="73"/>
      <c r="H105" s="73"/>
      <c r="I105" s="73"/>
      <c r="J105" s="73"/>
      <c r="K105" s="73"/>
      <c r="L105" s="73"/>
      <c r="M105" s="73"/>
      <c r="N105" s="73"/>
      <c r="O105" s="73"/>
      <c r="P105" s="73"/>
      <c r="Q105" s="74"/>
      <c r="R105" s="74"/>
      <c r="S105" s="74"/>
      <c r="T105" s="73"/>
      <c r="U105" s="74"/>
      <c r="V105" s="74"/>
      <c r="W105" s="73"/>
      <c r="X105" s="73"/>
      <c r="Y105" s="73"/>
      <c r="Z105" s="73"/>
      <c r="AA105" s="75"/>
      <c r="AB105" s="75"/>
      <c r="AC105" s="61"/>
      <c r="AD105" s="89"/>
      <c r="AE105" s="89"/>
      <c r="AF105" s="89"/>
      <c r="AG105" s="91"/>
      <c r="AH105" s="61"/>
      <c r="AI105" s="49"/>
      <c r="AK105" s="41"/>
    </row>
    <row r="106" spans="1:37" ht="21">
      <c r="A106" s="32" t="s">
        <v>892</v>
      </c>
      <c r="B106" s="92" t="s">
        <v>14</v>
      </c>
      <c r="C106" s="93" t="s">
        <v>109</v>
      </c>
      <c r="D106" s="88" t="s">
        <v>38</v>
      </c>
      <c r="E106" s="73"/>
      <c r="F106" s="73"/>
      <c r="G106" s="73"/>
      <c r="H106" s="73"/>
      <c r="I106" s="73"/>
      <c r="J106" s="73"/>
      <c r="K106" s="73"/>
      <c r="L106" s="73"/>
      <c r="M106" s="73"/>
      <c r="N106" s="73"/>
      <c r="O106" s="73"/>
      <c r="P106" s="73"/>
      <c r="Q106" s="74"/>
      <c r="R106" s="74"/>
      <c r="S106" s="74"/>
      <c r="T106" s="73"/>
      <c r="U106" s="74"/>
      <c r="V106" s="74"/>
      <c r="W106" s="73"/>
      <c r="X106" s="73"/>
      <c r="Y106" s="73"/>
      <c r="Z106" s="73"/>
      <c r="AA106" s="75"/>
      <c r="AB106" s="75"/>
      <c r="AC106" s="55"/>
      <c r="AD106" s="89"/>
      <c r="AE106" s="89"/>
      <c r="AF106" s="89"/>
      <c r="AG106" s="96"/>
      <c r="AH106" s="48"/>
      <c r="AI106" s="49"/>
      <c r="AK106" s="41"/>
    </row>
    <row r="107" spans="1:37" ht="21">
      <c r="A107" s="32" t="s">
        <v>893</v>
      </c>
      <c r="B107" s="94" t="s">
        <v>60</v>
      </c>
      <c r="C107" s="95" t="s">
        <v>111</v>
      </c>
      <c r="D107" s="88"/>
      <c r="E107" s="73"/>
      <c r="F107" s="73"/>
      <c r="G107" s="73"/>
      <c r="H107" s="73"/>
      <c r="I107" s="73"/>
      <c r="J107" s="73"/>
      <c r="K107" s="73"/>
      <c r="L107" s="73"/>
      <c r="M107" s="73"/>
      <c r="N107" s="73"/>
      <c r="O107" s="73"/>
      <c r="P107" s="73"/>
      <c r="Q107" s="74"/>
      <c r="R107" s="74"/>
      <c r="S107" s="74"/>
      <c r="T107" s="73"/>
      <c r="U107" s="74"/>
      <c r="V107" s="74"/>
      <c r="W107" s="73"/>
      <c r="X107" s="73"/>
      <c r="Y107" s="73"/>
      <c r="Z107" s="73"/>
      <c r="AA107" s="75"/>
      <c r="AB107" s="75"/>
      <c r="AC107" s="61"/>
      <c r="AD107" s="89"/>
      <c r="AE107" s="89"/>
      <c r="AF107" s="89"/>
      <c r="AG107" s="91"/>
      <c r="AH107" s="61"/>
      <c r="AI107" s="49"/>
      <c r="AK107" s="41"/>
    </row>
    <row r="108" spans="1:37" ht="21">
      <c r="A108" s="32" t="s">
        <v>894</v>
      </c>
      <c r="B108" s="92" t="s">
        <v>14</v>
      </c>
      <c r="C108" s="93" t="s">
        <v>112</v>
      </c>
      <c r="D108" s="88" t="s">
        <v>38</v>
      </c>
      <c r="E108" s="73"/>
      <c r="F108" s="73"/>
      <c r="G108" s="73"/>
      <c r="H108" s="73"/>
      <c r="I108" s="73"/>
      <c r="J108" s="73"/>
      <c r="K108" s="73"/>
      <c r="L108" s="73"/>
      <c r="M108" s="73"/>
      <c r="N108" s="73"/>
      <c r="O108" s="73"/>
      <c r="P108" s="73"/>
      <c r="Q108" s="74"/>
      <c r="R108" s="74"/>
      <c r="S108" s="74"/>
      <c r="T108" s="73"/>
      <c r="U108" s="74"/>
      <c r="V108" s="74"/>
      <c r="W108" s="73"/>
      <c r="X108" s="73"/>
      <c r="Y108" s="73"/>
      <c r="Z108" s="73"/>
      <c r="AA108" s="75"/>
      <c r="AB108" s="75"/>
      <c r="AC108" s="55"/>
      <c r="AD108" s="89"/>
      <c r="AE108" s="89"/>
      <c r="AF108" s="89"/>
      <c r="AG108" s="57"/>
      <c r="AH108" s="58"/>
      <c r="AI108" s="49"/>
      <c r="AK108" s="41"/>
    </row>
    <row r="109" spans="1:37" ht="21">
      <c r="A109" s="32" t="s">
        <v>895</v>
      </c>
      <c r="B109" s="94" t="s">
        <v>62</v>
      </c>
      <c r="C109" s="95" t="s">
        <v>113</v>
      </c>
      <c r="D109" s="88"/>
      <c r="E109" s="73"/>
      <c r="F109" s="73"/>
      <c r="G109" s="73"/>
      <c r="H109" s="73"/>
      <c r="I109" s="73"/>
      <c r="J109" s="73"/>
      <c r="K109" s="73"/>
      <c r="L109" s="73"/>
      <c r="M109" s="73"/>
      <c r="N109" s="73"/>
      <c r="O109" s="73"/>
      <c r="P109" s="73"/>
      <c r="Q109" s="74"/>
      <c r="R109" s="74"/>
      <c r="S109" s="74"/>
      <c r="T109" s="73"/>
      <c r="U109" s="74"/>
      <c r="V109" s="74"/>
      <c r="W109" s="73"/>
      <c r="X109" s="73"/>
      <c r="Y109" s="73"/>
      <c r="Z109" s="73"/>
      <c r="AA109" s="75"/>
      <c r="AB109" s="75"/>
      <c r="AC109" s="61"/>
      <c r="AD109" s="89"/>
      <c r="AE109" s="89"/>
      <c r="AF109" s="89"/>
      <c r="AG109" s="91"/>
      <c r="AH109" s="61"/>
      <c r="AI109" s="49"/>
      <c r="AK109" s="41"/>
    </row>
    <row r="110" spans="1:37" ht="21">
      <c r="A110" s="32" t="s">
        <v>896</v>
      </c>
      <c r="B110" s="92" t="s">
        <v>14</v>
      </c>
      <c r="C110" s="93" t="s">
        <v>114</v>
      </c>
      <c r="D110" s="88" t="s">
        <v>38</v>
      </c>
      <c r="E110" s="73"/>
      <c r="F110" s="73"/>
      <c r="G110" s="73"/>
      <c r="H110" s="73"/>
      <c r="I110" s="73"/>
      <c r="J110" s="73"/>
      <c r="K110" s="73"/>
      <c r="L110" s="73"/>
      <c r="M110" s="73"/>
      <c r="N110" s="73"/>
      <c r="O110" s="73"/>
      <c r="P110" s="73"/>
      <c r="Q110" s="74"/>
      <c r="R110" s="74"/>
      <c r="S110" s="74"/>
      <c r="T110" s="73"/>
      <c r="U110" s="74"/>
      <c r="V110" s="74"/>
      <c r="W110" s="73"/>
      <c r="X110" s="73"/>
      <c r="Y110" s="73"/>
      <c r="Z110" s="73"/>
      <c r="AA110" s="75"/>
      <c r="AB110" s="75"/>
      <c r="AC110" s="55"/>
      <c r="AD110" s="89"/>
      <c r="AE110" s="89"/>
      <c r="AF110" s="89"/>
      <c r="AG110" s="57"/>
      <c r="AH110" s="58"/>
      <c r="AI110" s="49"/>
      <c r="AK110" s="41"/>
    </row>
    <row r="111" spans="1:37" ht="21">
      <c r="A111" s="32" t="s">
        <v>897</v>
      </c>
      <c r="B111" s="92" t="s">
        <v>15</v>
      </c>
      <c r="C111" s="93" t="s">
        <v>112</v>
      </c>
      <c r="D111" s="88" t="s">
        <v>38</v>
      </c>
      <c r="E111" s="73"/>
      <c r="F111" s="73"/>
      <c r="G111" s="73"/>
      <c r="H111" s="73"/>
      <c r="I111" s="73"/>
      <c r="J111" s="73"/>
      <c r="K111" s="73"/>
      <c r="L111" s="73"/>
      <c r="M111" s="73"/>
      <c r="N111" s="73"/>
      <c r="O111" s="73"/>
      <c r="P111" s="73"/>
      <c r="Q111" s="74"/>
      <c r="R111" s="74"/>
      <c r="S111" s="74"/>
      <c r="T111" s="73"/>
      <c r="U111" s="74"/>
      <c r="V111" s="74"/>
      <c r="W111" s="73"/>
      <c r="X111" s="73"/>
      <c r="Y111" s="73"/>
      <c r="Z111" s="73"/>
      <c r="AA111" s="75"/>
      <c r="AB111" s="75"/>
      <c r="AC111" s="55"/>
      <c r="AD111" s="89"/>
      <c r="AE111" s="89"/>
      <c r="AF111" s="89"/>
      <c r="AG111" s="57"/>
      <c r="AH111" s="58"/>
      <c r="AI111" s="49"/>
      <c r="AK111" s="41"/>
    </row>
    <row r="112" spans="1:37" ht="21">
      <c r="A112" s="32" t="s">
        <v>115</v>
      </c>
      <c r="B112" s="86" t="s">
        <v>115</v>
      </c>
      <c r="C112" s="93" t="s">
        <v>116</v>
      </c>
      <c r="D112" s="88"/>
      <c r="E112" s="73"/>
      <c r="F112" s="73"/>
      <c r="G112" s="73"/>
      <c r="H112" s="73"/>
      <c r="I112" s="73"/>
      <c r="J112" s="73"/>
      <c r="K112" s="73"/>
      <c r="L112" s="73"/>
      <c r="M112" s="73"/>
      <c r="N112" s="73"/>
      <c r="O112" s="73"/>
      <c r="P112" s="73"/>
      <c r="Q112" s="74"/>
      <c r="R112" s="74"/>
      <c r="S112" s="74"/>
      <c r="T112" s="73"/>
      <c r="U112" s="74"/>
      <c r="V112" s="74"/>
      <c r="W112" s="73"/>
      <c r="X112" s="73"/>
      <c r="Y112" s="73"/>
      <c r="Z112" s="73"/>
      <c r="AA112" s="75"/>
      <c r="AB112" s="75"/>
      <c r="AC112" s="61"/>
      <c r="AD112" s="89"/>
      <c r="AE112" s="89"/>
      <c r="AF112" s="89"/>
      <c r="AG112" s="91"/>
      <c r="AH112" s="61"/>
      <c r="AI112" s="49"/>
      <c r="AK112" s="41"/>
    </row>
    <row r="113" spans="1:38" ht="40.5">
      <c r="A113" s="32" t="s">
        <v>898</v>
      </c>
      <c r="B113" s="97" t="s">
        <v>104</v>
      </c>
      <c r="C113" s="87" t="s">
        <v>2471</v>
      </c>
      <c r="D113" s="88" t="s">
        <v>77</v>
      </c>
      <c r="E113" s="73"/>
      <c r="F113" s="73"/>
      <c r="G113" s="73"/>
      <c r="H113" s="73"/>
      <c r="I113" s="73"/>
      <c r="J113" s="73"/>
      <c r="K113" s="73"/>
      <c r="L113" s="73"/>
      <c r="M113" s="73"/>
      <c r="N113" s="73"/>
      <c r="O113" s="73"/>
      <c r="P113" s="73"/>
      <c r="Q113" s="74"/>
      <c r="R113" s="74"/>
      <c r="S113" s="74"/>
      <c r="T113" s="73"/>
      <c r="U113" s="74"/>
      <c r="V113" s="74"/>
      <c r="W113" s="73"/>
      <c r="X113" s="73"/>
      <c r="Y113" s="73"/>
      <c r="Z113" s="73"/>
      <c r="AA113" s="75"/>
      <c r="AB113" s="75"/>
      <c r="AC113" s="55"/>
      <c r="AD113" s="89"/>
      <c r="AE113" s="89"/>
      <c r="AF113" s="89"/>
      <c r="AG113" s="57"/>
      <c r="AH113" s="58"/>
      <c r="AI113" s="49"/>
      <c r="AK113" s="41"/>
    </row>
    <row r="114" spans="1:38" ht="40.5">
      <c r="A114" s="32" t="s">
        <v>899</v>
      </c>
      <c r="B114" s="97" t="s">
        <v>24</v>
      </c>
      <c r="C114" s="87" t="s">
        <v>2472</v>
      </c>
      <c r="D114" s="88" t="s">
        <v>77</v>
      </c>
      <c r="E114" s="73"/>
      <c r="F114" s="73"/>
      <c r="G114" s="73"/>
      <c r="H114" s="73"/>
      <c r="I114" s="73"/>
      <c r="J114" s="73"/>
      <c r="K114" s="73"/>
      <c r="L114" s="73"/>
      <c r="M114" s="73"/>
      <c r="N114" s="73"/>
      <c r="O114" s="73"/>
      <c r="P114" s="73"/>
      <c r="Q114" s="74"/>
      <c r="R114" s="74"/>
      <c r="S114" s="74"/>
      <c r="T114" s="73"/>
      <c r="U114" s="74"/>
      <c r="V114" s="74"/>
      <c r="W114" s="73"/>
      <c r="X114" s="73"/>
      <c r="Y114" s="73"/>
      <c r="Z114" s="73"/>
      <c r="AA114" s="75"/>
      <c r="AB114" s="75"/>
      <c r="AC114" s="55"/>
      <c r="AD114" s="89"/>
      <c r="AE114" s="89"/>
      <c r="AF114" s="89"/>
      <c r="AG114" s="57"/>
      <c r="AH114" s="58"/>
      <c r="AI114" s="49"/>
      <c r="AK114" s="41"/>
    </row>
    <row r="115" spans="1:38" ht="40.5">
      <c r="A115" s="32" t="s">
        <v>900</v>
      </c>
      <c r="B115" s="97" t="s">
        <v>25</v>
      </c>
      <c r="C115" s="87" t="s">
        <v>2473</v>
      </c>
      <c r="D115" s="88" t="s">
        <v>77</v>
      </c>
      <c r="E115" s="73"/>
      <c r="F115" s="73"/>
      <c r="G115" s="73"/>
      <c r="H115" s="73"/>
      <c r="I115" s="73"/>
      <c r="J115" s="73"/>
      <c r="K115" s="73"/>
      <c r="L115" s="73"/>
      <c r="M115" s="73"/>
      <c r="N115" s="73"/>
      <c r="O115" s="73"/>
      <c r="P115" s="73"/>
      <c r="Q115" s="74"/>
      <c r="R115" s="74"/>
      <c r="S115" s="74"/>
      <c r="T115" s="73"/>
      <c r="U115" s="74"/>
      <c r="V115" s="74"/>
      <c r="W115" s="73"/>
      <c r="X115" s="73"/>
      <c r="Y115" s="73"/>
      <c r="Z115" s="73"/>
      <c r="AA115" s="75"/>
      <c r="AB115" s="75"/>
      <c r="AC115" s="55"/>
      <c r="AD115" s="89"/>
      <c r="AE115" s="89"/>
      <c r="AF115" s="89"/>
      <c r="AG115" s="57"/>
      <c r="AH115" s="58"/>
      <c r="AI115" s="49"/>
      <c r="AK115" s="41"/>
    </row>
    <row r="116" spans="1:38" ht="21">
      <c r="A116" s="32" t="s">
        <v>117</v>
      </c>
      <c r="B116" s="86" t="s">
        <v>117</v>
      </c>
      <c r="C116" s="93" t="s">
        <v>118</v>
      </c>
      <c r="D116" s="88"/>
      <c r="E116" s="73"/>
      <c r="F116" s="73"/>
      <c r="G116" s="73"/>
      <c r="H116" s="73"/>
      <c r="I116" s="73"/>
      <c r="J116" s="73"/>
      <c r="K116" s="73"/>
      <c r="L116" s="73"/>
      <c r="M116" s="73"/>
      <c r="N116" s="73"/>
      <c r="O116" s="73"/>
      <c r="P116" s="73"/>
      <c r="Q116" s="74"/>
      <c r="R116" s="74"/>
      <c r="S116" s="74"/>
      <c r="T116" s="73"/>
      <c r="U116" s="74"/>
      <c r="V116" s="74"/>
      <c r="W116" s="73"/>
      <c r="X116" s="73"/>
      <c r="Y116" s="73"/>
      <c r="Z116" s="73"/>
      <c r="AA116" s="75"/>
      <c r="AB116" s="75"/>
      <c r="AC116" s="61"/>
      <c r="AD116" s="89"/>
      <c r="AE116" s="89"/>
      <c r="AF116" s="89"/>
      <c r="AG116" s="91"/>
      <c r="AH116" s="61"/>
      <c r="AI116" s="49"/>
      <c r="AK116" s="41"/>
    </row>
    <row r="117" spans="1:38" ht="40.5">
      <c r="A117" s="32" t="s">
        <v>901</v>
      </c>
      <c r="B117" s="97" t="s">
        <v>104</v>
      </c>
      <c r="C117" s="87" t="s">
        <v>2474</v>
      </c>
      <c r="D117" s="88" t="s">
        <v>77</v>
      </c>
      <c r="E117" s="73"/>
      <c r="F117" s="73"/>
      <c r="G117" s="73"/>
      <c r="H117" s="73"/>
      <c r="I117" s="73"/>
      <c r="J117" s="73"/>
      <c r="K117" s="73"/>
      <c r="L117" s="73"/>
      <c r="M117" s="73"/>
      <c r="N117" s="73"/>
      <c r="O117" s="73"/>
      <c r="P117" s="73"/>
      <c r="Q117" s="74"/>
      <c r="R117" s="74"/>
      <c r="S117" s="74"/>
      <c r="T117" s="73"/>
      <c r="U117" s="74"/>
      <c r="V117" s="74"/>
      <c r="W117" s="73"/>
      <c r="X117" s="73"/>
      <c r="Y117" s="73"/>
      <c r="Z117" s="73"/>
      <c r="AA117" s="75"/>
      <c r="AB117" s="75"/>
      <c r="AC117" s="55"/>
      <c r="AD117" s="89"/>
      <c r="AE117" s="89"/>
      <c r="AF117" s="89"/>
      <c r="AG117" s="57"/>
      <c r="AH117" s="58"/>
      <c r="AI117" s="49"/>
      <c r="AK117" s="41"/>
    </row>
    <row r="118" spans="1:38" ht="40.5">
      <c r="A118" s="32" t="s">
        <v>902</v>
      </c>
      <c r="B118" s="97" t="s">
        <v>24</v>
      </c>
      <c r="C118" s="87" t="s">
        <v>2475</v>
      </c>
      <c r="D118" s="88" t="s">
        <v>77</v>
      </c>
      <c r="E118" s="73"/>
      <c r="F118" s="73"/>
      <c r="G118" s="73"/>
      <c r="H118" s="73"/>
      <c r="I118" s="73"/>
      <c r="J118" s="73"/>
      <c r="K118" s="73"/>
      <c r="L118" s="73"/>
      <c r="M118" s="73"/>
      <c r="N118" s="73"/>
      <c r="O118" s="73"/>
      <c r="P118" s="73"/>
      <c r="Q118" s="74"/>
      <c r="R118" s="74"/>
      <c r="S118" s="74"/>
      <c r="T118" s="73"/>
      <c r="U118" s="74"/>
      <c r="V118" s="74"/>
      <c r="W118" s="73"/>
      <c r="X118" s="73"/>
      <c r="Y118" s="73"/>
      <c r="Z118" s="73"/>
      <c r="AA118" s="75"/>
      <c r="AB118" s="75"/>
      <c r="AC118" s="55"/>
      <c r="AD118" s="89"/>
      <c r="AE118" s="89"/>
      <c r="AF118" s="89"/>
      <c r="AG118" s="57"/>
      <c r="AH118" s="58"/>
      <c r="AI118" s="49"/>
      <c r="AK118" s="41"/>
    </row>
    <row r="119" spans="1:38" ht="40.5">
      <c r="A119" s="32" t="s">
        <v>119</v>
      </c>
      <c r="B119" s="86" t="s">
        <v>119</v>
      </c>
      <c r="C119" s="87" t="s">
        <v>2476</v>
      </c>
      <c r="D119" s="88" t="s">
        <v>38</v>
      </c>
      <c r="E119" s="73"/>
      <c r="F119" s="73"/>
      <c r="G119" s="73"/>
      <c r="H119" s="73"/>
      <c r="I119" s="73"/>
      <c r="J119" s="73"/>
      <c r="K119" s="73"/>
      <c r="L119" s="73"/>
      <c r="M119" s="73"/>
      <c r="N119" s="73"/>
      <c r="O119" s="73"/>
      <c r="P119" s="73"/>
      <c r="Q119" s="74"/>
      <c r="R119" s="74"/>
      <c r="S119" s="74"/>
      <c r="T119" s="73"/>
      <c r="U119" s="74"/>
      <c r="V119" s="74"/>
      <c r="W119" s="73"/>
      <c r="X119" s="73"/>
      <c r="Y119" s="73"/>
      <c r="Z119" s="73"/>
      <c r="AA119" s="75"/>
      <c r="AB119" s="75"/>
      <c r="AC119" s="55"/>
      <c r="AD119" s="89"/>
      <c r="AE119" s="89"/>
      <c r="AF119" s="89"/>
      <c r="AG119" s="57"/>
      <c r="AH119" s="58"/>
      <c r="AI119" s="49"/>
      <c r="AK119" s="41"/>
    </row>
    <row r="120" spans="1:38" ht="40.5">
      <c r="A120" s="32" t="s">
        <v>120</v>
      </c>
      <c r="B120" s="86" t="s">
        <v>120</v>
      </c>
      <c r="C120" s="87" t="s">
        <v>2477</v>
      </c>
      <c r="D120" s="88" t="s">
        <v>38</v>
      </c>
      <c r="E120" s="73"/>
      <c r="F120" s="73"/>
      <c r="G120" s="73"/>
      <c r="H120" s="73"/>
      <c r="I120" s="73"/>
      <c r="J120" s="73"/>
      <c r="K120" s="73"/>
      <c r="L120" s="73"/>
      <c r="M120" s="73"/>
      <c r="N120" s="73"/>
      <c r="O120" s="73"/>
      <c r="P120" s="73"/>
      <c r="Q120" s="74"/>
      <c r="R120" s="74"/>
      <c r="S120" s="74"/>
      <c r="T120" s="73"/>
      <c r="U120" s="74"/>
      <c r="V120" s="74"/>
      <c r="W120" s="73"/>
      <c r="X120" s="73"/>
      <c r="Y120" s="73"/>
      <c r="Z120" s="73"/>
      <c r="AA120" s="75"/>
      <c r="AB120" s="75"/>
      <c r="AC120" s="55"/>
      <c r="AD120" s="89"/>
      <c r="AE120" s="89"/>
      <c r="AF120" s="89"/>
      <c r="AG120" s="57"/>
      <c r="AH120" s="58"/>
      <c r="AI120" s="49"/>
      <c r="AK120" s="41"/>
    </row>
    <row r="121" spans="1:38" s="68" customFormat="1" ht="40.5">
      <c r="A121" s="64" t="s">
        <v>121</v>
      </c>
      <c r="B121" s="98" t="s">
        <v>121</v>
      </c>
      <c r="C121" s="99" t="s">
        <v>2478</v>
      </c>
      <c r="D121" s="100" t="s">
        <v>38</v>
      </c>
      <c r="E121" s="73"/>
      <c r="F121" s="73"/>
      <c r="G121" s="73"/>
      <c r="H121" s="73"/>
      <c r="I121" s="73"/>
      <c r="J121" s="73"/>
      <c r="K121" s="73"/>
      <c r="L121" s="73"/>
      <c r="M121" s="73"/>
      <c r="N121" s="73"/>
      <c r="O121" s="73"/>
      <c r="P121" s="73"/>
      <c r="Q121" s="74"/>
      <c r="R121" s="74"/>
      <c r="S121" s="74"/>
      <c r="T121" s="73"/>
      <c r="U121" s="74"/>
      <c r="V121" s="74"/>
      <c r="W121" s="73"/>
      <c r="X121" s="73"/>
      <c r="Y121" s="73"/>
      <c r="Z121" s="73"/>
      <c r="AA121" s="75"/>
      <c r="AB121" s="75"/>
      <c r="AC121" s="55"/>
      <c r="AD121" s="89"/>
      <c r="AE121" s="89"/>
      <c r="AF121" s="89"/>
      <c r="AG121" s="65"/>
      <c r="AH121" s="66"/>
      <c r="AI121" s="49"/>
      <c r="AJ121" s="40"/>
      <c r="AK121" s="41"/>
      <c r="AL121" s="67"/>
    </row>
    <row r="122" spans="1:38" ht="53.25">
      <c r="A122" s="32" t="s">
        <v>122</v>
      </c>
      <c r="B122" s="86" t="s">
        <v>122</v>
      </c>
      <c r="C122" s="87" t="s">
        <v>2479</v>
      </c>
      <c r="D122" s="88" t="s">
        <v>38</v>
      </c>
      <c r="E122" s="73"/>
      <c r="F122" s="73"/>
      <c r="G122" s="73"/>
      <c r="H122" s="73"/>
      <c r="I122" s="73"/>
      <c r="J122" s="73"/>
      <c r="K122" s="73"/>
      <c r="L122" s="73"/>
      <c r="M122" s="73"/>
      <c r="N122" s="73"/>
      <c r="O122" s="73"/>
      <c r="P122" s="73"/>
      <c r="Q122" s="74"/>
      <c r="R122" s="74"/>
      <c r="S122" s="74"/>
      <c r="T122" s="73"/>
      <c r="U122" s="74"/>
      <c r="V122" s="74"/>
      <c r="W122" s="73"/>
      <c r="X122" s="73"/>
      <c r="Y122" s="73"/>
      <c r="Z122" s="73"/>
      <c r="AA122" s="75"/>
      <c r="AB122" s="75"/>
      <c r="AC122" s="55"/>
      <c r="AD122" s="89"/>
      <c r="AE122" s="89"/>
      <c r="AF122" s="89"/>
      <c r="AG122" s="57"/>
      <c r="AH122" s="58"/>
      <c r="AI122" s="49"/>
      <c r="AK122" s="41"/>
    </row>
    <row r="123" spans="1:38" ht="21">
      <c r="A123" s="32" t="s">
        <v>903</v>
      </c>
      <c r="B123" s="101">
        <v>3.2</v>
      </c>
      <c r="C123" s="87" t="s">
        <v>123</v>
      </c>
      <c r="D123" s="88"/>
      <c r="E123" s="73"/>
      <c r="F123" s="73"/>
      <c r="G123" s="73"/>
      <c r="H123" s="73"/>
      <c r="I123" s="73"/>
      <c r="J123" s="73"/>
      <c r="K123" s="73"/>
      <c r="L123" s="73"/>
      <c r="M123" s="73"/>
      <c r="N123" s="73"/>
      <c r="O123" s="73"/>
      <c r="P123" s="73"/>
      <c r="Q123" s="74"/>
      <c r="R123" s="74"/>
      <c r="S123" s="74"/>
      <c r="T123" s="73"/>
      <c r="U123" s="74"/>
      <c r="V123" s="74"/>
      <c r="W123" s="73"/>
      <c r="X123" s="73"/>
      <c r="Y123" s="73"/>
      <c r="Z123" s="73"/>
      <c r="AA123" s="75"/>
      <c r="AB123" s="75"/>
      <c r="AC123" s="61"/>
      <c r="AD123" s="89"/>
      <c r="AE123" s="89"/>
      <c r="AF123" s="89"/>
      <c r="AG123" s="91"/>
      <c r="AH123" s="61"/>
      <c r="AI123" s="49"/>
      <c r="AK123" s="41"/>
    </row>
    <row r="124" spans="1:38" ht="40.5">
      <c r="A124" s="32" t="s">
        <v>904</v>
      </c>
      <c r="B124" s="92" t="s">
        <v>124</v>
      </c>
      <c r="C124" s="93" t="s">
        <v>2480</v>
      </c>
      <c r="D124" s="88" t="s">
        <v>38</v>
      </c>
      <c r="E124" s="73"/>
      <c r="F124" s="73"/>
      <c r="G124" s="73"/>
      <c r="H124" s="73"/>
      <c r="I124" s="73"/>
      <c r="J124" s="73"/>
      <c r="K124" s="73"/>
      <c r="L124" s="73"/>
      <c r="M124" s="73"/>
      <c r="N124" s="73"/>
      <c r="O124" s="73"/>
      <c r="P124" s="73"/>
      <c r="Q124" s="74"/>
      <c r="R124" s="74"/>
      <c r="S124" s="74"/>
      <c r="T124" s="73"/>
      <c r="U124" s="74"/>
      <c r="V124" s="74"/>
      <c r="W124" s="73"/>
      <c r="X124" s="73"/>
      <c r="Y124" s="73"/>
      <c r="Z124" s="73"/>
      <c r="AA124" s="75"/>
      <c r="AB124" s="75"/>
      <c r="AC124" s="55"/>
      <c r="AD124" s="89"/>
      <c r="AE124" s="89"/>
      <c r="AF124" s="89"/>
      <c r="AG124" s="57"/>
      <c r="AH124" s="58"/>
      <c r="AI124" s="49"/>
      <c r="AK124" s="41"/>
    </row>
    <row r="125" spans="1:38" ht="21">
      <c r="A125" s="32" t="s">
        <v>905</v>
      </c>
      <c r="B125" s="92" t="s">
        <v>125</v>
      </c>
      <c r="C125" s="93" t="s">
        <v>126</v>
      </c>
      <c r="D125" s="88" t="s">
        <v>38</v>
      </c>
      <c r="E125" s="73"/>
      <c r="F125" s="73"/>
      <c r="G125" s="73"/>
      <c r="H125" s="73"/>
      <c r="I125" s="73"/>
      <c r="J125" s="73"/>
      <c r="K125" s="73"/>
      <c r="L125" s="73"/>
      <c r="M125" s="73"/>
      <c r="N125" s="73"/>
      <c r="O125" s="73"/>
      <c r="P125" s="73"/>
      <c r="Q125" s="74"/>
      <c r="R125" s="74"/>
      <c r="S125" s="74"/>
      <c r="T125" s="73"/>
      <c r="U125" s="74"/>
      <c r="V125" s="74"/>
      <c r="W125" s="73"/>
      <c r="X125" s="73"/>
      <c r="Y125" s="73"/>
      <c r="Z125" s="73"/>
      <c r="AA125" s="75"/>
      <c r="AB125" s="75"/>
      <c r="AC125" s="55"/>
      <c r="AD125" s="89"/>
      <c r="AE125" s="89"/>
      <c r="AF125" s="89"/>
      <c r="AG125" s="57"/>
      <c r="AH125" s="58"/>
      <c r="AI125" s="49"/>
      <c r="AK125" s="41"/>
    </row>
    <row r="126" spans="1:38" ht="40.5">
      <c r="A126" s="32" t="s">
        <v>906</v>
      </c>
      <c r="B126" s="86">
        <v>3.21</v>
      </c>
      <c r="C126" s="87" t="s">
        <v>2481</v>
      </c>
      <c r="D126" s="88" t="s">
        <v>38</v>
      </c>
      <c r="E126" s="73"/>
      <c r="F126" s="73"/>
      <c r="G126" s="73"/>
      <c r="H126" s="73"/>
      <c r="I126" s="73"/>
      <c r="J126" s="73"/>
      <c r="K126" s="73"/>
      <c r="L126" s="73"/>
      <c r="M126" s="73"/>
      <c r="N126" s="73"/>
      <c r="O126" s="73"/>
      <c r="P126" s="73"/>
      <c r="Q126" s="74"/>
      <c r="R126" s="74"/>
      <c r="S126" s="74"/>
      <c r="T126" s="73"/>
      <c r="U126" s="74"/>
      <c r="V126" s="74"/>
      <c r="W126" s="73"/>
      <c r="X126" s="73"/>
      <c r="Y126" s="73"/>
      <c r="Z126" s="73"/>
      <c r="AA126" s="75"/>
      <c r="AB126" s="75"/>
      <c r="AC126" s="55"/>
      <c r="AD126" s="89"/>
      <c r="AE126" s="89"/>
      <c r="AF126" s="89"/>
      <c r="AG126" s="57"/>
      <c r="AH126" s="58"/>
      <c r="AI126" s="49"/>
      <c r="AK126" s="41"/>
    </row>
    <row r="127" spans="1:38" ht="53.25">
      <c r="A127" s="32" t="s">
        <v>907</v>
      </c>
      <c r="B127" s="86">
        <v>3.22</v>
      </c>
      <c r="C127" s="87" t="s">
        <v>2482</v>
      </c>
      <c r="D127" s="88" t="s">
        <v>38</v>
      </c>
      <c r="E127" s="73"/>
      <c r="F127" s="73"/>
      <c r="G127" s="73"/>
      <c r="H127" s="73"/>
      <c r="I127" s="73"/>
      <c r="J127" s="73"/>
      <c r="K127" s="73"/>
      <c r="L127" s="73"/>
      <c r="M127" s="73"/>
      <c r="N127" s="73"/>
      <c r="O127" s="73"/>
      <c r="P127" s="73"/>
      <c r="Q127" s="74"/>
      <c r="R127" s="74"/>
      <c r="S127" s="74"/>
      <c r="T127" s="73"/>
      <c r="U127" s="74"/>
      <c r="V127" s="74"/>
      <c r="W127" s="73"/>
      <c r="X127" s="73"/>
      <c r="Y127" s="73"/>
      <c r="Z127" s="73"/>
      <c r="AA127" s="75"/>
      <c r="AB127" s="75"/>
      <c r="AC127" s="55"/>
      <c r="AD127" s="89"/>
      <c r="AE127" s="89"/>
      <c r="AF127" s="89"/>
      <c r="AG127" s="57"/>
      <c r="AH127" s="58"/>
      <c r="AI127" s="49"/>
      <c r="AK127" s="41"/>
    </row>
    <row r="128" spans="1:38" ht="40.5">
      <c r="A128" s="32" t="s">
        <v>908</v>
      </c>
      <c r="B128" s="86">
        <v>3.23</v>
      </c>
      <c r="C128" s="87" t="s">
        <v>2483</v>
      </c>
      <c r="D128" s="88" t="s">
        <v>77</v>
      </c>
      <c r="E128" s="73"/>
      <c r="F128" s="73"/>
      <c r="G128" s="73"/>
      <c r="H128" s="73"/>
      <c r="I128" s="73"/>
      <c r="J128" s="73"/>
      <c r="K128" s="73"/>
      <c r="L128" s="73"/>
      <c r="M128" s="73"/>
      <c r="N128" s="73"/>
      <c r="O128" s="73"/>
      <c r="P128" s="73"/>
      <c r="Q128" s="74"/>
      <c r="R128" s="74"/>
      <c r="S128" s="74"/>
      <c r="T128" s="73"/>
      <c r="U128" s="74"/>
      <c r="V128" s="74"/>
      <c r="W128" s="73"/>
      <c r="X128" s="73"/>
      <c r="Y128" s="73"/>
      <c r="Z128" s="73"/>
      <c r="AA128" s="75"/>
      <c r="AB128" s="75"/>
      <c r="AC128" s="55"/>
      <c r="AD128" s="89"/>
      <c r="AE128" s="89"/>
      <c r="AF128" s="89"/>
      <c r="AG128" s="57"/>
      <c r="AH128" s="58"/>
      <c r="AI128" s="49"/>
      <c r="AK128" s="41"/>
    </row>
    <row r="129" spans="1:38" ht="40.5">
      <c r="A129" s="32" t="s">
        <v>909</v>
      </c>
      <c r="B129" s="86">
        <v>3.24</v>
      </c>
      <c r="C129" s="87" t="s">
        <v>2484</v>
      </c>
      <c r="D129" s="88" t="s">
        <v>77</v>
      </c>
      <c r="E129" s="73"/>
      <c r="F129" s="73"/>
      <c r="G129" s="73"/>
      <c r="H129" s="73"/>
      <c r="I129" s="73"/>
      <c r="J129" s="73"/>
      <c r="K129" s="73"/>
      <c r="L129" s="73"/>
      <c r="M129" s="73"/>
      <c r="N129" s="73"/>
      <c r="O129" s="73"/>
      <c r="P129" s="73"/>
      <c r="Q129" s="74"/>
      <c r="R129" s="74"/>
      <c r="S129" s="74"/>
      <c r="T129" s="73"/>
      <c r="U129" s="74"/>
      <c r="V129" s="74"/>
      <c r="W129" s="73"/>
      <c r="X129" s="73"/>
      <c r="Y129" s="73"/>
      <c r="Z129" s="73"/>
      <c r="AA129" s="75"/>
      <c r="AB129" s="75"/>
      <c r="AC129" s="55"/>
      <c r="AD129" s="89"/>
      <c r="AE129" s="89"/>
      <c r="AF129" s="89"/>
      <c r="AG129" s="57"/>
      <c r="AH129" s="58"/>
      <c r="AI129" s="49"/>
      <c r="AK129" s="41"/>
    </row>
    <row r="130" spans="1:38" ht="40.5">
      <c r="A130" s="32" t="s">
        <v>910</v>
      </c>
      <c r="B130" s="86">
        <v>3.25</v>
      </c>
      <c r="C130" s="87" t="s">
        <v>2485</v>
      </c>
      <c r="D130" s="88"/>
      <c r="E130" s="73"/>
      <c r="F130" s="73"/>
      <c r="G130" s="73"/>
      <c r="H130" s="73"/>
      <c r="I130" s="73"/>
      <c r="J130" s="73"/>
      <c r="K130" s="73"/>
      <c r="L130" s="73"/>
      <c r="M130" s="73"/>
      <c r="N130" s="73"/>
      <c r="O130" s="73"/>
      <c r="P130" s="73"/>
      <c r="Q130" s="74"/>
      <c r="R130" s="74"/>
      <c r="S130" s="74"/>
      <c r="T130" s="73"/>
      <c r="U130" s="74"/>
      <c r="V130" s="74"/>
      <c r="W130" s="73"/>
      <c r="X130" s="73"/>
      <c r="Y130" s="73"/>
      <c r="Z130" s="73"/>
      <c r="AA130" s="75"/>
      <c r="AB130" s="75"/>
      <c r="AC130" s="61"/>
      <c r="AD130" s="89"/>
      <c r="AE130" s="89"/>
      <c r="AF130" s="89"/>
      <c r="AG130" s="91"/>
      <c r="AH130" s="61"/>
      <c r="AI130" s="49"/>
      <c r="AK130" s="41"/>
    </row>
    <row r="131" spans="1:38" ht="21">
      <c r="A131" s="32" t="s">
        <v>911</v>
      </c>
      <c r="B131" s="92" t="s">
        <v>14</v>
      </c>
      <c r="C131" s="93" t="s">
        <v>127</v>
      </c>
      <c r="D131" s="88" t="s">
        <v>81</v>
      </c>
      <c r="E131" s="73"/>
      <c r="F131" s="73"/>
      <c r="G131" s="73"/>
      <c r="H131" s="73"/>
      <c r="I131" s="73"/>
      <c r="J131" s="73"/>
      <c r="K131" s="73"/>
      <c r="L131" s="73"/>
      <c r="M131" s="73"/>
      <c r="N131" s="73"/>
      <c r="O131" s="73"/>
      <c r="P131" s="73"/>
      <c r="Q131" s="74"/>
      <c r="R131" s="74"/>
      <c r="S131" s="74"/>
      <c r="T131" s="73"/>
      <c r="U131" s="74"/>
      <c r="V131" s="74"/>
      <c r="W131" s="73"/>
      <c r="X131" s="73"/>
      <c r="Y131" s="73"/>
      <c r="Z131" s="73"/>
      <c r="AA131" s="75"/>
      <c r="AB131" s="75"/>
      <c r="AC131" s="55"/>
      <c r="AD131" s="89"/>
      <c r="AE131" s="89"/>
      <c r="AF131" s="89"/>
      <c r="AG131" s="57"/>
      <c r="AH131" s="58"/>
      <c r="AI131" s="49"/>
      <c r="AK131" s="41"/>
    </row>
    <row r="132" spans="1:38" ht="21">
      <c r="A132" s="32" t="s">
        <v>912</v>
      </c>
      <c r="B132" s="92" t="s">
        <v>15</v>
      </c>
      <c r="C132" s="93" t="s">
        <v>128</v>
      </c>
      <c r="D132" s="88" t="s">
        <v>81</v>
      </c>
      <c r="E132" s="73"/>
      <c r="F132" s="73"/>
      <c r="G132" s="73"/>
      <c r="H132" s="73"/>
      <c r="I132" s="73"/>
      <c r="J132" s="73"/>
      <c r="K132" s="73"/>
      <c r="L132" s="73"/>
      <c r="M132" s="73"/>
      <c r="N132" s="73"/>
      <c r="O132" s="73"/>
      <c r="P132" s="73"/>
      <c r="Q132" s="74"/>
      <c r="R132" s="74"/>
      <c r="S132" s="74"/>
      <c r="T132" s="73"/>
      <c r="U132" s="74"/>
      <c r="V132" s="74"/>
      <c r="W132" s="73"/>
      <c r="X132" s="73"/>
      <c r="Y132" s="73"/>
      <c r="Z132" s="73"/>
      <c r="AA132" s="75"/>
      <c r="AB132" s="75"/>
      <c r="AC132" s="55"/>
      <c r="AD132" s="89"/>
      <c r="AE132" s="89"/>
      <c r="AF132" s="89"/>
      <c r="AG132" s="57"/>
      <c r="AH132" s="58"/>
      <c r="AI132" s="49"/>
      <c r="AK132" s="41"/>
    </row>
    <row r="133" spans="1:38" ht="53.25">
      <c r="A133" s="32" t="s">
        <v>129</v>
      </c>
      <c r="B133" s="86" t="s">
        <v>129</v>
      </c>
      <c r="C133" s="87" t="s">
        <v>2486</v>
      </c>
      <c r="D133" s="88"/>
      <c r="E133" s="73"/>
      <c r="F133" s="73"/>
      <c r="G133" s="73"/>
      <c r="H133" s="73"/>
      <c r="I133" s="73"/>
      <c r="J133" s="73"/>
      <c r="K133" s="73"/>
      <c r="L133" s="73"/>
      <c r="M133" s="73"/>
      <c r="N133" s="73"/>
      <c r="O133" s="73"/>
      <c r="P133" s="73"/>
      <c r="Q133" s="74"/>
      <c r="R133" s="74"/>
      <c r="S133" s="74"/>
      <c r="T133" s="73"/>
      <c r="U133" s="74"/>
      <c r="V133" s="74"/>
      <c r="W133" s="73"/>
      <c r="X133" s="73"/>
      <c r="Y133" s="73"/>
      <c r="Z133" s="73"/>
      <c r="AA133" s="75"/>
      <c r="AB133" s="75"/>
      <c r="AC133" s="61"/>
      <c r="AD133" s="89"/>
      <c r="AE133" s="89"/>
      <c r="AF133" s="89"/>
      <c r="AG133" s="91"/>
      <c r="AH133" s="61"/>
      <c r="AI133" s="49"/>
      <c r="AK133" s="41"/>
    </row>
    <row r="134" spans="1:38" ht="21">
      <c r="A134" s="32" t="s">
        <v>913</v>
      </c>
      <c r="B134" s="92" t="s">
        <v>14</v>
      </c>
      <c r="C134" s="93" t="s">
        <v>112</v>
      </c>
      <c r="D134" s="88" t="s">
        <v>81</v>
      </c>
      <c r="E134" s="73"/>
      <c r="F134" s="73"/>
      <c r="G134" s="73"/>
      <c r="H134" s="73"/>
      <c r="I134" s="73"/>
      <c r="J134" s="73"/>
      <c r="K134" s="73"/>
      <c r="L134" s="73"/>
      <c r="M134" s="73"/>
      <c r="N134" s="73"/>
      <c r="O134" s="73"/>
      <c r="P134" s="73"/>
      <c r="Q134" s="74"/>
      <c r="R134" s="74"/>
      <c r="S134" s="74"/>
      <c r="T134" s="73"/>
      <c r="U134" s="74"/>
      <c r="V134" s="74"/>
      <c r="W134" s="73"/>
      <c r="X134" s="73"/>
      <c r="Y134" s="73"/>
      <c r="Z134" s="73"/>
      <c r="AA134" s="75"/>
      <c r="AB134" s="75"/>
      <c r="AC134" s="55"/>
      <c r="AD134" s="89"/>
      <c r="AE134" s="89"/>
      <c r="AF134" s="89"/>
      <c r="AG134" s="57"/>
      <c r="AH134" s="58"/>
      <c r="AI134" s="49"/>
      <c r="AK134" s="41"/>
    </row>
    <row r="135" spans="1:38" ht="21">
      <c r="A135" s="32" t="s">
        <v>914</v>
      </c>
      <c r="B135" s="92" t="s">
        <v>15</v>
      </c>
      <c r="C135" s="93" t="s">
        <v>128</v>
      </c>
      <c r="D135" s="88" t="s">
        <v>81</v>
      </c>
      <c r="E135" s="73"/>
      <c r="F135" s="73"/>
      <c r="G135" s="73"/>
      <c r="H135" s="73"/>
      <c r="I135" s="73"/>
      <c r="J135" s="73"/>
      <c r="K135" s="73"/>
      <c r="L135" s="73"/>
      <c r="M135" s="73"/>
      <c r="N135" s="73"/>
      <c r="O135" s="73"/>
      <c r="P135" s="73"/>
      <c r="Q135" s="74"/>
      <c r="R135" s="74"/>
      <c r="S135" s="74"/>
      <c r="T135" s="73"/>
      <c r="U135" s="74"/>
      <c r="V135" s="74"/>
      <c r="W135" s="73"/>
      <c r="X135" s="73"/>
      <c r="Y135" s="73"/>
      <c r="Z135" s="73"/>
      <c r="AA135" s="75"/>
      <c r="AB135" s="75"/>
      <c r="AC135" s="55"/>
      <c r="AD135" s="89"/>
      <c r="AE135" s="89"/>
      <c r="AF135" s="89"/>
      <c r="AG135" s="57"/>
      <c r="AH135" s="58"/>
      <c r="AI135" s="49"/>
      <c r="AK135" s="41"/>
    </row>
    <row r="136" spans="1:38" ht="27.75">
      <c r="A136" s="32" t="s">
        <v>130</v>
      </c>
      <c r="B136" s="86" t="s">
        <v>130</v>
      </c>
      <c r="C136" s="87" t="s">
        <v>2487</v>
      </c>
      <c r="D136" s="88" t="s">
        <v>81</v>
      </c>
      <c r="E136" s="73"/>
      <c r="F136" s="73"/>
      <c r="G136" s="73"/>
      <c r="H136" s="73"/>
      <c r="I136" s="73"/>
      <c r="J136" s="73"/>
      <c r="K136" s="73"/>
      <c r="L136" s="73"/>
      <c r="M136" s="73"/>
      <c r="N136" s="73"/>
      <c r="O136" s="73"/>
      <c r="P136" s="73"/>
      <c r="Q136" s="74"/>
      <c r="R136" s="74"/>
      <c r="S136" s="74"/>
      <c r="T136" s="73"/>
      <c r="U136" s="74"/>
      <c r="V136" s="74"/>
      <c r="W136" s="73"/>
      <c r="X136" s="73"/>
      <c r="Y136" s="73"/>
      <c r="Z136" s="73"/>
      <c r="AA136" s="75"/>
      <c r="AB136" s="75"/>
      <c r="AC136" s="61"/>
      <c r="AD136" s="89"/>
      <c r="AE136" s="89"/>
      <c r="AF136" s="89"/>
      <c r="AG136" s="57"/>
      <c r="AH136" s="58"/>
      <c r="AI136" s="49"/>
      <c r="AK136" s="41"/>
    </row>
    <row r="137" spans="1:38" ht="66">
      <c r="A137" s="32" t="s">
        <v>131</v>
      </c>
      <c r="B137" s="86" t="s">
        <v>131</v>
      </c>
      <c r="C137" s="87" t="s">
        <v>2488</v>
      </c>
      <c r="D137" s="88"/>
      <c r="E137" s="73"/>
      <c r="F137" s="73"/>
      <c r="G137" s="73"/>
      <c r="H137" s="73"/>
      <c r="I137" s="73"/>
      <c r="J137" s="73"/>
      <c r="K137" s="73"/>
      <c r="L137" s="73"/>
      <c r="M137" s="73"/>
      <c r="N137" s="73"/>
      <c r="O137" s="73"/>
      <c r="P137" s="73"/>
      <c r="Q137" s="74"/>
      <c r="R137" s="74"/>
      <c r="S137" s="74"/>
      <c r="T137" s="73"/>
      <c r="U137" s="74"/>
      <c r="V137" s="74"/>
      <c r="W137" s="73"/>
      <c r="X137" s="73"/>
      <c r="Y137" s="73"/>
      <c r="Z137" s="73"/>
      <c r="AA137" s="75"/>
      <c r="AB137" s="75"/>
      <c r="AC137" s="55"/>
      <c r="AD137" s="89"/>
      <c r="AE137" s="89"/>
      <c r="AF137" s="89"/>
      <c r="AG137" s="57"/>
      <c r="AH137" s="58"/>
      <c r="AI137" s="49"/>
      <c r="AK137" s="41"/>
    </row>
    <row r="138" spans="1:38" ht="27.75">
      <c r="A138" s="32" t="s">
        <v>132</v>
      </c>
      <c r="B138" s="86" t="s">
        <v>132</v>
      </c>
      <c r="C138" s="87" t="s">
        <v>2489</v>
      </c>
      <c r="D138" s="88" t="s">
        <v>81</v>
      </c>
      <c r="E138" s="73"/>
      <c r="F138" s="73"/>
      <c r="G138" s="73"/>
      <c r="H138" s="73"/>
      <c r="I138" s="73"/>
      <c r="J138" s="73"/>
      <c r="K138" s="73"/>
      <c r="L138" s="73"/>
      <c r="M138" s="73"/>
      <c r="N138" s="73"/>
      <c r="O138" s="73"/>
      <c r="P138" s="73"/>
      <c r="Q138" s="74"/>
      <c r="R138" s="74"/>
      <c r="S138" s="74"/>
      <c r="T138" s="73"/>
      <c r="U138" s="74"/>
      <c r="V138" s="74"/>
      <c r="W138" s="73"/>
      <c r="X138" s="73"/>
      <c r="Y138" s="73"/>
      <c r="Z138" s="73"/>
      <c r="AA138" s="75"/>
      <c r="AB138" s="75"/>
      <c r="AC138" s="55"/>
      <c r="AD138" s="89"/>
      <c r="AE138" s="89"/>
      <c r="AF138" s="89"/>
      <c r="AG138" s="57"/>
      <c r="AH138" s="58"/>
      <c r="AI138" s="49"/>
      <c r="AK138" s="41"/>
    </row>
    <row r="139" spans="1:38" ht="40.5">
      <c r="A139" s="32" t="s">
        <v>133</v>
      </c>
      <c r="B139" s="86" t="s">
        <v>133</v>
      </c>
      <c r="C139" s="87" t="s">
        <v>2490</v>
      </c>
      <c r="D139" s="88" t="s">
        <v>81</v>
      </c>
      <c r="E139" s="73"/>
      <c r="F139" s="73"/>
      <c r="G139" s="73"/>
      <c r="H139" s="73"/>
      <c r="I139" s="73"/>
      <c r="J139" s="73"/>
      <c r="K139" s="73"/>
      <c r="L139" s="73"/>
      <c r="M139" s="73"/>
      <c r="N139" s="73"/>
      <c r="O139" s="73"/>
      <c r="P139" s="73"/>
      <c r="Q139" s="74"/>
      <c r="R139" s="74"/>
      <c r="S139" s="74"/>
      <c r="T139" s="73"/>
      <c r="U139" s="74"/>
      <c r="V139" s="74"/>
      <c r="W139" s="73"/>
      <c r="X139" s="73"/>
      <c r="Y139" s="73"/>
      <c r="Z139" s="73"/>
      <c r="AA139" s="75"/>
      <c r="AB139" s="75"/>
      <c r="AC139" s="55"/>
      <c r="AD139" s="89"/>
      <c r="AE139" s="89"/>
      <c r="AF139" s="89"/>
      <c r="AG139" s="57"/>
      <c r="AH139" s="58"/>
      <c r="AI139" s="49"/>
      <c r="AK139" s="41"/>
    </row>
    <row r="140" spans="1:38" ht="53.25">
      <c r="A140" s="32" t="s">
        <v>134</v>
      </c>
      <c r="B140" s="86" t="s">
        <v>134</v>
      </c>
      <c r="C140" s="87" t="s">
        <v>2491</v>
      </c>
      <c r="D140" s="88" t="s">
        <v>77</v>
      </c>
      <c r="E140" s="73"/>
      <c r="F140" s="73"/>
      <c r="G140" s="73"/>
      <c r="H140" s="73"/>
      <c r="I140" s="73"/>
      <c r="J140" s="73"/>
      <c r="K140" s="73"/>
      <c r="L140" s="73"/>
      <c r="M140" s="73"/>
      <c r="N140" s="73"/>
      <c r="O140" s="73"/>
      <c r="P140" s="73"/>
      <c r="Q140" s="73"/>
      <c r="R140" s="73"/>
      <c r="S140" s="73"/>
      <c r="T140" s="73"/>
      <c r="U140" s="73"/>
      <c r="V140" s="73"/>
      <c r="W140" s="73"/>
      <c r="X140" s="73"/>
      <c r="Y140" s="73"/>
      <c r="Z140" s="73"/>
      <c r="AA140" s="75"/>
      <c r="AB140" s="75"/>
      <c r="AC140" s="55"/>
      <c r="AD140" s="89"/>
      <c r="AE140" s="89"/>
      <c r="AF140" s="89"/>
      <c r="AG140" s="57"/>
      <c r="AH140" s="58"/>
      <c r="AI140" s="49"/>
      <c r="AK140" s="41"/>
    </row>
    <row r="141" spans="1:38" ht="40.5">
      <c r="A141" s="32" t="s">
        <v>135</v>
      </c>
      <c r="B141" s="86" t="s">
        <v>135</v>
      </c>
      <c r="C141" s="87" t="s">
        <v>2492</v>
      </c>
      <c r="D141" s="88" t="s">
        <v>38</v>
      </c>
      <c r="E141" s="73"/>
      <c r="F141" s="73"/>
      <c r="G141" s="73"/>
      <c r="H141" s="73"/>
      <c r="I141" s="73"/>
      <c r="J141" s="73"/>
      <c r="K141" s="73"/>
      <c r="L141" s="73"/>
      <c r="M141" s="73"/>
      <c r="N141" s="73"/>
      <c r="O141" s="73"/>
      <c r="P141" s="73"/>
      <c r="Q141" s="73"/>
      <c r="R141" s="73"/>
      <c r="S141" s="73"/>
      <c r="T141" s="73"/>
      <c r="U141" s="73"/>
      <c r="V141" s="73"/>
      <c r="W141" s="73"/>
      <c r="X141" s="73"/>
      <c r="Y141" s="73"/>
      <c r="Z141" s="73"/>
      <c r="AA141" s="75"/>
      <c r="AB141" s="75"/>
      <c r="AC141" s="55"/>
      <c r="AD141" s="89"/>
      <c r="AE141" s="89"/>
      <c r="AF141" s="89"/>
      <c r="AG141" s="57"/>
      <c r="AH141" s="58"/>
      <c r="AI141" s="49"/>
      <c r="AK141" s="41"/>
    </row>
    <row r="142" spans="1:38" ht="27.75">
      <c r="A142" s="32" t="s">
        <v>136</v>
      </c>
      <c r="B142" s="86" t="s">
        <v>136</v>
      </c>
      <c r="C142" s="87" t="s">
        <v>2493</v>
      </c>
      <c r="D142" s="88" t="s">
        <v>38</v>
      </c>
      <c r="E142" s="73"/>
      <c r="F142" s="73"/>
      <c r="G142" s="73"/>
      <c r="H142" s="73"/>
      <c r="I142" s="73"/>
      <c r="J142" s="73"/>
      <c r="K142" s="73"/>
      <c r="L142" s="73"/>
      <c r="M142" s="73"/>
      <c r="N142" s="73"/>
      <c r="O142" s="73"/>
      <c r="P142" s="73"/>
      <c r="Q142" s="73"/>
      <c r="R142" s="73"/>
      <c r="S142" s="73"/>
      <c r="T142" s="73"/>
      <c r="U142" s="73"/>
      <c r="V142" s="73"/>
      <c r="W142" s="73"/>
      <c r="X142" s="73"/>
      <c r="Y142" s="73"/>
      <c r="Z142" s="73"/>
      <c r="AA142" s="75"/>
      <c r="AB142" s="75"/>
      <c r="AC142" s="55"/>
      <c r="AD142" s="89"/>
      <c r="AE142" s="89"/>
      <c r="AF142" s="89"/>
      <c r="AG142" s="91"/>
      <c r="AH142" s="61"/>
      <c r="AI142" s="49"/>
      <c r="AK142" s="41"/>
    </row>
    <row r="143" spans="1:38" ht="66">
      <c r="A143" s="32" t="s">
        <v>137</v>
      </c>
      <c r="B143" s="86" t="s">
        <v>137</v>
      </c>
      <c r="C143" s="87" t="s">
        <v>2494</v>
      </c>
      <c r="D143" s="88" t="s">
        <v>38</v>
      </c>
      <c r="E143" s="73"/>
      <c r="F143" s="73"/>
      <c r="G143" s="73"/>
      <c r="H143" s="73"/>
      <c r="I143" s="73"/>
      <c r="J143" s="73"/>
      <c r="K143" s="73"/>
      <c r="L143" s="73"/>
      <c r="M143" s="73"/>
      <c r="N143" s="73"/>
      <c r="O143" s="73"/>
      <c r="P143" s="73"/>
      <c r="Q143" s="73"/>
      <c r="R143" s="73"/>
      <c r="S143" s="73"/>
      <c r="T143" s="73"/>
      <c r="U143" s="73"/>
      <c r="V143" s="73"/>
      <c r="W143" s="73"/>
      <c r="X143" s="73"/>
      <c r="Y143" s="73"/>
      <c r="Z143" s="73"/>
      <c r="AA143" s="75"/>
      <c r="AB143" s="75"/>
      <c r="AC143" s="55"/>
      <c r="AD143" s="89"/>
      <c r="AE143" s="89"/>
      <c r="AF143" s="89"/>
      <c r="AG143" s="57"/>
      <c r="AH143" s="58"/>
      <c r="AI143" s="49"/>
      <c r="AK143" s="41"/>
    </row>
    <row r="144" spans="1:38" ht="21">
      <c r="A144" s="32" t="s">
        <v>1479</v>
      </c>
      <c r="B144" s="80"/>
      <c r="C144" s="33" t="s">
        <v>1478</v>
      </c>
      <c r="D144" s="80"/>
      <c r="E144" s="81"/>
      <c r="F144" s="81"/>
      <c r="G144" s="81"/>
      <c r="H144" s="81"/>
      <c r="I144" s="81"/>
      <c r="J144" s="81"/>
      <c r="K144" s="81"/>
      <c r="L144" s="81"/>
      <c r="M144" s="81"/>
      <c r="N144" s="81"/>
      <c r="O144" s="81"/>
      <c r="P144" s="81"/>
      <c r="Q144" s="81"/>
      <c r="R144" s="81"/>
      <c r="S144" s="81"/>
      <c r="T144" s="81"/>
      <c r="U144" s="81"/>
      <c r="V144" s="81"/>
      <c r="W144" s="81"/>
      <c r="X144" s="81"/>
      <c r="Y144" s="81"/>
      <c r="Z144" s="81"/>
      <c r="AA144" s="83"/>
      <c r="AB144" s="83"/>
      <c r="AC144" s="61"/>
      <c r="AD144" s="89"/>
      <c r="AE144" s="89"/>
      <c r="AF144" s="89"/>
      <c r="AG144" s="91"/>
      <c r="AH144" s="48"/>
      <c r="AI144" s="49"/>
      <c r="AK144" s="41"/>
      <c r="AL144" s="85"/>
    </row>
    <row r="145" spans="1:38" ht="21">
      <c r="A145" s="32" t="s">
        <v>1774</v>
      </c>
      <c r="B145" s="86">
        <v>4.01</v>
      </c>
      <c r="C145" s="87" t="s">
        <v>139</v>
      </c>
      <c r="D145" s="88"/>
      <c r="E145" s="73"/>
      <c r="F145" s="73"/>
      <c r="G145" s="73"/>
      <c r="H145" s="73"/>
      <c r="I145" s="73"/>
      <c r="J145" s="73"/>
      <c r="K145" s="73"/>
      <c r="L145" s="73"/>
      <c r="M145" s="73"/>
      <c r="N145" s="73"/>
      <c r="O145" s="73"/>
      <c r="P145" s="73"/>
      <c r="Q145" s="73"/>
      <c r="R145" s="73"/>
      <c r="S145" s="73"/>
      <c r="T145" s="73"/>
      <c r="U145" s="73"/>
      <c r="V145" s="73"/>
      <c r="W145" s="73"/>
      <c r="X145" s="73"/>
      <c r="Y145" s="73"/>
      <c r="Z145" s="73"/>
      <c r="AA145" s="75"/>
      <c r="AB145" s="75"/>
      <c r="AC145" s="61"/>
      <c r="AD145" s="89"/>
      <c r="AE145" s="89"/>
      <c r="AF145" s="89"/>
      <c r="AG145" s="91"/>
      <c r="AH145" s="48"/>
      <c r="AI145" s="49"/>
      <c r="AK145" s="41"/>
    </row>
    <row r="146" spans="1:38" ht="53.25">
      <c r="A146" s="32" t="s">
        <v>1775</v>
      </c>
      <c r="B146" s="94" t="s">
        <v>14</v>
      </c>
      <c r="C146" s="87" t="s">
        <v>2495</v>
      </c>
      <c r="D146" s="88"/>
      <c r="E146" s="73"/>
      <c r="F146" s="73"/>
      <c r="G146" s="73"/>
      <c r="H146" s="73"/>
      <c r="I146" s="73"/>
      <c r="J146" s="73"/>
      <c r="K146" s="73"/>
      <c r="L146" s="73"/>
      <c r="M146" s="73"/>
      <c r="N146" s="73"/>
      <c r="O146" s="73"/>
      <c r="P146" s="73"/>
      <c r="Q146" s="73"/>
      <c r="R146" s="73"/>
      <c r="S146" s="73"/>
      <c r="T146" s="73"/>
      <c r="U146" s="73"/>
      <c r="V146" s="73"/>
      <c r="W146" s="73"/>
      <c r="X146" s="73"/>
      <c r="Y146" s="73"/>
      <c r="Z146" s="73"/>
      <c r="AA146" s="75"/>
      <c r="AB146" s="75"/>
      <c r="AC146" s="61"/>
      <c r="AD146" s="89"/>
      <c r="AE146" s="89"/>
      <c r="AF146" s="89"/>
      <c r="AG146" s="91"/>
      <c r="AH146" s="48"/>
      <c r="AI146" s="49"/>
      <c r="AK146" s="41"/>
    </row>
    <row r="147" spans="1:38" ht="21">
      <c r="A147" s="32" t="s">
        <v>1776</v>
      </c>
      <c r="B147" s="92" t="s">
        <v>104</v>
      </c>
      <c r="C147" s="93" t="s">
        <v>140</v>
      </c>
      <c r="D147" s="88" t="s">
        <v>38</v>
      </c>
      <c r="E147" s="73"/>
      <c r="F147" s="73"/>
      <c r="G147" s="73"/>
      <c r="H147" s="73"/>
      <c r="I147" s="73"/>
      <c r="J147" s="73"/>
      <c r="K147" s="73"/>
      <c r="L147" s="73"/>
      <c r="M147" s="73"/>
      <c r="N147" s="73"/>
      <c r="O147" s="73"/>
      <c r="P147" s="73"/>
      <c r="Q147" s="73"/>
      <c r="R147" s="73"/>
      <c r="S147" s="73"/>
      <c r="T147" s="73"/>
      <c r="U147" s="73"/>
      <c r="V147" s="73"/>
      <c r="W147" s="73"/>
      <c r="X147" s="73"/>
      <c r="Y147" s="73"/>
      <c r="Z147" s="73"/>
      <c r="AA147" s="75"/>
      <c r="AB147" s="75"/>
      <c r="AC147" s="55"/>
      <c r="AD147" s="89"/>
      <c r="AE147" s="89"/>
      <c r="AF147" s="89"/>
      <c r="AG147" s="57"/>
      <c r="AH147" s="58"/>
      <c r="AI147" s="49"/>
      <c r="AK147" s="41"/>
    </row>
    <row r="148" spans="1:38" ht="21">
      <c r="A148" s="32" t="s">
        <v>1777</v>
      </c>
      <c r="B148" s="92" t="s">
        <v>24</v>
      </c>
      <c r="C148" s="93" t="s">
        <v>141</v>
      </c>
      <c r="D148" s="88" t="s">
        <v>38</v>
      </c>
      <c r="E148" s="73"/>
      <c r="F148" s="73"/>
      <c r="G148" s="73"/>
      <c r="H148" s="73"/>
      <c r="I148" s="73"/>
      <c r="J148" s="73"/>
      <c r="K148" s="73"/>
      <c r="L148" s="73"/>
      <c r="M148" s="73"/>
      <c r="N148" s="73"/>
      <c r="O148" s="73"/>
      <c r="P148" s="73"/>
      <c r="Q148" s="73"/>
      <c r="R148" s="73"/>
      <c r="S148" s="73"/>
      <c r="T148" s="73"/>
      <c r="U148" s="73"/>
      <c r="V148" s="73"/>
      <c r="W148" s="73"/>
      <c r="X148" s="73"/>
      <c r="Y148" s="73"/>
      <c r="Z148" s="73"/>
      <c r="AA148" s="75"/>
      <c r="AB148" s="75"/>
      <c r="AC148" s="55"/>
      <c r="AD148" s="89"/>
      <c r="AE148" s="89"/>
      <c r="AF148" s="89"/>
      <c r="AG148" s="57"/>
      <c r="AH148" s="58"/>
      <c r="AI148" s="49"/>
      <c r="AK148" s="41"/>
    </row>
    <row r="149" spans="1:38" s="68" customFormat="1" ht="21">
      <c r="A149" s="32" t="s">
        <v>1778</v>
      </c>
      <c r="B149" s="102" t="s">
        <v>25</v>
      </c>
      <c r="C149" s="103" t="s">
        <v>142</v>
      </c>
      <c r="D149" s="100" t="s">
        <v>38</v>
      </c>
      <c r="E149" s="73"/>
      <c r="F149" s="73"/>
      <c r="G149" s="73"/>
      <c r="H149" s="73"/>
      <c r="I149" s="73"/>
      <c r="J149" s="73"/>
      <c r="K149" s="73"/>
      <c r="L149" s="73"/>
      <c r="M149" s="73"/>
      <c r="N149" s="73"/>
      <c r="O149" s="73"/>
      <c r="P149" s="73"/>
      <c r="Q149" s="73"/>
      <c r="R149" s="73"/>
      <c r="S149" s="73"/>
      <c r="T149" s="73"/>
      <c r="U149" s="73"/>
      <c r="V149" s="73"/>
      <c r="W149" s="73"/>
      <c r="X149" s="73"/>
      <c r="Y149" s="73"/>
      <c r="Z149" s="73"/>
      <c r="AA149" s="75"/>
      <c r="AB149" s="75"/>
      <c r="AC149" s="55"/>
      <c r="AD149" s="89"/>
      <c r="AE149" s="89"/>
      <c r="AF149" s="89"/>
      <c r="AG149" s="65"/>
      <c r="AH149" s="66"/>
      <c r="AI149" s="49"/>
      <c r="AJ149" s="40"/>
      <c r="AK149" s="41"/>
      <c r="AL149" s="67"/>
    </row>
    <row r="150" spans="1:38" ht="21">
      <c r="A150" s="32" t="s">
        <v>1779</v>
      </c>
      <c r="B150" s="92" t="s">
        <v>60</v>
      </c>
      <c r="C150" s="93" t="s">
        <v>143</v>
      </c>
      <c r="D150" s="88" t="s">
        <v>38</v>
      </c>
      <c r="E150" s="73"/>
      <c r="F150" s="73"/>
      <c r="G150" s="73"/>
      <c r="H150" s="73"/>
      <c r="I150" s="73"/>
      <c r="J150" s="73"/>
      <c r="K150" s="73"/>
      <c r="L150" s="73"/>
      <c r="M150" s="73"/>
      <c r="N150" s="73"/>
      <c r="O150" s="73"/>
      <c r="P150" s="73"/>
      <c r="Q150" s="73"/>
      <c r="R150" s="73"/>
      <c r="S150" s="73"/>
      <c r="T150" s="73"/>
      <c r="U150" s="73"/>
      <c r="V150" s="73"/>
      <c r="W150" s="73"/>
      <c r="X150" s="73"/>
      <c r="Y150" s="73"/>
      <c r="Z150" s="73"/>
      <c r="AA150" s="75"/>
      <c r="AB150" s="75"/>
      <c r="AC150" s="55"/>
      <c r="AD150" s="89"/>
      <c r="AE150" s="89"/>
      <c r="AF150" s="89"/>
      <c r="AG150" s="57"/>
      <c r="AH150" s="58"/>
      <c r="AI150" s="49"/>
      <c r="AK150" s="41"/>
    </row>
    <row r="151" spans="1:38" ht="21">
      <c r="A151" s="32" t="s">
        <v>1780</v>
      </c>
      <c r="B151" s="92" t="s">
        <v>62</v>
      </c>
      <c r="C151" s="93" t="s">
        <v>144</v>
      </c>
      <c r="D151" s="88" t="s">
        <v>38</v>
      </c>
      <c r="E151" s="73"/>
      <c r="F151" s="73"/>
      <c r="G151" s="73"/>
      <c r="H151" s="73"/>
      <c r="I151" s="73"/>
      <c r="J151" s="73"/>
      <c r="K151" s="73"/>
      <c r="L151" s="73"/>
      <c r="M151" s="73"/>
      <c r="N151" s="73"/>
      <c r="O151" s="73"/>
      <c r="P151" s="73"/>
      <c r="Q151" s="73"/>
      <c r="R151" s="73"/>
      <c r="S151" s="73"/>
      <c r="T151" s="73"/>
      <c r="U151" s="73"/>
      <c r="V151" s="73"/>
      <c r="W151" s="73"/>
      <c r="X151" s="73"/>
      <c r="Y151" s="73"/>
      <c r="Z151" s="73"/>
      <c r="AA151" s="75"/>
      <c r="AB151" s="75"/>
      <c r="AC151" s="55"/>
      <c r="AD151" s="89"/>
      <c r="AE151" s="89"/>
      <c r="AF151" s="89"/>
      <c r="AG151" s="57"/>
      <c r="AH151" s="58"/>
      <c r="AI151" s="49"/>
      <c r="AK151" s="41"/>
    </row>
    <row r="152" spans="1:38" ht="21">
      <c r="A152" s="32" t="s">
        <v>1781</v>
      </c>
      <c r="B152" s="92" t="s">
        <v>67</v>
      </c>
      <c r="C152" s="93" t="s">
        <v>145</v>
      </c>
      <c r="D152" s="88" t="s">
        <v>38</v>
      </c>
      <c r="E152" s="73"/>
      <c r="F152" s="73"/>
      <c r="G152" s="73"/>
      <c r="H152" s="73"/>
      <c r="I152" s="73"/>
      <c r="J152" s="73"/>
      <c r="K152" s="73"/>
      <c r="L152" s="73"/>
      <c r="M152" s="73"/>
      <c r="N152" s="73"/>
      <c r="O152" s="73"/>
      <c r="P152" s="73"/>
      <c r="Q152" s="73"/>
      <c r="R152" s="73"/>
      <c r="S152" s="73"/>
      <c r="T152" s="73"/>
      <c r="U152" s="73"/>
      <c r="V152" s="73"/>
      <c r="W152" s="73"/>
      <c r="X152" s="73"/>
      <c r="Y152" s="73"/>
      <c r="Z152" s="73"/>
      <c r="AA152" s="75"/>
      <c r="AB152" s="75"/>
      <c r="AC152" s="55"/>
      <c r="AD152" s="89"/>
      <c r="AE152" s="89"/>
      <c r="AF152" s="89"/>
      <c r="AG152" s="57"/>
      <c r="AH152" s="58"/>
      <c r="AI152" s="49"/>
      <c r="AK152" s="41"/>
    </row>
    <row r="153" spans="1:38" ht="53.25">
      <c r="A153" s="32" t="s">
        <v>1782</v>
      </c>
      <c r="B153" s="94" t="s">
        <v>15</v>
      </c>
      <c r="C153" s="87" t="s">
        <v>2496</v>
      </c>
      <c r="D153" s="88"/>
      <c r="E153" s="73"/>
      <c r="F153" s="73"/>
      <c r="G153" s="73"/>
      <c r="H153" s="73"/>
      <c r="I153" s="73"/>
      <c r="J153" s="73"/>
      <c r="K153" s="73"/>
      <c r="L153" s="73"/>
      <c r="M153" s="73"/>
      <c r="N153" s="73"/>
      <c r="O153" s="73"/>
      <c r="P153" s="73"/>
      <c r="Q153" s="73"/>
      <c r="R153" s="73"/>
      <c r="S153" s="73"/>
      <c r="T153" s="73"/>
      <c r="U153" s="73"/>
      <c r="V153" s="73"/>
      <c r="W153" s="73"/>
      <c r="X153" s="73"/>
      <c r="Y153" s="73"/>
      <c r="Z153" s="73"/>
      <c r="AA153" s="75"/>
      <c r="AB153" s="75"/>
      <c r="AC153" s="61"/>
      <c r="AD153" s="89"/>
      <c r="AE153" s="89"/>
      <c r="AF153" s="89"/>
      <c r="AG153" s="91"/>
      <c r="AH153" s="48"/>
      <c r="AI153" s="49"/>
      <c r="AK153" s="41"/>
    </row>
    <row r="154" spans="1:38" ht="21">
      <c r="A154" s="32" t="s">
        <v>1783</v>
      </c>
      <c r="B154" s="92" t="s">
        <v>104</v>
      </c>
      <c r="C154" s="93" t="s">
        <v>140</v>
      </c>
      <c r="D154" s="88" t="s">
        <v>38</v>
      </c>
      <c r="E154" s="73"/>
      <c r="F154" s="73"/>
      <c r="G154" s="73"/>
      <c r="H154" s="73"/>
      <c r="I154" s="73"/>
      <c r="J154" s="73"/>
      <c r="K154" s="73"/>
      <c r="L154" s="73"/>
      <c r="M154" s="73"/>
      <c r="N154" s="73"/>
      <c r="O154" s="73"/>
      <c r="P154" s="73"/>
      <c r="Q154" s="73"/>
      <c r="R154" s="73"/>
      <c r="S154" s="73"/>
      <c r="T154" s="73"/>
      <c r="U154" s="73"/>
      <c r="V154" s="73"/>
      <c r="W154" s="73"/>
      <c r="X154" s="73"/>
      <c r="Y154" s="73"/>
      <c r="Z154" s="73"/>
      <c r="AA154" s="75"/>
      <c r="AB154" s="75"/>
      <c r="AC154" s="55"/>
      <c r="AD154" s="89"/>
      <c r="AE154" s="89"/>
      <c r="AF154" s="89"/>
      <c r="AG154" s="57"/>
      <c r="AH154" s="58"/>
      <c r="AI154" s="49"/>
      <c r="AK154" s="41"/>
    </row>
    <row r="155" spans="1:38" ht="21">
      <c r="A155" s="32" t="s">
        <v>1784</v>
      </c>
      <c r="B155" s="92" t="s">
        <v>24</v>
      </c>
      <c r="C155" s="93" t="s">
        <v>141</v>
      </c>
      <c r="D155" s="88" t="s">
        <v>38</v>
      </c>
      <c r="E155" s="73"/>
      <c r="F155" s="73"/>
      <c r="G155" s="73"/>
      <c r="H155" s="73"/>
      <c r="I155" s="73"/>
      <c r="J155" s="73"/>
      <c r="K155" s="73"/>
      <c r="L155" s="73"/>
      <c r="M155" s="73"/>
      <c r="N155" s="73"/>
      <c r="O155" s="73"/>
      <c r="P155" s="73"/>
      <c r="Q155" s="73"/>
      <c r="R155" s="73"/>
      <c r="S155" s="73"/>
      <c r="T155" s="73"/>
      <c r="U155" s="73"/>
      <c r="V155" s="73"/>
      <c r="W155" s="73"/>
      <c r="X155" s="73"/>
      <c r="Y155" s="73"/>
      <c r="Z155" s="73"/>
      <c r="AA155" s="75"/>
      <c r="AB155" s="75"/>
      <c r="AC155" s="55"/>
      <c r="AD155" s="89"/>
      <c r="AE155" s="89"/>
      <c r="AF155" s="89"/>
      <c r="AG155" s="57"/>
      <c r="AH155" s="58"/>
      <c r="AI155" s="49"/>
      <c r="AK155" s="41"/>
    </row>
    <row r="156" spans="1:38" ht="21">
      <c r="A156" s="32" t="s">
        <v>1785</v>
      </c>
      <c r="B156" s="92" t="s">
        <v>25</v>
      </c>
      <c r="C156" s="93" t="s">
        <v>142</v>
      </c>
      <c r="D156" s="88" t="s">
        <v>38</v>
      </c>
      <c r="E156" s="73"/>
      <c r="F156" s="73"/>
      <c r="G156" s="73"/>
      <c r="H156" s="73"/>
      <c r="I156" s="73"/>
      <c r="J156" s="73"/>
      <c r="K156" s="73"/>
      <c r="L156" s="73"/>
      <c r="M156" s="73"/>
      <c r="N156" s="73"/>
      <c r="O156" s="73"/>
      <c r="P156" s="73"/>
      <c r="Q156" s="73"/>
      <c r="R156" s="73"/>
      <c r="S156" s="73"/>
      <c r="T156" s="73"/>
      <c r="U156" s="73"/>
      <c r="V156" s="73"/>
      <c r="W156" s="73"/>
      <c r="X156" s="73"/>
      <c r="Y156" s="73"/>
      <c r="Z156" s="73"/>
      <c r="AA156" s="75"/>
      <c r="AB156" s="75"/>
      <c r="AC156" s="55"/>
      <c r="AD156" s="89"/>
      <c r="AE156" s="89"/>
      <c r="AF156" s="89"/>
      <c r="AG156" s="57"/>
      <c r="AH156" s="58"/>
      <c r="AI156" s="49"/>
      <c r="AK156" s="41"/>
    </row>
    <row r="157" spans="1:38" ht="21">
      <c r="A157" s="32" t="s">
        <v>1786</v>
      </c>
      <c r="B157" s="92" t="s">
        <v>60</v>
      </c>
      <c r="C157" s="93" t="s">
        <v>143</v>
      </c>
      <c r="D157" s="88" t="s">
        <v>38</v>
      </c>
      <c r="E157" s="73"/>
      <c r="F157" s="73"/>
      <c r="G157" s="73"/>
      <c r="H157" s="73"/>
      <c r="I157" s="73"/>
      <c r="J157" s="73"/>
      <c r="K157" s="73"/>
      <c r="L157" s="73"/>
      <c r="M157" s="73"/>
      <c r="N157" s="73"/>
      <c r="O157" s="73"/>
      <c r="P157" s="73"/>
      <c r="Q157" s="73"/>
      <c r="R157" s="73"/>
      <c r="S157" s="73"/>
      <c r="T157" s="73"/>
      <c r="U157" s="73"/>
      <c r="V157" s="73"/>
      <c r="W157" s="73"/>
      <c r="X157" s="73"/>
      <c r="Y157" s="73"/>
      <c r="Z157" s="73"/>
      <c r="AA157" s="75"/>
      <c r="AB157" s="75"/>
      <c r="AC157" s="55"/>
      <c r="AD157" s="89"/>
      <c r="AE157" s="89"/>
      <c r="AF157" s="89"/>
      <c r="AG157" s="57"/>
      <c r="AH157" s="58"/>
      <c r="AI157" s="49"/>
      <c r="AK157" s="41"/>
    </row>
    <row r="158" spans="1:38" ht="21">
      <c r="A158" s="32" t="s">
        <v>1787</v>
      </c>
      <c r="B158" s="92" t="s">
        <v>62</v>
      </c>
      <c r="C158" s="93" t="s">
        <v>144</v>
      </c>
      <c r="D158" s="88" t="s">
        <v>38</v>
      </c>
      <c r="E158" s="73"/>
      <c r="F158" s="73"/>
      <c r="G158" s="73"/>
      <c r="H158" s="73"/>
      <c r="I158" s="73"/>
      <c r="J158" s="73"/>
      <c r="K158" s="73"/>
      <c r="L158" s="73"/>
      <c r="M158" s="73"/>
      <c r="N158" s="73"/>
      <c r="O158" s="73"/>
      <c r="P158" s="73"/>
      <c r="Q158" s="73"/>
      <c r="R158" s="73"/>
      <c r="S158" s="73"/>
      <c r="T158" s="73"/>
      <c r="U158" s="73"/>
      <c r="V158" s="73"/>
      <c r="W158" s="73"/>
      <c r="X158" s="73"/>
      <c r="Y158" s="73"/>
      <c r="Z158" s="73"/>
      <c r="AA158" s="75"/>
      <c r="AB158" s="75"/>
      <c r="AC158" s="55"/>
      <c r="AD158" s="89"/>
      <c r="AE158" s="89"/>
      <c r="AF158" s="89"/>
      <c r="AG158" s="57"/>
      <c r="AH158" s="58"/>
      <c r="AI158" s="49"/>
      <c r="AK158" s="41"/>
    </row>
    <row r="159" spans="1:38" ht="21">
      <c r="A159" s="32" t="s">
        <v>1788</v>
      </c>
      <c r="B159" s="92" t="s">
        <v>67</v>
      </c>
      <c r="C159" s="93" t="s">
        <v>145</v>
      </c>
      <c r="D159" s="88" t="s">
        <v>38</v>
      </c>
      <c r="E159" s="73"/>
      <c r="F159" s="73"/>
      <c r="G159" s="73"/>
      <c r="H159" s="73"/>
      <c r="I159" s="73"/>
      <c r="J159" s="73"/>
      <c r="K159" s="73"/>
      <c r="L159" s="73"/>
      <c r="M159" s="73"/>
      <c r="N159" s="73"/>
      <c r="O159" s="73"/>
      <c r="P159" s="73"/>
      <c r="Q159" s="73"/>
      <c r="R159" s="73"/>
      <c r="S159" s="73"/>
      <c r="T159" s="73"/>
      <c r="U159" s="73"/>
      <c r="V159" s="73"/>
      <c r="W159" s="73"/>
      <c r="X159" s="73"/>
      <c r="Y159" s="73"/>
      <c r="Z159" s="73"/>
      <c r="AA159" s="75"/>
      <c r="AB159" s="75"/>
      <c r="AC159" s="55"/>
      <c r="AD159" s="89"/>
      <c r="AE159" s="89"/>
      <c r="AF159" s="89"/>
      <c r="AG159" s="57"/>
      <c r="AH159" s="58"/>
      <c r="AI159" s="49"/>
      <c r="AK159" s="41"/>
    </row>
    <row r="160" spans="1:38" ht="53.25">
      <c r="A160" s="32" t="s">
        <v>1789</v>
      </c>
      <c r="B160" s="94" t="s">
        <v>40</v>
      </c>
      <c r="C160" s="95" t="s">
        <v>2497</v>
      </c>
      <c r="D160" s="88"/>
      <c r="E160" s="73"/>
      <c r="F160" s="73"/>
      <c r="G160" s="73"/>
      <c r="H160" s="73"/>
      <c r="I160" s="73"/>
      <c r="J160" s="73"/>
      <c r="K160" s="73"/>
      <c r="L160" s="73"/>
      <c r="M160" s="73"/>
      <c r="N160" s="73"/>
      <c r="O160" s="73"/>
      <c r="P160" s="73"/>
      <c r="Q160" s="73"/>
      <c r="R160" s="73"/>
      <c r="S160" s="73"/>
      <c r="T160" s="73"/>
      <c r="U160" s="73"/>
      <c r="V160" s="73"/>
      <c r="W160" s="73"/>
      <c r="X160" s="73"/>
      <c r="Y160" s="73"/>
      <c r="Z160" s="73"/>
      <c r="AA160" s="75"/>
      <c r="AB160" s="75"/>
      <c r="AC160" s="61"/>
      <c r="AD160" s="89"/>
      <c r="AE160" s="89"/>
      <c r="AF160" s="89"/>
      <c r="AG160" s="91"/>
      <c r="AH160" s="48"/>
      <c r="AI160" s="49"/>
      <c r="AK160" s="41"/>
    </row>
    <row r="161" spans="1:37" ht="21">
      <c r="A161" s="32" t="s">
        <v>1790</v>
      </c>
      <c r="B161" s="92" t="s">
        <v>104</v>
      </c>
      <c r="C161" s="93" t="s">
        <v>140</v>
      </c>
      <c r="D161" s="88" t="s">
        <v>38</v>
      </c>
      <c r="E161" s="73"/>
      <c r="F161" s="73"/>
      <c r="G161" s="73"/>
      <c r="H161" s="73"/>
      <c r="I161" s="73"/>
      <c r="J161" s="73"/>
      <c r="K161" s="73"/>
      <c r="L161" s="73"/>
      <c r="M161" s="73"/>
      <c r="N161" s="73"/>
      <c r="O161" s="73"/>
      <c r="P161" s="73"/>
      <c r="Q161" s="73"/>
      <c r="R161" s="73"/>
      <c r="S161" s="73"/>
      <c r="T161" s="73"/>
      <c r="U161" s="73"/>
      <c r="V161" s="73"/>
      <c r="W161" s="73"/>
      <c r="X161" s="73"/>
      <c r="Y161" s="73"/>
      <c r="Z161" s="73"/>
      <c r="AA161" s="75"/>
      <c r="AB161" s="75"/>
      <c r="AC161" s="55"/>
      <c r="AD161" s="89"/>
      <c r="AE161" s="89"/>
      <c r="AF161" s="89"/>
      <c r="AG161" s="57"/>
      <c r="AH161" s="58"/>
      <c r="AI161" s="49"/>
      <c r="AK161" s="41"/>
    </row>
    <row r="162" spans="1:37" ht="21">
      <c r="A162" s="32" t="s">
        <v>1791</v>
      </c>
      <c r="B162" s="92" t="s">
        <v>24</v>
      </c>
      <c r="C162" s="93" t="s">
        <v>141</v>
      </c>
      <c r="D162" s="88" t="s">
        <v>38</v>
      </c>
      <c r="E162" s="73"/>
      <c r="F162" s="73"/>
      <c r="G162" s="73"/>
      <c r="H162" s="73"/>
      <c r="I162" s="73"/>
      <c r="J162" s="73"/>
      <c r="K162" s="73"/>
      <c r="L162" s="73"/>
      <c r="M162" s="73"/>
      <c r="N162" s="73"/>
      <c r="O162" s="73"/>
      <c r="P162" s="73"/>
      <c r="Q162" s="73"/>
      <c r="R162" s="73"/>
      <c r="S162" s="73"/>
      <c r="T162" s="73"/>
      <c r="U162" s="73"/>
      <c r="V162" s="73"/>
      <c r="W162" s="73"/>
      <c r="X162" s="73"/>
      <c r="Y162" s="73"/>
      <c r="Z162" s="73"/>
      <c r="AA162" s="75"/>
      <c r="AB162" s="75"/>
      <c r="AC162" s="55"/>
      <c r="AD162" s="89"/>
      <c r="AE162" s="89"/>
      <c r="AF162" s="89"/>
      <c r="AG162" s="57"/>
      <c r="AH162" s="58"/>
      <c r="AI162" s="49"/>
      <c r="AK162" s="41"/>
    </row>
    <row r="163" spans="1:37" ht="21">
      <c r="A163" s="32" t="s">
        <v>1792</v>
      </c>
      <c r="B163" s="92" t="s">
        <v>25</v>
      </c>
      <c r="C163" s="93" t="s">
        <v>142</v>
      </c>
      <c r="D163" s="88" t="s">
        <v>38</v>
      </c>
      <c r="E163" s="73"/>
      <c r="F163" s="73"/>
      <c r="G163" s="73"/>
      <c r="H163" s="73"/>
      <c r="I163" s="73"/>
      <c r="J163" s="73"/>
      <c r="K163" s="73"/>
      <c r="L163" s="73"/>
      <c r="M163" s="73"/>
      <c r="N163" s="73"/>
      <c r="O163" s="73"/>
      <c r="P163" s="73"/>
      <c r="Q163" s="73"/>
      <c r="R163" s="73"/>
      <c r="S163" s="73"/>
      <c r="T163" s="73"/>
      <c r="U163" s="73"/>
      <c r="V163" s="73"/>
      <c r="W163" s="73"/>
      <c r="X163" s="73"/>
      <c r="Y163" s="73"/>
      <c r="Z163" s="73"/>
      <c r="AA163" s="75"/>
      <c r="AB163" s="75"/>
      <c r="AC163" s="55"/>
      <c r="AD163" s="89"/>
      <c r="AE163" s="89"/>
      <c r="AF163" s="89"/>
      <c r="AG163" s="57"/>
      <c r="AH163" s="58"/>
      <c r="AI163" s="49"/>
      <c r="AK163" s="41"/>
    </row>
    <row r="164" spans="1:37" ht="21">
      <c r="A164" s="32" t="s">
        <v>1793</v>
      </c>
      <c r="B164" s="92" t="s">
        <v>60</v>
      </c>
      <c r="C164" s="93" t="s">
        <v>143</v>
      </c>
      <c r="D164" s="88" t="s">
        <v>38</v>
      </c>
      <c r="E164" s="73"/>
      <c r="F164" s="73"/>
      <c r="G164" s="73"/>
      <c r="H164" s="73"/>
      <c r="I164" s="73"/>
      <c r="J164" s="73"/>
      <c r="K164" s="73"/>
      <c r="L164" s="73"/>
      <c r="M164" s="73"/>
      <c r="N164" s="73"/>
      <c r="O164" s="73"/>
      <c r="P164" s="73"/>
      <c r="Q164" s="73"/>
      <c r="R164" s="73"/>
      <c r="S164" s="73"/>
      <c r="T164" s="73"/>
      <c r="U164" s="73"/>
      <c r="V164" s="73"/>
      <c r="W164" s="73"/>
      <c r="X164" s="73"/>
      <c r="Y164" s="73"/>
      <c r="Z164" s="73"/>
      <c r="AA164" s="75"/>
      <c r="AB164" s="75"/>
      <c r="AC164" s="55"/>
      <c r="AD164" s="89"/>
      <c r="AE164" s="89"/>
      <c r="AF164" s="89"/>
      <c r="AG164" s="57"/>
      <c r="AH164" s="58"/>
      <c r="AI164" s="49"/>
      <c r="AK164" s="41"/>
    </row>
    <row r="165" spans="1:37" ht="21">
      <c r="A165" s="32" t="s">
        <v>1794</v>
      </c>
      <c r="B165" s="92" t="s">
        <v>62</v>
      </c>
      <c r="C165" s="93" t="s">
        <v>144</v>
      </c>
      <c r="D165" s="88" t="s">
        <v>38</v>
      </c>
      <c r="E165" s="73"/>
      <c r="F165" s="73"/>
      <c r="G165" s="73"/>
      <c r="H165" s="73"/>
      <c r="I165" s="73"/>
      <c r="J165" s="73"/>
      <c r="K165" s="73"/>
      <c r="L165" s="73"/>
      <c r="M165" s="73"/>
      <c r="N165" s="73"/>
      <c r="O165" s="73"/>
      <c r="P165" s="73"/>
      <c r="Q165" s="73"/>
      <c r="R165" s="73"/>
      <c r="S165" s="73"/>
      <c r="T165" s="73"/>
      <c r="U165" s="73"/>
      <c r="V165" s="73"/>
      <c r="W165" s="73"/>
      <c r="X165" s="73"/>
      <c r="Y165" s="73"/>
      <c r="Z165" s="73"/>
      <c r="AA165" s="75"/>
      <c r="AB165" s="75"/>
      <c r="AC165" s="55"/>
      <c r="AD165" s="89"/>
      <c r="AE165" s="89"/>
      <c r="AF165" s="89"/>
      <c r="AG165" s="57"/>
      <c r="AH165" s="58"/>
      <c r="AI165" s="49"/>
      <c r="AK165" s="41"/>
    </row>
    <row r="166" spans="1:37" ht="21">
      <c r="A166" s="32" t="s">
        <v>1795</v>
      </c>
      <c r="B166" s="92" t="s">
        <v>67</v>
      </c>
      <c r="C166" s="93" t="s">
        <v>145</v>
      </c>
      <c r="D166" s="88" t="s">
        <v>38</v>
      </c>
      <c r="E166" s="73"/>
      <c r="F166" s="73"/>
      <c r="G166" s="73"/>
      <c r="H166" s="73"/>
      <c r="I166" s="73"/>
      <c r="J166" s="73"/>
      <c r="K166" s="73"/>
      <c r="L166" s="73"/>
      <c r="M166" s="73"/>
      <c r="N166" s="73"/>
      <c r="O166" s="73"/>
      <c r="P166" s="73"/>
      <c r="Q166" s="73"/>
      <c r="R166" s="73"/>
      <c r="S166" s="73"/>
      <c r="T166" s="73"/>
      <c r="U166" s="73"/>
      <c r="V166" s="73"/>
      <c r="W166" s="73"/>
      <c r="X166" s="73"/>
      <c r="Y166" s="73"/>
      <c r="Z166" s="73"/>
      <c r="AA166" s="75"/>
      <c r="AB166" s="75"/>
      <c r="AC166" s="55"/>
      <c r="AD166" s="89"/>
      <c r="AE166" s="89"/>
      <c r="AF166" s="89"/>
      <c r="AG166" s="57"/>
      <c r="AH166" s="58"/>
      <c r="AI166" s="49"/>
      <c r="AK166" s="41"/>
    </row>
    <row r="167" spans="1:37" ht="21">
      <c r="A167" s="32">
        <v>4.0199999999999996</v>
      </c>
      <c r="B167" s="86">
        <v>4.0199999999999996</v>
      </c>
      <c r="C167" s="87" t="s">
        <v>146</v>
      </c>
      <c r="D167" s="88"/>
      <c r="E167" s="73"/>
      <c r="F167" s="73"/>
      <c r="G167" s="73"/>
      <c r="H167" s="73"/>
      <c r="I167" s="73"/>
      <c r="J167" s="73"/>
      <c r="K167" s="73"/>
      <c r="L167" s="73"/>
      <c r="M167" s="73"/>
      <c r="N167" s="73"/>
      <c r="O167" s="73"/>
      <c r="P167" s="73"/>
      <c r="Q167" s="73"/>
      <c r="R167" s="73"/>
      <c r="S167" s="73"/>
      <c r="T167" s="73"/>
      <c r="U167" s="73"/>
      <c r="V167" s="73"/>
      <c r="W167" s="73"/>
      <c r="X167" s="73"/>
      <c r="Y167" s="73"/>
      <c r="Z167" s="73"/>
      <c r="AA167" s="75"/>
      <c r="AB167" s="75"/>
      <c r="AC167" s="61"/>
      <c r="AD167" s="89"/>
      <c r="AE167" s="89"/>
      <c r="AF167" s="89"/>
      <c r="AG167" s="91"/>
      <c r="AH167" s="48"/>
      <c r="AI167" s="49"/>
      <c r="AK167" s="41"/>
    </row>
    <row r="168" spans="1:37" ht="21">
      <c r="A168" s="32" t="s">
        <v>1796</v>
      </c>
      <c r="B168" s="92" t="s">
        <v>14</v>
      </c>
      <c r="C168" s="93" t="s">
        <v>36</v>
      </c>
      <c r="D168" s="88"/>
      <c r="E168" s="73"/>
      <c r="F168" s="73"/>
      <c r="G168" s="73"/>
      <c r="H168" s="73"/>
      <c r="I168" s="73"/>
      <c r="J168" s="73"/>
      <c r="K168" s="73"/>
      <c r="L168" s="73"/>
      <c r="M168" s="73"/>
      <c r="N168" s="73"/>
      <c r="O168" s="73"/>
      <c r="P168" s="73"/>
      <c r="Q168" s="73"/>
      <c r="R168" s="73"/>
      <c r="S168" s="73"/>
      <c r="T168" s="73"/>
      <c r="U168" s="73"/>
      <c r="V168" s="73"/>
      <c r="W168" s="73"/>
      <c r="X168" s="73"/>
      <c r="Y168" s="73"/>
      <c r="Z168" s="73"/>
      <c r="AA168" s="75"/>
      <c r="AB168" s="75"/>
      <c r="AC168" s="61"/>
      <c r="AD168" s="89"/>
      <c r="AE168" s="89"/>
      <c r="AF168" s="89"/>
      <c r="AG168" s="91"/>
      <c r="AH168" s="48"/>
      <c r="AI168" s="49"/>
      <c r="AK168" s="41"/>
    </row>
    <row r="169" spans="1:37" ht="53.25">
      <c r="A169" s="32" t="s">
        <v>1797</v>
      </c>
      <c r="B169" s="92"/>
      <c r="C169" s="93" t="s">
        <v>2658</v>
      </c>
      <c r="D169" s="104" t="s">
        <v>739</v>
      </c>
      <c r="E169" s="73"/>
      <c r="F169" s="73"/>
      <c r="G169" s="73"/>
      <c r="H169" s="73"/>
      <c r="I169" s="73"/>
      <c r="J169" s="73"/>
      <c r="K169" s="73"/>
      <c r="L169" s="73"/>
      <c r="M169" s="73"/>
      <c r="N169" s="73"/>
      <c r="O169" s="73"/>
      <c r="P169" s="73"/>
      <c r="Q169" s="73"/>
      <c r="R169" s="73"/>
      <c r="S169" s="73"/>
      <c r="T169" s="73"/>
      <c r="U169" s="73"/>
      <c r="V169" s="73"/>
      <c r="W169" s="73"/>
      <c r="X169" s="73"/>
      <c r="Y169" s="73"/>
      <c r="Z169" s="73"/>
      <c r="AA169" s="75"/>
      <c r="AB169" s="75"/>
      <c r="AC169" s="55"/>
      <c r="AD169" s="89"/>
      <c r="AE169" s="89"/>
      <c r="AF169" s="89"/>
      <c r="AG169" s="57"/>
      <c r="AH169" s="58"/>
      <c r="AI169" s="49"/>
      <c r="AK169" s="41"/>
    </row>
    <row r="170" spans="1:37" ht="21">
      <c r="A170" s="32" t="s">
        <v>1798</v>
      </c>
      <c r="B170" s="92" t="s">
        <v>15</v>
      </c>
      <c r="C170" s="93" t="s">
        <v>147</v>
      </c>
      <c r="D170" s="88" t="s">
        <v>148</v>
      </c>
      <c r="E170" s="73"/>
      <c r="F170" s="73"/>
      <c r="G170" s="73"/>
      <c r="H170" s="73"/>
      <c r="I170" s="73"/>
      <c r="J170" s="73"/>
      <c r="K170" s="73"/>
      <c r="L170" s="73"/>
      <c r="M170" s="73"/>
      <c r="N170" s="73"/>
      <c r="O170" s="73"/>
      <c r="P170" s="73"/>
      <c r="Q170" s="73"/>
      <c r="R170" s="73"/>
      <c r="S170" s="73"/>
      <c r="T170" s="73"/>
      <c r="U170" s="73"/>
      <c r="V170" s="73"/>
      <c r="W170" s="73"/>
      <c r="X170" s="73"/>
      <c r="Y170" s="73"/>
      <c r="Z170" s="73"/>
      <c r="AA170" s="75"/>
      <c r="AB170" s="75"/>
      <c r="AC170" s="61"/>
      <c r="AD170" s="89"/>
      <c r="AE170" s="89"/>
      <c r="AF170" s="89"/>
      <c r="AG170" s="91"/>
      <c r="AH170" s="48"/>
      <c r="AI170" s="49"/>
      <c r="AK170" s="41"/>
    </row>
    <row r="171" spans="1:37" ht="53.25">
      <c r="A171" s="32" t="s">
        <v>1799</v>
      </c>
      <c r="B171" s="92" t="s">
        <v>104</v>
      </c>
      <c r="C171" s="93" t="s">
        <v>2659</v>
      </c>
      <c r="D171" s="88" t="s">
        <v>38</v>
      </c>
      <c r="E171" s="73"/>
      <c r="F171" s="73"/>
      <c r="G171" s="73"/>
      <c r="H171" s="73"/>
      <c r="I171" s="73"/>
      <c r="J171" s="73"/>
      <c r="K171" s="73"/>
      <c r="L171" s="73"/>
      <c r="M171" s="73"/>
      <c r="N171" s="73"/>
      <c r="O171" s="73"/>
      <c r="P171" s="73"/>
      <c r="Q171" s="73"/>
      <c r="R171" s="73"/>
      <c r="S171" s="73"/>
      <c r="T171" s="73"/>
      <c r="U171" s="73"/>
      <c r="V171" s="73"/>
      <c r="W171" s="73"/>
      <c r="X171" s="73"/>
      <c r="Y171" s="73"/>
      <c r="Z171" s="73"/>
      <c r="AA171" s="75"/>
      <c r="AB171" s="75"/>
      <c r="AC171" s="55"/>
      <c r="AD171" s="89"/>
      <c r="AE171" s="89"/>
      <c r="AF171" s="89"/>
      <c r="AG171" s="57"/>
      <c r="AH171" s="58"/>
      <c r="AI171" s="49"/>
      <c r="AK171" s="41"/>
    </row>
    <row r="172" spans="1:37" ht="53.25">
      <c r="A172" s="32" t="s">
        <v>1800</v>
      </c>
      <c r="B172" s="92" t="s">
        <v>24</v>
      </c>
      <c r="C172" s="93" t="s">
        <v>2660</v>
      </c>
      <c r="D172" s="88" t="s">
        <v>38</v>
      </c>
      <c r="E172" s="73"/>
      <c r="F172" s="73"/>
      <c r="G172" s="73"/>
      <c r="H172" s="73"/>
      <c r="I172" s="73"/>
      <c r="J172" s="73"/>
      <c r="K172" s="73"/>
      <c r="L172" s="73"/>
      <c r="M172" s="73"/>
      <c r="N172" s="73"/>
      <c r="O172" s="73"/>
      <c r="P172" s="73"/>
      <c r="Q172" s="73"/>
      <c r="R172" s="73"/>
      <c r="S172" s="73"/>
      <c r="T172" s="73"/>
      <c r="U172" s="73"/>
      <c r="V172" s="73"/>
      <c r="W172" s="73"/>
      <c r="X172" s="73"/>
      <c r="Y172" s="73"/>
      <c r="Z172" s="73"/>
      <c r="AA172" s="75"/>
      <c r="AB172" s="75"/>
      <c r="AC172" s="55"/>
      <c r="AD172" s="89"/>
      <c r="AE172" s="89"/>
      <c r="AF172" s="89"/>
      <c r="AG172" s="57"/>
      <c r="AH172" s="58"/>
      <c r="AI172" s="49"/>
      <c r="AK172" s="41"/>
    </row>
    <row r="173" spans="1:37" ht="21">
      <c r="A173" s="32" t="s">
        <v>1801</v>
      </c>
      <c r="B173" s="86">
        <v>4.03</v>
      </c>
      <c r="C173" s="87" t="s">
        <v>149</v>
      </c>
      <c r="D173" s="88"/>
      <c r="E173" s="73"/>
      <c r="F173" s="73"/>
      <c r="G173" s="73"/>
      <c r="H173" s="73"/>
      <c r="I173" s="73"/>
      <c r="J173" s="73"/>
      <c r="K173" s="73"/>
      <c r="L173" s="73"/>
      <c r="M173" s="73"/>
      <c r="N173" s="73"/>
      <c r="O173" s="73"/>
      <c r="P173" s="73"/>
      <c r="Q173" s="73"/>
      <c r="R173" s="73"/>
      <c r="S173" s="73"/>
      <c r="T173" s="73"/>
      <c r="U173" s="73"/>
      <c r="V173" s="73"/>
      <c r="W173" s="73"/>
      <c r="X173" s="73"/>
      <c r="Y173" s="73"/>
      <c r="Z173" s="73"/>
      <c r="AA173" s="75"/>
      <c r="AB173" s="75"/>
      <c r="AC173" s="61"/>
      <c r="AD173" s="89"/>
      <c r="AE173" s="89"/>
      <c r="AF173" s="89"/>
      <c r="AG173" s="91"/>
      <c r="AH173" s="48"/>
      <c r="AI173" s="49"/>
      <c r="AK173" s="41"/>
    </row>
    <row r="174" spans="1:37" ht="21">
      <c r="A174" s="32" t="s">
        <v>1802</v>
      </c>
      <c r="B174" s="92" t="s">
        <v>14</v>
      </c>
      <c r="C174" s="93" t="s">
        <v>36</v>
      </c>
      <c r="D174" s="88"/>
      <c r="E174" s="73"/>
      <c r="F174" s="73"/>
      <c r="G174" s="73"/>
      <c r="H174" s="73"/>
      <c r="I174" s="73"/>
      <c r="J174" s="73"/>
      <c r="K174" s="73"/>
      <c r="L174" s="73"/>
      <c r="M174" s="73"/>
      <c r="N174" s="73"/>
      <c r="O174" s="73"/>
      <c r="P174" s="73"/>
      <c r="Q174" s="73"/>
      <c r="R174" s="73"/>
      <c r="S174" s="73"/>
      <c r="T174" s="73"/>
      <c r="U174" s="73"/>
      <c r="V174" s="73"/>
      <c r="W174" s="73"/>
      <c r="X174" s="73"/>
      <c r="Y174" s="73"/>
      <c r="Z174" s="73"/>
      <c r="AA174" s="75"/>
      <c r="AB174" s="75"/>
      <c r="AC174" s="61"/>
      <c r="AD174" s="89"/>
      <c r="AE174" s="89"/>
      <c r="AF174" s="89"/>
      <c r="AG174" s="91"/>
      <c r="AH174" s="48"/>
      <c r="AI174" s="49"/>
      <c r="AK174" s="41"/>
    </row>
    <row r="175" spans="1:37" ht="53.25">
      <c r="A175" s="32" t="s">
        <v>1803</v>
      </c>
      <c r="B175" s="105"/>
      <c r="C175" s="93" t="s">
        <v>2661</v>
      </c>
      <c r="D175" s="88" t="s">
        <v>38</v>
      </c>
      <c r="E175" s="73"/>
      <c r="F175" s="73"/>
      <c r="G175" s="73"/>
      <c r="H175" s="73"/>
      <c r="I175" s="73"/>
      <c r="J175" s="73"/>
      <c r="K175" s="73"/>
      <c r="L175" s="73"/>
      <c r="M175" s="73"/>
      <c r="N175" s="73"/>
      <c r="O175" s="73"/>
      <c r="P175" s="73"/>
      <c r="Q175" s="73"/>
      <c r="R175" s="73"/>
      <c r="S175" s="73"/>
      <c r="T175" s="73"/>
      <c r="U175" s="73"/>
      <c r="V175" s="73"/>
      <c r="W175" s="73"/>
      <c r="X175" s="73"/>
      <c r="Y175" s="73"/>
      <c r="Z175" s="73"/>
      <c r="AA175" s="75"/>
      <c r="AB175" s="75"/>
      <c r="AC175" s="55"/>
      <c r="AD175" s="89"/>
      <c r="AE175" s="89"/>
      <c r="AF175" s="89"/>
      <c r="AG175" s="57"/>
      <c r="AH175" s="58"/>
      <c r="AI175" s="49"/>
      <c r="AK175" s="41"/>
    </row>
    <row r="176" spans="1:37" ht="21">
      <c r="A176" s="32" t="s">
        <v>1804</v>
      </c>
      <c r="B176" s="92" t="s">
        <v>15</v>
      </c>
      <c r="C176" s="93" t="s">
        <v>147</v>
      </c>
      <c r="D176" s="88"/>
      <c r="E176" s="73"/>
      <c r="F176" s="73"/>
      <c r="G176" s="73"/>
      <c r="H176" s="73"/>
      <c r="I176" s="73"/>
      <c r="J176" s="73"/>
      <c r="K176" s="73"/>
      <c r="L176" s="73"/>
      <c r="M176" s="73"/>
      <c r="N176" s="73"/>
      <c r="O176" s="73"/>
      <c r="P176" s="73"/>
      <c r="Q176" s="73"/>
      <c r="R176" s="73"/>
      <c r="S176" s="73"/>
      <c r="T176" s="73"/>
      <c r="U176" s="73"/>
      <c r="V176" s="73"/>
      <c r="W176" s="73"/>
      <c r="X176" s="73"/>
      <c r="Y176" s="73"/>
      <c r="Z176" s="73"/>
      <c r="AA176" s="75"/>
      <c r="AB176" s="75"/>
      <c r="AC176" s="61"/>
      <c r="AD176" s="89"/>
      <c r="AE176" s="89"/>
      <c r="AF176" s="89"/>
      <c r="AG176" s="91"/>
      <c r="AH176" s="48"/>
      <c r="AI176" s="49"/>
      <c r="AK176" s="41"/>
    </row>
    <row r="177" spans="1:37" ht="53.25">
      <c r="A177" s="32" t="s">
        <v>1805</v>
      </c>
      <c r="B177" s="92" t="s">
        <v>104</v>
      </c>
      <c r="C177" s="93" t="s">
        <v>2661</v>
      </c>
      <c r="D177" s="88" t="s">
        <v>38</v>
      </c>
      <c r="E177" s="73"/>
      <c r="F177" s="73"/>
      <c r="G177" s="73"/>
      <c r="H177" s="73"/>
      <c r="I177" s="73"/>
      <c r="J177" s="73"/>
      <c r="K177" s="73"/>
      <c r="L177" s="73"/>
      <c r="M177" s="73"/>
      <c r="N177" s="73"/>
      <c r="O177" s="73"/>
      <c r="P177" s="73"/>
      <c r="Q177" s="73"/>
      <c r="R177" s="73"/>
      <c r="S177" s="73"/>
      <c r="T177" s="73"/>
      <c r="U177" s="73"/>
      <c r="V177" s="73"/>
      <c r="W177" s="73"/>
      <c r="X177" s="73"/>
      <c r="Y177" s="73"/>
      <c r="Z177" s="73"/>
      <c r="AA177" s="75"/>
      <c r="AB177" s="75"/>
      <c r="AC177" s="55"/>
      <c r="AD177" s="89"/>
      <c r="AE177" s="89"/>
      <c r="AF177" s="89"/>
      <c r="AG177" s="57"/>
      <c r="AH177" s="58"/>
      <c r="AI177" s="49"/>
      <c r="AK177" s="41"/>
    </row>
    <row r="178" spans="1:37" ht="53.25">
      <c r="A178" s="32" t="s">
        <v>1806</v>
      </c>
      <c r="B178" s="92" t="s">
        <v>24</v>
      </c>
      <c r="C178" s="93" t="s">
        <v>2662</v>
      </c>
      <c r="D178" s="88" t="s">
        <v>38</v>
      </c>
      <c r="E178" s="73"/>
      <c r="F178" s="73"/>
      <c r="G178" s="73"/>
      <c r="H178" s="73"/>
      <c r="I178" s="73"/>
      <c r="J178" s="73"/>
      <c r="K178" s="73"/>
      <c r="L178" s="73"/>
      <c r="M178" s="73"/>
      <c r="N178" s="73"/>
      <c r="O178" s="73"/>
      <c r="P178" s="73"/>
      <c r="Q178" s="73"/>
      <c r="R178" s="73"/>
      <c r="S178" s="73"/>
      <c r="T178" s="73"/>
      <c r="U178" s="73"/>
      <c r="V178" s="73"/>
      <c r="W178" s="73"/>
      <c r="X178" s="73"/>
      <c r="Y178" s="73"/>
      <c r="Z178" s="73"/>
      <c r="AA178" s="75"/>
      <c r="AB178" s="75"/>
      <c r="AC178" s="55"/>
      <c r="AD178" s="89"/>
      <c r="AE178" s="89"/>
      <c r="AF178" s="89"/>
      <c r="AG178" s="57"/>
      <c r="AH178" s="58"/>
      <c r="AI178" s="49"/>
      <c r="AK178" s="41"/>
    </row>
    <row r="179" spans="1:37" ht="21">
      <c r="A179" s="32" t="s">
        <v>1807</v>
      </c>
      <c r="B179" s="86">
        <v>4.04</v>
      </c>
      <c r="C179" s="87" t="s">
        <v>150</v>
      </c>
      <c r="D179" s="88"/>
      <c r="E179" s="73"/>
      <c r="F179" s="73"/>
      <c r="G179" s="73"/>
      <c r="H179" s="73"/>
      <c r="I179" s="73"/>
      <c r="J179" s="73"/>
      <c r="K179" s="73"/>
      <c r="L179" s="73"/>
      <c r="M179" s="73"/>
      <c r="N179" s="73"/>
      <c r="O179" s="73"/>
      <c r="P179" s="73"/>
      <c r="Q179" s="73"/>
      <c r="R179" s="73"/>
      <c r="S179" s="73"/>
      <c r="T179" s="73"/>
      <c r="U179" s="73"/>
      <c r="V179" s="73"/>
      <c r="W179" s="73"/>
      <c r="X179" s="73"/>
      <c r="Y179" s="73"/>
      <c r="Z179" s="73"/>
      <c r="AA179" s="75"/>
      <c r="AB179" s="75"/>
      <c r="AC179" s="61"/>
      <c r="AD179" s="89"/>
      <c r="AE179" s="89"/>
      <c r="AF179" s="89"/>
      <c r="AG179" s="91"/>
      <c r="AH179" s="48"/>
      <c r="AI179" s="49"/>
      <c r="AK179" s="41"/>
    </row>
    <row r="180" spans="1:37" ht="21">
      <c r="A180" s="32" t="s">
        <v>1808</v>
      </c>
      <c r="B180" s="92" t="s">
        <v>14</v>
      </c>
      <c r="C180" s="93" t="s">
        <v>36</v>
      </c>
      <c r="D180" s="88"/>
      <c r="E180" s="73"/>
      <c r="F180" s="73"/>
      <c r="G180" s="73"/>
      <c r="H180" s="73"/>
      <c r="I180" s="73"/>
      <c r="J180" s="73"/>
      <c r="K180" s="73"/>
      <c r="L180" s="73"/>
      <c r="M180" s="73"/>
      <c r="N180" s="73"/>
      <c r="O180" s="73"/>
      <c r="P180" s="73"/>
      <c r="Q180" s="73"/>
      <c r="R180" s="73"/>
      <c r="S180" s="73"/>
      <c r="T180" s="73"/>
      <c r="U180" s="73"/>
      <c r="V180" s="73"/>
      <c r="W180" s="73"/>
      <c r="X180" s="73"/>
      <c r="Y180" s="73"/>
      <c r="Z180" s="73"/>
      <c r="AA180" s="75"/>
      <c r="AB180" s="75"/>
      <c r="AC180" s="61"/>
      <c r="AD180" s="89"/>
      <c r="AE180" s="89"/>
      <c r="AF180" s="89"/>
      <c r="AG180" s="91"/>
      <c r="AH180" s="48"/>
      <c r="AI180" s="49"/>
      <c r="AK180" s="41"/>
    </row>
    <row r="181" spans="1:37" ht="53.25">
      <c r="A181" s="32" t="s">
        <v>1809</v>
      </c>
      <c r="B181" s="86"/>
      <c r="C181" s="93" t="s">
        <v>2663</v>
      </c>
      <c r="D181" s="88" t="s">
        <v>38</v>
      </c>
      <c r="E181" s="73"/>
      <c r="F181" s="73"/>
      <c r="G181" s="73"/>
      <c r="H181" s="73"/>
      <c r="I181" s="73"/>
      <c r="J181" s="73"/>
      <c r="K181" s="73"/>
      <c r="L181" s="73"/>
      <c r="M181" s="73"/>
      <c r="N181" s="73"/>
      <c r="O181" s="73"/>
      <c r="P181" s="73"/>
      <c r="Q181" s="73"/>
      <c r="R181" s="73"/>
      <c r="S181" s="73"/>
      <c r="T181" s="73"/>
      <c r="U181" s="73"/>
      <c r="V181" s="73"/>
      <c r="W181" s="73"/>
      <c r="X181" s="73"/>
      <c r="Y181" s="73"/>
      <c r="Z181" s="73"/>
      <c r="AA181" s="75"/>
      <c r="AB181" s="75"/>
      <c r="AC181" s="55"/>
      <c r="AD181" s="89"/>
      <c r="AE181" s="89"/>
      <c r="AF181" s="89"/>
      <c r="AG181" s="57"/>
      <c r="AH181" s="58"/>
      <c r="AI181" s="49"/>
      <c r="AK181" s="41"/>
    </row>
    <row r="182" spans="1:37" ht="21">
      <c r="A182" s="32" t="s">
        <v>1810</v>
      </c>
      <c r="B182" s="92" t="s">
        <v>15</v>
      </c>
      <c r="C182" s="93" t="s">
        <v>147</v>
      </c>
      <c r="D182" s="88"/>
      <c r="E182" s="73"/>
      <c r="F182" s="73"/>
      <c r="G182" s="73"/>
      <c r="H182" s="73"/>
      <c r="I182" s="73"/>
      <c r="J182" s="73"/>
      <c r="K182" s="73"/>
      <c r="L182" s="73"/>
      <c r="M182" s="73"/>
      <c r="N182" s="73"/>
      <c r="O182" s="73"/>
      <c r="P182" s="73"/>
      <c r="Q182" s="73"/>
      <c r="R182" s="73"/>
      <c r="S182" s="73"/>
      <c r="T182" s="73"/>
      <c r="U182" s="73"/>
      <c r="V182" s="73"/>
      <c r="W182" s="73"/>
      <c r="X182" s="73"/>
      <c r="Y182" s="73"/>
      <c r="Z182" s="73"/>
      <c r="AA182" s="75"/>
      <c r="AB182" s="75"/>
      <c r="AC182" s="61"/>
      <c r="AD182" s="89"/>
      <c r="AE182" s="89"/>
      <c r="AF182" s="89"/>
      <c r="AG182" s="91"/>
      <c r="AH182" s="48"/>
      <c r="AI182" s="49"/>
      <c r="AK182" s="41"/>
    </row>
    <row r="183" spans="1:37" ht="66">
      <c r="A183" s="32" t="s">
        <v>1811</v>
      </c>
      <c r="B183" s="92" t="s">
        <v>104</v>
      </c>
      <c r="C183" s="93" t="s">
        <v>2664</v>
      </c>
      <c r="D183" s="88" t="s">
        <v>38</v>
      </c>
      <c r="E183" s="73"/>
      <c r="F183" s="73"/>
      <c r="G183" s="73"/>
      <c r="H183" s="73"/>
      <c r="I183" s="73"/>
      <c r="J183" s="73"/>
      <c r="K183" s="73"/>
      <c r="L183" s="73"/>
      <c r="M183" s="73"/>
      <c r="N183" s="73"/>
      <c r="O183" s="73"/>
      <c r="P183" s="73"/>
      <c r="Q183" s="73"/>
      <c r="R183" s="73"/>
      <c r="S183" s="73"/>
      <c r="T183" s="73"/>
      <c r="U183" s="73"/>
      <c r="V183" s="73"/>
      <c r="W183" s="73"/>
      <c r="X183" s="73"/>
      <c r="Y183" s="73"/>
      <c r="Z183" s="73"/>
      <c r="AA183" s="75"/>
      <c r="AB183" s="75"/>
      <c r="AC183" s="55"/>
      <c r="AD183" s="89"/>
      <c r="AE183" s="89"/>
      <c r="AF183" s="89"/>
      <c r="AG183" s="57"/>
      <c r="AH183" s="58"/>
      <c r="AI183" s="49"/>
      <c r="AK183" s="41"/>
    </row>
    <row r="184" spans="1:37" ht="53.25">
      <c r="A184" s="32" t="s">
        <v>1812</v>
      </c>
      <c r="B184" s="92" t="s">
        <v>24</v>
      </c>
      <c r="C184" s="93" t="s">
        <v>2665</v>
      </c>
      <c r="D184" s="88" t="s">
        <v>38</v>
      </c>
      <c r="E184" s="73"/>
      <c r="F184" s="73"/>
      <c r="G184" s="73"/>
      <c r="H184" s="73"/>
      <c r="I184" s="73"/>
      <c r="J184" s="73"/>
      <c r="K184" s="73"/>
      <c r="L184" s="73"/>
      <c r="M184" s="73"/>
      <c r="N184" s="73"/>
      <c r="O184" s="73"/>
      <c r="P184" s="73"/>
      <c r="Q184" s="73"/>
      <c r="R184" s="73"/>
      <c r="S184" s="73"/>
      <c r="T184" s="73"/>
      <c r="U184" s="73"/>
      <c r="V184" s="73"/>
      <c r="W184" s="73"/>
      <c r="X184" s="73"/>
      <c r="Y184" s="73"/>
      <c r="Z184" s="73"/>
      <c r="AA184" s="75"/>
      <c r="AB184" s="75"/>
      <c r="AC184" s="55"/>
      <c r="AD184" s="89"/>
      <c r="AE184" s="89"/>
      <c r="AF184" s="89"/>
      <c r="AG184" s="57"/>
      <c r="AH184" s="58"/>
      <c r="AI184" s="49"/>
      <c r="AK184" s="41"/>
    </row>
    <row r="185" spans="1:37" ht="53.25">
      <c r="A185" s="32" t="s">
        <v>1813</v>
      </c>
      <c r="B185" s="92" t="s">
        <v>25</v>
      </c>
      <c r="C185" s="93" t="s">
        <v>2666</v>
      </c>
      <c r="D185" s="88" t="s">
        <v>38</v>
      </c>
      <c r="E185" s="73"/>
      <c r="F185" s="73"/>
      <c r="G185" s="73"/>
      <c r="H185" s="73"/>
      <c r="I185" s="73"/>
      <c r="J185" s="73"/>
      <c r="K185" s="73"/>
      <c r="L185" s="73"/>
      <c r="M185" s="73"/>
      <c r="N185" s="73"/>
      <c r="O185" s="73"/>
      <c r="P185" s="73"/>
      <c r="Q185" s="73"/>
      <c r="R185" s="73"/>
      <c r="S185" s="73"/>
      <c r="T185" s="73"/>
      <c r="U185" s="73"/>
      <c r="V185" s="73"/>
      <c r="W185" s="73"/>
      <c r="X185" s="73"/>
      <c r="Y185" s="73"/>
      <c r="Z185" s="73"/>
      <c r="AA185" s="75"/>
      <c r="AB185" s="75"/>
      <c r="AC185" s="55"/>
      <c r="AD185" s="89"/>
      <c r="AE185" s="89"/>
      <c r="AF185" s="89"/>
      <c r="AG185" s="57"/>
      <c r="AH185" s="58"/>
      <c r="AI185" s="49"/>
      <c r="AK185" s="41"/>
    </row>
    <row r="186" spans="1:37" ht="53.25">
      <c r="A186" s="32" t="s">
        <v>1814</v>
      </c>
      <c r="B186" s="92" t="s">
        <v>60</v>
      </c>
      <c r="C186" s="93" t="s">
        <v>2667</v>
      </c>
      <c r="D186" s="88" t="s">
        <v>38</v>
      </c>
      <c r="E186" s="73"/>
      <c r="F186" s="73"/>
      <c r="G186" s="73"/>
      <c r="H186" s="73"/>
      <c r="I186" s="73"/>
      <c r="J186" s="73"/>
      <c r="K186" s="73"/>
      <c r="L186" s="73"/>
      <c r="M186" s="73"/>
      <c r="N186" s="73"/>
      <c r="O186" s="73"/>
      <c r="P186" s="73"/>
      <c r="Q186" s="73"/>
      <c r="R186" s="73"/>
      <c r="S186" s="73"/>
      <c r="T186" s="73"/>
      <c r="U186" s="73"/>
      <c r="V186" s="73"/>
      <c r="W186" s="73"/>
      <c r="X186" s="73"/>
      <c r="Y186" s="73"/>
      <c r="Z186" s="73"/>
      <c r="AA186" s="75"/>
      <c r="AB186" s="75"/>
      <c r="AC186" s="55"/>
      <c r="AD186" s="89"/>
      <c r="AE186" s="89"/>
      <c r="AF186" s="89"/>
      <c r="AG186" s="57"/>
      <c r="AH186" s="58"/>
      <c r="AI186" s="49"/>
      <c r="AK186" s="41"/>
    </row>
    <row r="187" spans="1:37" ht="53.25">
      <c r="A187" s="32" t="s">
        <v>1815</v>
      </c>
      <c r="B187" s="86">
        <v>4.05</v>
      </c>
      <c r="C187" s="87" t="s">
        <v>2498</v>
      </c>
      <c r="D187" s="88" t="s">
        <v>38</v>
      </c>
      <c r="E187" s="73"/>
      <c r="F187" s="73"/>
      <c r="G187" s="73"/>
      <c r="H187" s="73"/>
      <c r="I187" s="73"/>
      <c r="J187" s="73"/>
      <c r="K187" s="73"/>
      <c r="L187" s="73"/>
      <c r="M187" s="73"/>
      <c r="N187" s="73"/>
      <c r="O187" s="73"/>
      <c r="P187" s="73"/>
      <c r="Q187" s="73"/>
      <c r="R187" s="73"/>
      <c r="S187" s="73"/>
      <c r="T187" s="73"/>
      <c r="U187" s="73"/>
      <c r="V187" s="73"/>
      <c r="W187" s="73"/>
      <c r="X187" s="73"/>
      <c r="Y187" s="73"/>
      <c r="Z187" s="73"/>
      <c r="AA187" s="75"/>
      <c r="AB187" s="75"/>
      <c r="AC187" s="55"/>
      <c r="AD187" s="89"/>
      <c r="AE187" s="89"/>
      <c r="AF187" s="89"/>
      <c r="AG187" s="57"/>
      <c r="AH187" s="58"/>
      <c r="AI187" s="49"/>
      <c r="AK187" s="41"/>
    </row>
    <row r="188" spans="1:37" ht="53.25">
      <c r="A188" s="32" t="s">
        <v>1816</v>
      </c>
      <c r="B188" s="106">
        <v>4.0599999999999996</v>
      </c>
      <c r="C188" s="107" t="s">
        <v>2668</v>
      </c>
      <c r="D188" s="108" t="s">
        <v>38</v>
      </c>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10"/>
      <c r="AB188" s="110"/>
      <c r="AC188" s="55"/>
      <c r="AD188" s="89"/>
      <c r="AE188" s="89"/>
      <c r="AF188" s="89"/>
      <c r="AG188" s="57"/>
      <c r="AH188" s="58"/>
      <c r="AI188" s="49"/>
      <c r="AK188" s="41"/>
    </row>
    <row r="189" spans="1:37" ht="66">
      <c r="A189" s="32" t="s">
        <v>1817</v>
      </c>
      <c r="B189" s="86">
        <v>4.07</v>
      </c>
      <c r="C189" s="87" t="s">
        <v>2499</v>
      </c>
      <c r="D189" s="88"/>
      <c r="E189" s="73"/>
      <c r="F189" s="73"/>
      <c r="G189" s="73"/>
      <c r="H189" s="73"/>
      <c r="I189" s="73"/>
      <c r="J189" s="73"/>
      <c r="K189" s="73"/>
      <c r="L189" s="73"/>
      <c r="M189" s="73"/>
      <c r="N189" s="73"/>
      <c r="O189" s="73"/>
      <c r="P189" s="73"/>
      <c r="Q189" s="73"/>
      <c r="R189" s="73"/>
      <c r="S189" s="73"/>
      <c r="T189" s="73"/>
      <c r="U189" s="73"/>
      <c r="V189" s="73"/>
      <c r="W189" s="73"/>
      <c r="X189" s="73"/>
      <c r="Y189" s="73"/>
      <c r="Z189" s="73"/>
      <c r="AA189" s="75"/>
      <c r="AB189" s="75"/>
      <c r="AC189" s="61"/>
      <c r="AD189" s="89"/>
      <c r="AE189" s="89"/>
      <c r="AF189" s="89"/>
      <c r="AG189" s="91"/>
      <c r="AH189" s="48"/>
      <c r="AI189" s="49"/>
      <c r="AK189" s="41"/>
    </row>
    <row r="190" spans="1:37" ht="21">
      <c r="A190" s="32" t="s">
        <v>1818</v>
      </c>
      <c r="B190" s="111" t="s">
        <v>104</v>
      </c>
      <c r="C190" s="93" t="s">
        <v>151</v>
      </c>
      <c r="D190" s="88" t="s">
        <v>38</v>
      </c>
      <c r="E190" s="73"/>
      <c r="F190" s="73"/>
      <c r="G190" s="73"/>
      <c r="H190" s="73"/>
      <c r="I190" s="73"/>
      <c r="J190" s="73"/>
      <c r="K190" s="73"/>
      <c r="L190" s="73"/>
      <c r="M190" s="73"/>
      <c r="N190" s="73"/>
      <c r="O190" s="73"/>
      <c r="P190" s="73"/>
      <c r="Q190" s="73"/>
      <c r="R190" s="73"/>
      <c r="S190" s="73"/>
      <c r="T190" s="73"/>
      <c r="U190" s="73"/>
      <c r="V190" s="73"/>
      <c r="W190" s="73"/>
      <c r="X190" s="73"/>
      <c r="Y190" s="73"/>
      <c r="Z190" s="73"/>
      <c r="AA190" s="75"/>
      <c r="AB190" s="75"/>
      <c r="AC190" s="55"/>
      <c r="AD190" s="89"/>
      <c r="AE190" s="89"/>
      <c r="AF190" s="89"/>
      <c r="AG190" s="57"/>
      <c r="AH190" s="58"/>
      <c r="AI190" s="49"/>
      <c r="AK190" s="41"/>
    </row>
    <row r="191" spans="1:37" ht="21">
      <c r="A191" s="32" t="s">
        <v>1819</v>
      </c>
      <c r="B191" s="111" t="s">
        <v>24</v>
      </c>
      <c r="C191" s="93" t="s">
        <v>152</v>
      </c>
      <c r="D191" s="88" t="s">
        <v>38</v>
      </c>
      <c r="E191" s="73"/>
      <c r="F191" s="73"/>
      <c r="G191" s="73"/>
      <c r="H191" s="73"/>
      <c r="I191" s="73"/>
      <c r="J191" s="73"/>
      <c r="K191" s="73"/>
      <c r="L191" s="73"/>
      <c r="M191" s="73"/>
      <c r="N191" s="73"/>
      <c r="O191" s="73"/>
      <c r="P191" s="73"/>
      <c r="Q191" s="73"/>
      <c r="R191" s="73"/>
      <c r="S191" s="73"/>
      <c r="T191" s="73"/>
      <c r="U191" s="73"/>
      <c r="V191" s="73"/>
      <c r="W191" s="73"/>
      <c r="X191" s="73"/>
      <c r="Y191" s="73"/>
      <c r="Z191" s="73"/>
      <c r="AA191" s="75"/>
      <c r="AB191" s="75"/>
      <c r="AC191" s="55"/>
      <c r="AD191" s="89"/>
      <c r="AE191" s="89"/>
      <c r="AF191" s="89"/>
      <c r="AG191" s="57"/>
      <c r="AH191" s="58"/>
      <c r="AI191" s="49"/>
      <c r="AK191" s="41"/>
    </row>
    <row r="192" spans="1:37" ht="53.25">
      <c r="A192" s="32" t="s">
        <v>1820</v>
      </c>
      <c r="B192" s="88">
        <v>4.08</v>
      </c>
      <c r="C192" s="87" t="s">
        <v>2500</v>
      </c>
      <c r="D192" s="88"/>
      <c r="E192" s="73"/>
      <c r="F192" s="73"/>
      <c r="G192" s="73"/>
      <c r="H192" s="73"/>
      <c r="I192" s="73"/>
      <c r="J192" s="73"/>
      <c r="K192" s="73"/>
      <c r="L192" s="73"/>
      <c r="M192" s="73"/>
      <c r="N192" s="73"/>
      <c r="O192" s="73"/>
      <c r="P192" s="73"/>
      <c r="Q192" s="73"/>
      <c r="R192" s="73"/>
      <c r="S192" s="73"/>
      <c r="T192" s="73"/>
      <c r="U192" s="73"/>
      <c r="V192" s="73"/>
      <c r="W192" s="73"/>
      <c r="X192" s="73"/>
      <c r="Y192" s="73"/>
      <c r="Z192" s="73"/>
      <c r="AA192" s="75"/>
      <c r="AB192" s="75"/>
      <c r="AC192" s="61"/>
      <c r="AD192" s="89"/>
      <c r="AE192" s="89"/>
      <c r="AF192" s="89"/>
      <c r="AG192" s="91"/>
      <c r="AH192" s="48"/>
      <c r="AI192" s="49"/>
      <c r="AK192" s="41"/>
    </row>
    <row r="193" spans="1:38" ht="21">
      <c r="A193" s="32" t="s">
        <v>1821</v>
      </c>
      <c r="B193" s="112" t="s">
        <v>14</v>
      </c>
      <c r="C193" s="87" t="s">
        <v>153</v>
      </c>
      <c r="D193" s="88"/>
      <c r="E193" s="73"/>
      <c r="F193" s="73"/>
      <c r="G193" s="73"/>
      <c r="H193" s="73"/>
      <c r="I193" s="73"/>
      <c r="J193" s="73"/>
      <c r="K193" s="73"/>
      <c r="L193" s="73"/>
      <c r="M193" s="73"/>
      <c r="N193" s="73"/>
      <c r="O193" s="73"/>
      <c r="P193" s="73"/>
      <c r="Q193" s="73"/>
      <c r="R193" s="73"/>
      <c r="S193" s="73"/>
      <c r="T193" s="73"/>
      <c r="U193" s="73"/>
      <c r="V193" s="73"/>
      <c r="W193" s="73"/>
      <c r="X193" s="73"/>
      <c r="Y193" s="73"/>
      <c r="Z193" s="73"/>
      <c r="AA193" s="75"/>
      <c r="AB193" s="75"/>
      <c r="AC193" s="61"/>
      <c r="AD193" s="89"/>
      <c r="AE193" s="89"/>
      <c r="AF193" s="89"/>
      <c r="AG193" s="91"/>
      <c r="AH193" s="48"/>
      <c r="AI193" s="49"/>
      <c r="AK193" s="41"/>
    </row>
    <row r="194" spans="1:38" s="68" customFormat="1" ht="21">
      <c r="A194" s="64" t="s">
        <v>1822</v>
      </c>
      <c r="B194" s="113" t="s">
        <v>104</v>
      </c>
      <c r="C194" s="103" t="s">
        <v>154</v>
      </c>
      <c r="D194" s="100" t="s">
        <v>38</v>
      </c>
      <c r="E194" s="73"/>
      <c r="F194" s="73"/>
      <c r="G194" s="73"/>
      <c r="H194" s="73"/>
      <c r="I194" s="73"/>
      <c r="J194" s="73"/>
      <c r="K194" s="73"/>
      <c r="L194" s="73"/>
      <c r="M194" s="73"/>
      <c r="N194" s="73"/>
      <c r="O194" s="73"/>
      <c r="P194" s="73"/>
      <c r="Q194" s="73"/>
      <c r="R194" s="73"/>
      <c r="S194" s="73"/>
      <c r="T194" s="73"/>
      <c r="U194" s="73"/>
      <c r="V194" s="73"/>
      <c r="W194" s="73"/>
      <c r="X194" s="73"/>
      <c r="Y194" s="73"/>
      <c r="Z194" s="73"/>
      <c r="AA194" s="75"/>
      <c r="AB194" s="75"/>
      <c r="AC194" s="55"/>
      <c r="AD194" s="89"/>
      <c r="AE194" s="89"/>
      <c r="AF194" s="89"/>
      <c r="AG194" s="65"/>
      <c r="AH194" s="66"/>
      <c r="AI194" s="114"/>
      <c r="AJ194" s="40"/>
      <c r="AK194" s="41"/>
      <c r="AL194" s="67"/>
    </row>
    <row r="195" spans="1:38" ht="21">
      <c r="A195" s="32" t="s">
        <v>1823</v>
      </c>
      <c r="B195" s="111" t="s">
        <v>24</v>
      </c>
      <c r="C195" s="93" t="s">
        <v>155</v>
      </c>
      <c r="D195" s="88" t="s">
        <v>38</v>
      </c>
      <c r="E195" s="73"/>
      <c r="F195" s="73"/>
      <c r="G195" s="73"/>
      <c r="H195" s="73"/>
      <c r="I195" s="73"/>
      <c r="J195" s="73"/>
      <c r="K195" s="73"/>
      <c r="L195" s="73"/>
      <c r="M195" s="73"/>
      <c r="N195" s="73"/>
      <c r="O195" s="73"/>
      <c r="P195" s="73"/>
      <c r="Q195" s="73"/>
      <c r="R195" s="73"/>
      <c r="S195" s="73"/>
      <c r="T195" s="73"/>
      <c r="U195" s="73"/>
      <c r="V195" s="73"/>
      <c r="W195" s="73"/>
      <c r="X195" s="73"/>
      <c r="Y195" s="73"/>
      <c r="Z195" s="73"/>
      <c r="AA195" s="75"/>
      <c r="AB195" s="75"/>
      <c r="AC195" s="55"/>
      <c r="AD195" s="89"/>
      <c r="AE195" s="89"/>
      <c r="AF195" s="89"/>
      <c r="AG195" s="57"/>
      <c r="AH195" s="58"/>
      <c r="AI195" s="49"/>
      <c r="AK195" s="41"/>
    </row>
    <row r="196" spans="1:38" ht="21">
      <c r="A196" s="32" t="s">
        <v>1824</v>
      </c>
      <c r="B196" s="112" t="s">
        <v>15</v>
      </c>
      <c r="C196" s="87" t="s">
        <v>156</v>
      </c>
      <c r="D196" s="88"/>
      <c r="E196" s="73"/>
      <c r="F196" s="73"/>
      <c r="G196" s="73"/>
      <c r="H196" s="73"/>
      <c r="I196" s="73"/>
      <c r="J196" s="73"/>
      <c r="K196" s="73"/>
      <c r="L196" s="73"/>
      <c r="M196" s="73"/>
      <c r="N196" s="73"/>
      <c r="O196" s="73"/>
      <c r="P196" s="73"/>
      <c r="Q196" s="73"/>
      <c r="R196" s="73"/>
      <c r="S196" s="73"/>
      <c r="T196" s="73"/>
      <c r="U196" s="73"/>
      <c r="V196" s="73"/>
      <c r="W196" s="73"/>
      <c r="X196" s="73"/>
      <c r="Y196" s="73"/>
      <c r="Z196" s="73"/>
      <c r="AA196" s="75"/>
      <c r="AB196" s="75"/>
      <c r="AC196" s="61"/>
      <c r="AD196" s="89"/>
      <c r="AE196" s="89"/>
      <c r="AF196" s="89"/>
      <c r="AG196" s="91"/>
      <c r="AH196" s="48"/>
      <c r="AI196" s="49"/>
      <c r="AK196" s="41"/>
    </row>
    <row r="197" spans="1:38" ht="21">
      <c r="A197" s="32" t="s">
        <v>1825</v>
      </c>
      <c r="B197" s="111" t="s">
        <v>104</v>
      </c>
      <c r="C197" s="93" t="s">
        <v>154</v>
      </c>
      <c r="D197" s="88" t="s">
        <v>38</v>
      </c>
      <c r="E197" s="73"/>
      <c r="F197" s="73"/>
      <c r="G197" s="73"/>
      <c r="H197" s="73"/>
      <c r="I197" s="73"/>
      <c r="J197" s="73"/>
      <c r="K197" s="73"/>
      <c r="L197" s="73"/>
      <c r="M197" s="73"/>
      <c r="N197" s="73"/>
      <c r="O197" s="73"/>
      <c r="P197" s="73"/>
      <c r="Q197" s="73"/>
      <c r="R197" s="73"/>
      <c r="S197" s="73"/>
      <c r="T197" s="73"/>
      <c r="U197" s="73"/>
      <c r="V197" s="73"/>
      <c r="W197" s="73"/>
      <c r="X197" s="73"/>
      <c r="Y197" s="73"/>
      <c r="Z197" s="73"/>
      <c r="AA197" s="75"/>
      <c r="AB197" s="75"/>
      <c r="AC197" s="55"/>
      <c r="AD197" s="89"/>
      <c r="AE197" s="89"/>
      <c r="AF197" s="89"/>
      <c r="AG197" s="57"/>
      <c r="AH197" s="58"/>
      <c r="AI197" s="49"/>
      <c r="AK197" s="41"/>
    </row>
    <row r="198" spans="1:38" ht="21">
      <c r="A198" s="32" t="s">
        <v>1826</v>
      </c>
      <c r="B198" s="111" t="s">
        <v>24</v>
      </c>
      <c r="C198" s="93" t="s">
        <v>155</v>
      </c>
      <c r="D198" s="88" t="s">
        <v>38</v>
      </c>
      <c r="E198" s="73"/>
      <c r="F198" s="73"/>
      <c r="G198" s="73"/>
      <c r="H198" s="73"/>
      <c r="I198" s="73"/>
      <c r="J198" s="73"/>
      <c r="K198" s="73"/>
      <c r="L198" s="73"/>
      <c r="M198" s="73"/>
      <c r="N198" s="73"/>
      <c r="O198" s="73"/>
      <c r="P198" s="73"/>
      <c r="Q198" s="73"/>
      <c r="R198" s="73"/>
      <c r="S198" s="73"/>
      <c r="T198" s="73"/>
      <c r="U198" s="73"/>
      <c r="V198" s="73"/>
      <c r="W198" s="73"/>
      <c r="X198" s="73"/>
      <c r="Y198" s="73"/>
      <c r="Z198" s="73"/>
      <c r="AA198" s="75"/>
      <c r="AB198" s="75"/>
      <c r="AC198" s="55"/>
      <c r="AD198" s="89"/>
      <c r="AE198" s="89"/>
      <c r="AF198" s="89"/>
      <c r="AG198" s="57"/>
      <c r="AH198" s="58"/>
      <c r="AI198" s="49"/>
      <c r="AK198" s="41"/>
    </row>
    <row r="199" spans="1:38" ht="40.5">
      <c r="A199" s="32" t="s">
        <v>1827</v>
      </c>
      <c r="B199" s="86">
        <v>4.09</v>
      </c>
      <c r="C199" s="87" t="s">
        <v>2501</v>
      </c>
      <c r="D199" s="88" t="s">
        <v>77</v>
      </c>
      <c r="E199" s="73"/>
      <c r="F199" s="73"/>
      <c r="G199" s="73"/>
      <c r="H199" s="73"/>
      <c r="I199" s="73"/>
      <c r="J199" s="73"/>
      <c r="K199" s="73"/>
      <c r="L199" s="73"/>
      <c r="M199" s="73"/>
      <c r="N199" s="73"/>
      <c r="O199" s="73"/>
      <c r="P199" s="73"/>
      <c r="Q199" s="73"/>
      <c r="R199" s="73"/>
      <c r="S199" s="73"/>
      <c r="T199" s="73"/>
      <c r="U199" s="73"/>
      <c r="V199" s="73"/>
      <c r="W199" s="73"/>
      <c r="X199" s="73"/>
      <c r="Y199" s="73"/>
      <c r="Z199" s="73"/>
      <c r="AA199" s="75"/>
      <c r="AB199" s="75"/>
      <c r="AC199" s="55"/>
      <c r="AD199" s="89"/>
      <c r="AE199" s="89"/>
      <c r="AF199" s="89"/>
      <c r="AG199" s="57"/>
      <c r="AH199" s="58"/>
      <c r="AI199" s="49"/>
      <c r="AK199" s="41"/>
    </row>
    <row r="200" spans="1:38" ht="40.5">
      <c r="A200" s="32" t="s">
        <v>915</v>
      </c>
      <c r="B200" s="101">
        <v>4.0999999999999996</v>
      </c>
      <c r="C200" s="87" t="s">
        <v>2502</v>
      </c>
      <c r="D200" s="88" t="s">
        <v>38</v>
      </c>
      <c r="E200" s="73"/>
      <c r="F200" s="73"/>
      <c r="G200" s="73"/>
      <c r="H200" s="73"/>
      <c r="I200" s="73"/>
      <c r="J200" s="73"/>
      <c r="K200" s="73"/>
      <c r="L200" s="73"/>
      <c r="M200" s="73"/>
      <c r="N200" s="73"/>
      <c r="O200" s="73"/>
      <c r="P200" s="73"/>
      <c r="Q200" s="73"/>
      <c r="R200" s="73"/>
      <c r="S200" s="73"/>
      <c r="T200" s="73"/>
      <c r="U200" s="73"/>
      <c r="V200" s="73"/>
      <c r="W200" s="73"/>
      <c r="X200" s="73"/>
      <c r="Y200" s="73"/>
      <c r="Z200" s="73"/>
      <c r="AA200" s="75"/>
      <c r="AB200" s="75"/>
      <c r="AC200" s="55"/>
      <c r="AD200" s="89"/>
      <c r="AE200" s="89"/>
      <c r="AF200" s="89"/>
      <c r="AG200" s="57"/>
      <c r="AH200" s="58"/>
      <c r="AI200" s="49"/>
      <c r="AK200" s="41"/>
    </row>
    <row r="201" spans="1:38" ht="66">
      <c r="A201" s="32" t="s">
        <v>916</v>
      </c>
      <c r="B201" s="86">
        <v>4.1100000000000003</v>
      </c>
      <c r="C201" s="87" t="s">
        <v>2503</v>
      </c>
      <c r="D201" s="88"/>
      <c r="E201" s="73"/>
      <c r="F201" s="73"/>
      <c r="G201" s="73"/>
      <c r="H201" s="73"/>
      <c r="I201" s="73"/>
      <c r="J201" s="73"/>
      <c r="K201" s="73"/>
      <c r="L201" s="73"/>
      <c r="M201" s="73"/>
      <c r="N201" s="73"/>
      <c r="O201" s="73"/>
      <c r="P201" s="73"/>
      <c r="Q201" s="73"/>
      <c r="R201" s="73"/>
      <c r="S201" s="73"/>
      <c r="T201" s="73"/>
      <c r="U201" s="73"/>
      <c r="V201" s="73"/>
      <c r="W201" s="73"/>
      <c r="X201" s="73"/>
      <c r="Y201" s="73"/>
      <c r="Z201" s="73"/>
      <c r="AA201" s="75"/>
      <c r="AB201" s="75"/>
      <c r="AC201" s="61"/>
      <c r="AD201" s="89"/>
      <c r="AE201" s="89"/>
      <c r="AF201" s="89"/>
      <c r="AG201" s="91"/>
      <c r="AH201" s="48"/>
      <c r="AI201" s="49"/>
      <c r="AK201" s="41"/>
    </row>
    <row r="202" spans="1:38" ht="21">
      <c r="A202" s="32" t="s">
        <v>917</v>
      </c>
      <c r="B202" s="94" t="s">
        <v>14</v>
      </c>
      <c r="C202" s="95" t="s">
        <v>36</v>
      </c>
      <c r="D202" s="88"/>
      <c r="E202" s="73"/>
      <c r="F202" s="73"/>
      <c r="G202" s="73"/>
      <c r="H202" s="73"/>
      <c r="I202" s="73"/>
      <c r="J202" s="73"/>
      <c r="K202" s="73"/>
      <c r="L202" s="73"/>
      <c r="M202" s="73"/>
      <c r="N202" s="73"/>
      <c r="O202" s="73"/>
      <c r="P202" s="73"/>
      <c r="Q202" s="73"/>
      <c r="R202" s="73"/>
      <c r="S202" s="73"/>
      <c r="T202" s="73"/>
      <c r="U202" s="73"/>
      <c r="V202" s="73"/>
      <c r="W202" s="73"/>
      <c r="X202" s="73"/>
      <c r="Y202" s="73"/>
      <c r="Z202" s="73"/>
      <c r="AA202" s="75"/>
      <c r="AB202" s="75"/>
      <c r="AC202" s="61"/>
      <c r="AD202" s="89"/>
      <c r="AE202" s="89"/>
      <c r="AF202" s="89"/>
      <c r="AG202" s="91"/>
      <c r="AH202" s="48"/>
      <c r="AI202" s="49"/>
      <c r="AK202" s="41"/>
    </row>
    <row r="203" spans="1:38" ht="21">
      <c r="A203" s="32" t="s">
        <v>918</v>
      </c>
      <c r="B203" s="94" t="s">
        <v>104</v>
      </c>
      <c r="C203" s="95" t="s">
        <v>157</v>
      </c>
      <c r="D203" s="88"/>
      <c r="E203" s="73"/>
      <c r="F203" s="73"/>
      <c r="G203" s="73"/>
      <c r="H203" s="73"/>
      <c r="I203" s="73"/>
      <c r="J203" s="73"/>
      <c r="K203" s="73"/>
      <c r="L203" s="73"/>
      <c r="M203" s="73"/>
      <c r="N203" s="73"/>
      <c r="O203" s="73"/>
      <c r="P203" s="73"/>
      <c r="Q203" s="73"/>
      <c r="R203" s="73"/>
      <c r="S203" s="73"/>
      <c r="T203" s="73"/>
      <c r="U203" s="73"/>
      <c r="V203" s="73"/>
      <c r="W203" s="73"/>
      <c r="X203" s="73"/>
      <c r="Y203" s="73"/>
      <c r="Z203" s="73"/>
      <c r="AA203" s="75"/>
      <c r="AB203" s="75"/>
      <c r="AC203" s="61"/>
      <c r="AD203" s="89"/>
      <c r="AE203" s="89"/>
      <c r="AF203" s="89"/>
      <c r="AG203" s="91"/>
      <c r="AH203" s="48"/>
      <c r="AI203" s="49"/>
      <c r="AK203" s="41"/>
    </row>
    <row r="204" spans="1:38" ht="21">
      <c r="A204" s="32" t="s">
        <v>919</v>
      </c>
      <c r="B204" s="111" t="s">
        <v>158</v>
      </c>
      <c r="C204" s="93" t="s">
        <v>159</v>
      </c>
      <c r="D204" s="88" t="s">
        <v>38</v>
      </c>
      <c r="E204" s="73"/>
      <c r="F204" s="73"/>
      <c r="G204" s="73"/>
      <c r="H204" s="73"/>
      <c r="I204" s="73"/>
      <c r="J204" s="73"/>
      <c r="K204" s="73"/>
      <c r="L204" s="73"/>
      <c r="M204" s="73"/>
      <c r="N204" s="73"/>
      <c r="O204" s="73"/>
      <c r="P204" s="73"/>
      <c r="Q204" s="73"/>
      <c r="R204" s="73"/>
      <c r="S204" s="73"/>
      <c r="T204" s="73"/>
      <c r="U204" s="73"/>
      <c r="V204" s="73"/>
      <c r="W204" s="73"/>
      <c r="X204" s="73"/>
      <c r="Y204" s="73"/>
      <c r="Z204" s="73"/>
      <c r="AA204" s="75"/>
      <c r="AB204" s="75"/>
      <c r="AC204" s="55"/>
      <c r="AD204" s="89"/>
      <c r="AE204" s="89"/>
      <c r="AF204" s="89"/>
      <c r="AG204" s="57"/>
      <c r="AH204" s="58"/>
      <c r="AI204" s="49"/>
      <c r="AK204" s="41"/>
    </row>
    <row r="205" spans="1:38" ht="21">
      <c r="A205" s="32" t="s">
        <v>920</v>
      </c>
      <c r="B205" s="111" t="s">
        <v>160</v>
      </c>
      <c r="C205" s="93" t="s">
        <v>161</v>
      </c>
      <c r="D205" s="88" t="s">
        <v>38</v>
      </c>
      <c r="E205" s="73"/>
      <c r="F205" s="73"/>
      <c r="G205" s="73"/>
      <c r="H205" s="73"/>
      <c r="I205" s="73"/>
      <c r="J205" s="73"/>
      <c r="K205" s="73"/>
      <c r="L205" s="73"/>
      <c r="M205" s="73"/>
      <c r="N205" s="73"/>
      <c r="O205" s="73"/>
      <c r="P205" s="73"/>
      <c r="Q205" s="73"/>
      <c r="R205" s="73"/>
      <c r="S205" s="73"/>
      <c r="T205" s="73"/>
      <c r="U205" s="73"/>
      <c r="V205" s="73"/>
      <c r="W205" s="73"/>
      <c r="X205" s="73"/>
      <c r="Y205" s="73"/>
      <c r="Z205" s="73"/>
      <c r="AA205" s="75"/>
      <c r="AB205" s="75"/>
      <c r="AC205" s="55"/>
      <c r="AD205" s="89"/>
      <c r="AE205" s="89"/>
      <c r="AF205" s="89"/>
      <c r="AG205" s="57"/>
      <c r="AH205" s="58"/>
      <c r="AI205" s="49"/>
      <c r="AK205" s="41"/>
    </row>
    <row r="206" spans="1:38" ht="21">
      <c r="A206" s="32" t="s">
        <v>921</v>
      </c>
      <c r="B206" s="94" t="s">
        <v>24</v>
      </c>
      <c r="C206" s="95" t="s">
        <v>162</v>
      </c>
      <c r="D206" s="88"/>
      <c r="E206" s="73"/>
      <c r="F206" s="73"/>
      <c r="G206" s="73"/>
      <c r="H206" s="73"/>
      <c r="I206" s="73"/>
      <c r="J206" s="73"/>
      <c r="K206" s="73"/>
      <c r="L206" s="73"/>
      <c r="M206" s="73"/>
      <c r="N206" s="73"/>
      <c r="O206" s="73"/>
      <c r="P206" s="73"/>
      <c r="Q206" s="73"/>
      <c r="R206" s="73"/>
      <c r="S206" s="73"/>
      <c r="T206" s="73"/>
      <c r="U206" s="73"/>
      <c r="V206" s="73"/>
      <c r="W206" s="73"/>
      <c r="X206" s="73"/>
      <c r="Y206" s="73"/>
      <c r="Z206" s="73"/>
      <c r="AA206" s="75"/>
      <c r="AB206" s="75"/>
      <c r="AC206" s="61"/>
      <c r="AD206" s="89"/>
      <c r="AE206" s="89"/>
      <c r="AF206" s="89"/>
      <c r="AG206" s="91"/>
      <c r="AH206" s="48"/>
      <c r="AI206" s="49"/>
      <c r="AK206" s="41"/>
    </row>
    <row r="207" spans="1:38" ht="21">
      <c r="A207" s="32" t="s">
        <v>922</v>
      </c>
      <c r="B207" s="111" t="s">
        <v>158</v>
      </c>
      <c r="C207" s="93" t="s">
        <v>159</v>
      </c>
      <c r="D207" s="88" t="s">
        <v>38</v>
      </c>
      <c r="E207" s="73"/>
      <c r="F207" s="73"/>
      <c r="G207" s="73"/>
      <c r="H207" s="73"/>
      <c r="I207" s="73"/>
      <c r="J207" s="73"/>
      <c r="K207" s="73"/>
      <c r="L207" s="73"/>
      <c r="M207" s="73"/>
      <c r="N207" s="73"/>
      <c r="O207" s="73"/>
      <c r="P207" s="73"/>
      <c r="Q207" s="73"/>
      <c r="R207" s="73"/>
      <c r="S207" s="73"/>
      <c r="T207" s="73"/>
      <c r="U207" s="73"/>
      <c r="V207" s="73"/>
      <c r="W207" s="73"/>
      <c r="X207" s="73"/>
      <c r="Y207" s="73"/>
      <c r="Z207" s="73"/>
      <c r="AA207" s="75"/>
      <c r="AB207" s="75"/>
      <c r="AC207" s="55"/>
      <c r="AD207" s="89"/>
      <c r="AE207" s="89"/>
      <c r="AF207" s="89"/>
      <c r="AG207" s="57"/>
      <c r="AH207" s="58"/>
      <c r="AI207" s="49"/>
      <c r="AK207" s="41"/>
    </row>
    <row r="208" spans="1:38" ht="21">
      <c r="A208" s="32" t="s">
        <v>923</v>
      </c>
      <c r="B208" s="111" t="s">
        <v>160</v>
      </c>
      <c r="C208" s="93" t="s">
        <v>161</v>
      </c>
      <c r="D208" s="88" t="s">
        <v>38</v>
      </c>
      <c r="E208" s="73"/>
      <c r="F208" s="73"/>
      <c r="G208" s="73"/>
      <c r="H208" s="73"/>
      <c r="I208" s="73"/>
      <c r="J208" s="73"/>
      <c r="K208" s="73"/>
      <c r="L208" s="73"/>
      <c r="M208" s="73"/>
      <c r="N208" s="73"/>
      <c r="O208" s="73"/>
      <c r="P208" s="73"/>
      <c r="Q208" s="73"/>
      <c r="R208" s="73"/>
      <c r="S208" s="73"/>
      <c r="T208" s="73"/>
      <c r="U208" s="73"/>
      <c r="V208" s="73"/>
      <c r="W208" s="73"/>
      <c r="X208" s="73"/>
      <c r="Y208" s="73"/>
      <c r="Z208" s="73"/>
      <c r="AA208" s="75"/>
      <c r="AB208" s="75"/>
      <c r="AC208" s="55"/>
      <c r="AD208" s="89"/>
      <c r="AE208" s="89"/>
      <c r="AF208" s="89"/>
      <c r="AG208" s="57"/>
      <c r="AH208" s="58"/>
      <c r="AI208" s="49"/>
      <c r="AK208" s="41"/>
    </row>
    <row r="209" spans="1:37" ht="21">
      <c r="A209" s="32" t="s">
        <v>924</v>
      </c>
      <c r="B209" s="111" t="s">
        <v>163</v>
      </c>
      <c r="C209" s="93" t="s">
        <v>164</v>
      </c>
      <c r="D209" s="88" t="s">
        <v>38</v>
      </c>
      <c r="E209" s="73"/>
      <c r="F209" s="73"/>
      <c r="G209" s="73"/>
      <c r="H209" s="73"/>
      <c r="I209" s="73"/>
      <c r="J209" s="73"/>
      <c r="K209" s="73"/>
      <c r="L209" s="73"/>
      <c r="M209" s="73"/>
      <c r="N209" s="73"/>
      <c r="O209" s="73"/>
      <c r="P209" s="73"/>
      <c r="Q209" s="73"/>
      <c r="R209" s="73"/>
      <c r="S209" s="73"/>
      <c r="T209" s="73"/>
      <c r="U209" s="73"/>
      <c r="V209" s="73"/>
      <c r="W209" s="73"/>
      <c r="X209" s="73"/>
      <c r="Y209" s="73"/>
      <c r="Z209" s="73"/>
      <c r="AA209" s="75"/>
      <c r="AB209" s="75"/>
      <c r="AC209" s="55"/>
      <c r="AD209" s="89"/>
      <c r="AE209" s="89"/>
      <c r="AF209" s="89"/>
      <c r="AG209" s="57"/>
      <c r="AH209" s="58"/>
      <c r="AI209" s="49"/>
      <c r="AK209" s="41"/>
    </row>
    <row r="210" spans="1:37" ht="21">
      <c r="A210" s="32" t="s">
        <v>925</v>
      </c>
      <c r="B210" s="94" t="s">
        <v>25</v>
      </c>
      <c r="C210" s="95" t="s">
        <v>165</v>
      </c>
      <c r="D210" s="88"/>
      <c r="E210" s="73"/>
      <c r="F210" s="73"/>
      <c r="G210" s="73"/>
      <c r="H210" s="73"/>
      <c r="I210" s="73"/>
      <c r="J210" s="73"/>
      <c r="K210" s="73"/>
      <c r="L210" s="73"/>
      <c r="M210" s="73"/>
      <c r="N210" s="73"/>
      <c r="O210" s="73"/>
      <c r="P210" s="73"/>
      <c r="Q210" s="73"/>
      <c r="R210" s="73"/>
      <c r="S210" s="73"/>
      <c r="T210" s="73"/>
      <c r="U210" s="73"/>
      <c r="V210" s="73"/>
      <c r="W210" s="73"/>
      <c r="X210" s="73"/>
      <c r="Y210" s="73"/>
      <c r="Z210" s="73"/>
      <c r="AA210" s="75"/>
      <c r="AB210" s="75"/>
      <c r="AC210" s="61"/>
      <c r="AD210" s="89"/>
      <c r="AE210" s="89"/>
      <c r="AF210" s="89"/>
      <c r="AG210" s="91"/>
      <c r="AH210" s="48"/>
      <c r="AI210" s="49"/>
      <c r="AK210" s="41"/>
    </row>
    <row r="211" spans="1:37" ht="21">
      <c r="A211" s="32" t="s">
        <v>926</v>
      </c>
      <c r="B211" s="111" t="s">
        <v>158</v>
      </c>
      <c r="C211" s="93" t="s">
        <v>159</v>
      </c>
      <c r="D211" s="88" t="s">
        <v>38</v>
      </c>
      <c r="E211" s="73"/>
      <c r="F211" s="73"/>
      <c r="G211" s="73"/>
      <c r="H211" s="73"/>
      <c r="I211" s="73"/>
      <c r="J211" s="73"/>
      <c r="K211" s="73"/>
      <c r="L211" s="73"/>
      <c r="M211" s="73"/>
      <c r="N211" s="73"/>
      <c r="O211" s="73"/>
      <c r="P211" s="73"/>
      <c r="Q211" s="73"/>
      <c r="R211" s="73"/>
      <c r="S211" s="73"/>
      <c r="T211" s="73"/>
      <c r="U211" s="73"/>
      <c r="V211" s="73"/>
      <c r="W211" s="73"/>
      <c r="X211" s="73"/>
      <c r="Y211" s="73"/>
      <c r="Z211" s="73"/>
      <c r="AA211" s="75"/>
      <c r="AB211" s="75"/>
      <c r="AC211" s="55"/>
      <c r="AD211" s="89"/>
      <c r="AE211" s="89"/>
      <c r="AF211" s="89"/>
      <c r="AG211" s="57"/>
      <c r="AH211" s="58"/>
      <c r="AI211" s="49"/>
      <c r="AK211" s="41"/>
    </row>
    <row r="212" spans="1:37" ht="21">
      <c r="A212" s="32" t="s">
        <v>927</v>
      </c>
      <c r="B212" s="111" t="s">
        <v>160</v>
      </c>
      <c r="C212" s="93" t="s">
        <v>164</v>
      </c>
      <c r="D212" s="88" t="s">
        <v>38</v>
      </c>
      <c r="E212" s="73"/>
      <c r="F212" s="73"/>
      <c r="G212" s="73"/>
      <c r="H212" s="73"/>
      <c r="I212" s="73"/>
      <c r="J212" s="73"/>
      <c r="K212" s="73"/>
      <c r="L212" s="73"/>
      <c r="M212" s="73"/>
      <c r="N212" s="73"/>
      <c r="O212" s="73"/>
      <c r="P212" s="73"/>
      <c r="Q212" s="73"/>
      <c r="R212" s="73"/>
      <c r="S212" s="73"/>
      <c r="T212" s="73"/>
      <c r="U212" s="73"/>
      <c r="V212" s="73"/>
      <c r="W212" s="73"/>
      <c r="X212" s="73"/>
      <c r="Y212" s="73"/>
      <c r="Z212" s="73"/>
      <c r="AA212" s="75"/>
      <c r="AB212" s="75"/>
      <c r="AC212" s="55"/>
      <c r="AD212" s="89"/>
      <c r="AE212" s="89"/>
      <c r="AF212" s="89"/>
      <c r="AG212" s="57"/>
      <c r="AH212" s="58"/>
      <c r="AI212" s="49"/>
      <c r="AK212" s="41"/>
    </row>
    <row r="213" spans="1:37" ht="21">
      <c r="A213" s="32" t="s">
        <v>928</v>
      </c>
      <c r="B213" s="94" t="s">
        <v>15</v>
      </c>
      <c r="C213" s="95" t="s">
        <v>166</v>
      </c>
      <c r="D213" s="88"/>
      <c r="E213" s="73"/>
      <c r="F213" s="73"/>
      <c r="G213" s="73"/>
      <c r="H213" s="73"/>
      <c r="I213" s="73"/>
      <c r="J213" s="73"/>
      <c r="K213" s="73"/>
      <c r="L213" s="73"/>
      <c r="M213" s="73"/>
      <c r="N213" s="73"/>
      <c r="O213" s="73"/>
      <c r="P213" s="73"/>
      <c r="Q213" s="73"/>
      <c r="R213" s="73"/>
      <c r="S213" s="73"/>
      <c r="T213" s="73"/>
      <c r="U213" s="73"/>
      <c r="V213" s="73"/>
      <c r="W213" s="73"/>
      <c r="X213" s="73"/>
      <c r="Y213" s="73"/>
      <c r="Z213" s="73"/>
      <c r="AA213" s="75"/>
      <c r="AB213" s="75"/>
      <c r="AC213" s="61"/>
      <c r="AD213" s="89"/>
      <c r="AE213" s="89"/>
      <c r="AF213" s="89"/>
      <c r="AG213" s="91"/>
      <c r="AH213" s="48"/>
      <c r="AI213" s="49"/>
      <c r="AK213" s="41"/>
    </row>
    <row r="214" spans="1:37" ht="21">
      <c r="A214" s="32" t="s">
        <v>929</v>
      </c>
      <c r="B214" s="94" t="s">
        <v>104</v>
      </c>
      <c r="C214" s="95" t="s">
        <v>157</v>
      </c>
      <c r="D214" s="88"/>
      <c r="E214" s="73"/>
      <c r="F214" s="73"/>
      <c r="G214" s="73"/>
      <c r="H214" s="73"/>
      <c r="I214" s="73"/>
      <c r="J214" s="73"/>
      <c r="K214" s="73"/>
      <c r="L214" s="73"/>
      <c r="M214" s="73"/>
      <c r="N214" s="73"/>
      <c r="O214" s="73"/>
      <c r="P214" s="73"/>
      <c r="Q214" s="73"/>
      <c r="R214" s="73"/>
      <c r="S214" s="73"/>
      <c r="T214" s="73"/>
      <c r="U214" s="73"/>
      <c r="V214" s="73"/>
      <c r="W214" s="73"/>
      <c r="X214" s="73"/>
      <c r="Y214" s="73"/>
      <c r="Z214" s="73"/>
      <c r="AA214" s="75"/>
      <c r="AB214" s="75"/>
      <c r="AC214" s="61"/>
      <c r="AD214" s="89"/>
      <c r="AE214" s="89"/>
      <c r="AF214" s="89"/>
      <c r="AG214" s="91"/>
      <c r="AH214" s="48"/>
      <c r="AI214" s="49"/>
      <c r="AK214" s="41"/>
    </row>
    <row r="215" spans="1:37" ht="21">
      <c r="A215" s="32" t="s">
        <v>930</v>
      </c>
      <c r="B215" s="111" t="s">
        <v>158</v>
      </c>
      <c r="C215" s="93" t="s">
        <v>159</v>
      </c>
      <c r="D215" s="88" t="s">
        <v>38</v>
      </c>
      <c r="E215" s="73"/>
      <c r="F215" s="73"/>
      <c r="G215" s="73"/>
      <c r="H215" s="73"/>
      <c r="I215" s="73"/>
      <c r="J215" s="73"/>
      <c r="K215" s="73"/>
      <c r="L215" s="73"/>
      <c r="M215" s="73"/>
      <c r="N215" s="73"/>
      <c r="O215" s="73"/>
      <c r="P215" s="73"/>
      <c r="Q215" s="73"/>
      <c r="R215" s="73"/>
      <c r="S215" s="73"/>
      <c r="T215" s="73"/>
      <c r="U215" s="73"/>
      <c r="V215" s="73"/>
      <c r="W215" s="73"/>
      <c r="X215" s="73"/>
      <c r="Y215" s="73"/>
      <c r="Z215" s="73"/>
      <c r="AA215" s="75"/>
      <c r="AB215" s="75"/>
      <c r="AC215" s="55"/>
      <c r="AD215" s="89"/>
      <c r="AE215" s="89"/>
      <c r="AF215" s="89"/>
      <c r="AG215" s="57"/>
      <c r="AH215" s="58"/>
      <c r="AI215" s="49"/>
      <c r="AK215" s="41"/>
    </row>
    <row r="216" spans="1:37" ht="21">
      <c r="A216" s="32" t="s">
        <v>931</v>
      </c>
      <c r="B216" s="111" t="s">
        <v>160</v>
      </c>
      <c r="C216" s="93" t="s">
        <v>161</v>
      </c>
      <c r="D216" s="88" t="s">
        <v>38</v>
      </c>
      <c r="E216" s="73"/>
      <c r="F216" s="73"/>
      <c r="G216" s="73"/>
      <c r="H216" s="73"/>
      <c r="I216" s="73"/>
      <c r="J216" s="73"/>
      <c r="K216" s="73"/>
      <c r="L216" s="73"/>
      <c r="M216" s="73"/>
      <c r="N216" s="73"/>
      <c r="O216" s="73"/>
      <c r="P216" s="73"/>
      <c r="Q216" s="73"/>
      <c r="R216" s="73"/>
      <c r="S216" s="73"/>
      <c r="T216" s="73"/>
      <c r="U216" s="73"/>
      <c r="V216" s="73"/>
      <c r="W216" s="73"/>
      <c r="X216" s="73"/>
      <c r="Y216" s="73"/>
      <c r="Z216" s="73"/>
      <c r="AA216" s="75"/>
      <c r="AB216" s="75"/>
      <c r="AC216" s="55"/>
      <c r="AD216" s="89"/>
      <c r="AE216" s="89"/>
      <c r="AF216" s="89"/>
      <c r="AG216" s="57"/>
      <c r="AH216" s="58"/>
      <c r="AI216" s="49"/>
      <c r="AK216" s="41"/>
    </row>
    <row r="217" spans="1:37" ht="21">
      <c r="A217" s="32" t="s">
        <v>932</v>
      </c>
      <c r="B217" s="94" t="s">
        <v>24</v>
      </c>
      <c r="C217" s="95" t="s">
        <v>162</v>
      </c>
      <c r="D217" s="88"/>
      <c r="E217" s="73"/>
      <c r="F217" s="73"/>
      <c r="G217" s="73"/>
      <c r="H217" s="73"/>
      <c r="I217" s="73"/>
      <c r="J217" s="73"/>
      <c r="K217" s="73"/>
      <c r="L217" s="73"/>
      <c r="M217" s="73"/>
      <c r="N217" s="73"/>
      <c r="O217" s="73"/>
      <c r="P217" s="73"/>
      <c r="Q217" s="73"/>
      <c r="R217" s="73"/>
      <c r="S217" s="73"/>
      <c r="T217" s="73"/>
      <c r="U217" s="73"/>
      <c r="V217" s="73"/>
      <c r="W217" s="73"/>
      <c r="X217" s="73"/>
      <c r="Y217" s="73"/>
      <c r="Z217" s="73"/>
      <c r="AA217" s="75"/>
      <c r="AB217" s="75"/>
      <c r="AC217" s="61"/>
      <c r="AD217" s="89"/>
      <c r="AE217" s="89"/>
      <c r="AF217" s="89"/>
      <c r="AG217" s="91"/>
      <c r="AH217" s="48"/>
      <c r="AI217" s="49"/>
      <c r="AK217" s="41"/>
    </row>
    <row r="218" spans="1:37" ht="21">
      <c r="A218" s="32" t="s">
        <v>933</v>
      </c>
      <c r="B218" s="111" t="s">
        <v>158</v>
      </c>
      <c r="C218" s="93" t="s">
        <v>159</v>
      </c>
      <c r="D218" s="88" t="s">
        <v>38</v>
      </c>
      <c r="E218" s="73"/>
      <c r="F218" s="73"/>
      <c r="G218" s="73"/>
      <c r="H218" s="73"/>
      <c r="I218" s="73"/>
      <c r="J218" s="73"/>
      <c r="K218" s="73"/>
      <c r="L218" s="73"/>
      <c r="M218" s="73"/>
      <c r="N218" s="73"/>
      <c r="O218" s="73"/>
      <c r="P218" s="73"/>
      <c r="Q218" s="73"/>
      <c r="R218" s="73"/>
      <c r="S218" s="73"/>
      <c r="T218" s="73"/>
      <c r="U218" s="73"/>
      <c r="V218" s="73"/>
      <c r="W218" s="73"/>
      <c r="X218" s="73"/>
      <c r="Y218" s="73"/>
      <c r="Z218" s="73"/>
      <c r="AA218" s="75"/>
      <c r="AB218" s="75"/>
      <c r="AC218" s="55"/>
      <c r="AD218" s="89"/>
      <c r="AE218" s="89"/>
      <c r="AF218" s="89"/>
      <c r="AG218" s="57"/>
      <c r="AH218" s="58"/>
      <c r="AI218" s="49"/>
      <c r="AK218" s="41"/>
    </row>
    <row r="219" spans="1:37" ht="21">
      <c r="A219" s="32" t="s">
        <v>934</v>
      </c>
      <c r="B219" s="111" t="s">
        <v>160</v>
      </c>
      <c r="C219" s="93" t="s">
        <v>161</v>
      </c>
      <c r="D219" s="88" t="s">
        <v>38</v>
      </c>
      <c r="E219" s="73"/>
      <c r="F219" s="73"/>
      <c r="G219" s="73"/>
      <c r="H219" s="73"/>
      <c r="I219" s="73"/>
      <c r="J219" s="73"/>
      <c r="K219" s="73"/>
      <c r="L219" s="73"/>
      <c r="M219" s="73"/>
      <c r="N219" s="73"/>
      <c r="O219" s="73"/>
      <c r="P219" s="73"/>
      <c r="Q219" s="73"/>
      <c r="R219" s="73"/>
      <c r="S219" s="73"/>
      <c r="T219" s="73"/>
      <c r="U219" s="73"/>
      <c r="V219" s="73"/>
      <c r="W219" s="73"/>
      <c r="X219" s="73"/>
      <c r="Y219" s="73"/>
      <c r="Z219" s="73"/>
      <c r="AA219" s="75"/>
      <c r="AB219" s="75"/>
      <c r="AC219" s="55"/>
      <c r="AD219" s="89"/>
      <c r="AE219" s="89"/>
      <c r="AF219" s="89"/>
      <c r="AG219" s="57"/>
      <c r="AH219" s="58"/>
      <c r="AI219" s="49"/>
      <c r="AK219" s="41"/>
    </row>
    <row r="220" spans="1:37" ht="21">
      <c r="A220" s="32" t="s">
        <v>935</v>
      </c>
      <c r="B220" s="111" t="s">
        <v>163</v>
      </c>
      <c r="C220" s="93" t="s">
        <v>164</v>
      </c>
      <c r="D220" s="88" t="s">
        <v>38</v>
      </c>
      <c r="E220" s="73"/>
      <c r="F220" s="73"/>
      <c r="G220" s="73"/>
      <c r="H220" s="73"/>
      <c r="I220" s="73"/>
      <c r="J220" s="73"/>
      <c r="K220" s="73"/>
      <c r="L220" s="73"/>
      <c r="M220" s="73"/>
      <c r="N220" s="73"/>
      <c r="O220" s="73"/>
      <c r="P220" s="73"/>
      <c r="Q220" s="73"/>
      <c r="R220" s="73"/>
      <c r="S220" s="73"/>
      <c r="T220" s="73"/>
      <c r="U220" s="73"/>
      <c r="V220" s="73"/>
      <c r="W220" s="73"/>
      <c r="X220" s="73"/>
      <c r="Y220" s="73"/>
      <c r="Z220" s="73"/>
      <c r="AA220" s="75"/>
      <c r="AB220" s="75"/>
      <c r="AC220" s="55"/>
      <c r="AD220" s="89"/>
      <c r="AE220" s="89"/>
      <c r="AF220" s="89"/>
      <c r="AG220" s="57"/>
      <c r="AH220" s="58"/>
      <c r="AI220" s="49"/>
      <c r="AK220" s="41"/>
    </row>
    <row r="221" spans="1:37" ht="21">
      <c r="A221" s="32" t="s">
        <v>936</v>
      </c>
      <c r="B221" s="94" t="s">
        <v>25</v>
      </c>
      <c r="C221" s="95" t="s">
        <v>165</v>
      </c>
      <c r="D221" s="88"/>
      <c r="E221" s="73"/>
      <c r="F221" s="73"/>
      <c r="G221" s="73"/>
      <c r="H221" s="73"/>
      <c r="I221" s="73"/>
      <c r="J221" s="73"/>
      <c r="K221" s="73"/>
      <c r="L221" s="73"/>
      <c r="M221" s="73"/>
      <c r="N221" s="73"/>
      <c r="O221" s="73"/>
      <c r="P221" s="73"/>
      <c r="Q221" s="73"/>
      <c r="R221" s="73"/>
      <c r="S221" s="73"/>
      <c r="T221" s="73"/>
      <c r="U221" s="73"/>
      <c r="V221" s="73"/>
      <c r="W221" s="73"/>
      <c r="X221" s="73"/>
      <c r="Y221" s="73"/>
      <c r="Z221" s="73"/>
      <c r="AA221" s="75"/>
      <c r="AB221" s="75"/>
      <c r="AC221" s="61"/>
      <c r="AD221" s="89"/>
      <c r="AE221" s="89"/>
      <c r="AF221" s="89"/>
      <c r="AG221" s="91"/>
      <c r="AH221" s="48"/>
      <c r="AI221" s="49"/>
      <c r="AK221" s="41"/>
    </row>
    <row r="222" spans="1:37" ht="21">
      <c r="A222" s="32" t="s">
        <v>937</v>
      </c>
      <c r="B222" s="111" t="s">
        <v>158</v>
      </c>
      <c r="C222" s="93" t="s">
        <v>159</v>
      </c>
      <c r="D222" s="88" t="s">
        <v>38</v>
      </c>
      <c r="E222" s="73"/>
      <c r="F222" s="73"/>
      <c r="G222" s="73"/>
      <c r="H222" s="73"/>
      <c r="I222" s="73"/>
      <c r="J222" s="73"/>
      <c r="K222" s="73"/>
      <c r="L222" s="73"/>
      <c r="M222" s="73"/>
      <c r="N222" s="73"/>
      <c r="O222" s="73"/>
      <c r="P222" s="73"/>
      <c r="Q222" s="73"/>
      <c r="R222" s="73"/>
      <c r="S222" s="73"/>
      <c r="T222" s="73"/>
      <c r="U222" s="73"/>
      <c r="V222" s="73"/>
      <c r="W222" s="73"/>
      <c r="X222" s="73"/>
      <c r="Y222" s="73"/>
      <c r="Z222" s="73"/>
      <c r="AA222" s="75"/>
      <c r="AB222" s="75"/>
      <c r="AC222" s="55"/>
      <c r="AD222" s="89"/>
      <c r="AE222" s="89"/>
      <c r="AF222" s="89"/>
      <c r="AG222" s="57"/>
      <c r="AH222" s="58"/>
      <c r="AI222" s="49"/>
      <c r="AK222" s="41"/>
    </row>
    <row r="223" spans="1:37" ht="21">
      <c r="A223" s="32" t="s">
        <v>938</v>
      </c>
      <c r="B223" s="111" t="s">
        <v>160</v>
      </c>
      <c r="C223" s="93" t="s">
        <v>164</v>
      </c>
      <c r="D223" s="88" t="s">
        <v>38</v>
      </c>
      <c r="E223" s="73"/>
      <c r="F223" s="73"/>
      <c r="G223" s="73"/>
      <c r="H223" s="73"/>
      <c r="I223" s="73"/>
      <c r="J223" s="73"/>
      <c r="K223" s="73"/>
      <c r="L223" s="73"/>
      <c r="M223" s="73"/>
      <c r="N223" s="73"/>
      <c r="O223" s="73"/>
      <c r="P223" s="73"/>
      <c r="Q223" s="73"/>
      <c r="R223" s="73"/>
      <c r="S223" s="73"/>
      <c r="T223" s="73"/>
      <c r="U223" s="73"/>
      <c r="V223" s="73"/>
      <c r="W223" s="73"/>
      <c r="X223" s="73"/>
      <c r="Y223" s="73"/>
      <c r="Z223" s="73"/>
      <c r="AA223" s="75"/>
      <c r="AB223" s="75"/>
      <c r="AC223" s="55"/>
      <c r="AD223" s="89"/>
      <c r="AE223" s="89"/>
      <c r="AF223" s="89"/>
      <c r="AG223" s="57"/>
      <c r="AH223" s="58"/>
      <c r="AI223" s="49"/>
      <c r="AK223" s="41"/>
    </row>
    <row r="224" spans="1:37" ht="66">
      <c r="A224" s="32" t="s">
        <v>939</v>
      </c>
      <c r="B224" s="86">
        <v>4.12</v>
      </c>
      <c r="C224" s="87" t="s">
        <v>2504</v>
      </c>
      <c r="D224" s="88" t="s">
        <v>38</v>
      </c>
      <c r="E224" s="73"/>
      <c r="F224" s="73"/>
      <c r="G224" s="73"/>
      <c r="H224" s="73"/>
      <c r="I224" s="73"/>
      <c r="J224" s="73"/>
      <c r="K224" s="73"/>
      <c r="L224" s="73"/>
      <c r="M224" s="73"/>
      <c r="N224" s="73"/>
      <c r="O224" s="73"/>
      <c r="P224" s="73"/>
      <c r="Q224" s="73"/>
      <c r="R224" s="73"/>
      <c r="S224" s="73"/>
      <c r="T224" s="73"/>
      <c r="U224" s="73"/>
      <c r="V224" s="73"/>
      <c r="W224" s="73"/>
      <c r="X224" s="73"/>
      <c r="Y224" s="73"/>
      <c r="Z224" s="73"/>
      <c r="AA224" s="75"/>
      <c r="AB224" s="75"/>
      <c r="AC224" s="55"/>
      <c r="AD224" s="89"/>
      <c r="AE224" s="89"/>
      <c r="AF224" s="89"/>
      <c r="AG224" s="57"/>
      <c r="AH224" s="58"/>
      <c r="AI224" s="49"/>
      <c r="AK224" s="41"/>
    </row>
    <row r="225" spans="1:37" ht="53.25">
      <c r="A225" s="32" t="s">
        <v>940</v>
      </c>
      <c r="B225" s="86">
        <v>4.13</v>
      </c>
      <c r="C225" s="87" t="s">
        <v>2505</v>
      </c>
      <c r="D225" s="88" t="s">
        <v>77</v>
      </c>
      <c r="E225" s="73"/>
      <c r="F225" s="73"/>
      <c r="G225" s="73"/>
      <c r="H225" s="73"/>
      <c r="I225" s="73"/>
      <c r="J225" s="73"/>
      <c r="K225" s="73"/>
      <c r="L225" s="73"/>
      <c r="M225" s="73"/>
      <c r="N225" s="73"/>
      <c r="O225" s="73"/>
      <c r="P225" s="73"/>
      <c r="Q225" s="73"/>
      <c r="R225" s="73"/>
      <c r="S225" s="73"/>
      <c r="T225" s="73"/>
      <c r="U225" s="73"/>
      <c r="V225" s="73"/>
      <c r="W225" s="73"/>
      <c r="X225" s="73"/>
      <c r="Y225" s="73"/>
      <c r="Z225" s="73"/>
      <c r="AA225" s="75"/>
      <c r="AB225" s="75"/>
      <c r="AC225" s="55"/>
      <c r="AD225" s="89"/>
      <c r="AE225" s="89"/>
      <c r="AF225" s="89"/>
      <c r="AG225" s="57"/>
      <c r="AH225" s="58"/>
      <c r="AI225" s="49"/>
      <c r="AK225" s="41"/>
    </row>
    <row r="226" spans="1:37" ht="21">
      <c r="A226" s="32" t="s">
        <v>941</v>
      </c>
      <c r="B226" s="86">
        <v>4.1399999999999997</v>
      </c>
      <c r="C226" s="87" t="s">
        <v>167</v>
      </c>
      <c r="D226" s="88"/>
      <c r="E226" s="73"/>
      <c r="F226" s="73"/>
      <c r="G226" s="73"/>
      <c r="H226" s="73"/>
      <c r="I226" s="73"/>
      <c r="J226" s="73"/>
      <c r="K226" s="73"/>
      <c r="L226" s="73"/>
      <c r="M226" s="73"/>
      <c r="N226" s="73"/>
      <c r="O226" s="73"/>
      <c r="P226" s="73"/>
      <c r="Q226" s="73"/>
      <c r="R226" s="73"/>
      <c r="S226" s="73"/>
      <c r="T226" s="73"/>
      <c r="U226" s="73"/>
      <c r="V226" s="73"/>
      <c r="W226" s="73"/>
      <c r="X226" s="73"/>
      <c r="Y226" s="73"/>
      <c r="Z226" s="73"/>
      <c r="AA226" s="75"/>
      <c r="AB226" s="75"/>
      <c r="AC226" s="61"/>
      <c r="AD226" s="89"/>
      <c r="AE226" s="89"/>
      <c r="AF226" s="89"/>
      <c r="AG226" s="91"/>
      <c r="AH226" s="48"/>
      <c r="AI226" s="49"/>
      <c r="AK226" s="41"/>
    </row>
    <row r="227" spans="1:37" ht="66">
      <c r="A227" s="32" t="s">
        <v>942</v>
      </c>
      <c r="B227" s="97" t="s">
        <v>14</v>
      </c>
      <c r="C227" s="87" t="s">
        <v>2669</v>
      </c>
      <c r="D227" s="88" t="s">
        <v>38</v>
      </c>
      <c r="E227" s="73"/>
      <c r="F227" s="73"/>
      <c r="G227" s="73"/>
      <c r="H227" s="73"/>
      <c r="I227" s="73"/>
      <c r="J227" s="73"/>
      <c r="K227" s="73"/>
      <c r="L227" s="73"/>
      <c r="M227" s="73"/>
      <c r="N227" s="73"/>
      <c r="O227" s="73"/>
      <c r="P227" s="73"/>
      <c r="Q227" s="73"/>
      <c r="R227" s="73"/>
      <c r="S227" s="73"/>
      <c r="T227" s="73"/>
      <c r="U227" s="73"/>
      <c r="V227" s="73"/>
      <c r="W227" s="73"/>
      <c r="X227" s="73"/>
      <c r="Y227" s="73"/>
      <c r="Z227" s="73"/>
      <c r="AA227" s="75"/>
      <c r="AB227" s="75"/>
      <c r="AC227" s="55"/>
      <c r="AD227" s="89"/>
      <c r="AE227" s="89"/>
      <c r="AF227" s="89"/>
      <c r="AG227" s="57"/>
      <c r="AH227" s="58"/>
      <c r="AI227" s="49"/>
      <c r="AK227" s="41"/>
    </row>
    <row r="228" spans="1:37" ht="66">
      <c r="A228" s="32" t="s">
        <v>943</v>
      </c>
      <c r="B228" s="97" t="s">
        <v>15</v>
      </c>
      <c r="C228" s="87" t="s">
        <v>2670</v>
      </c>
      <c r="D228" s="88" t="s">
        <v>38</v>
      </c>
      <c r="E228" s="73"/>
      <c r="F228" s="73"/>
      <c r="G228" s="73"/>
      <c r="H228" s="73"/>
      <c r="I228" s="73"/>
      <c r="J228" s="73"/>
      <c r="K228" s="73"/>
      <c r="L228" s="73"/>
      <c r="M228" s="73"/>
      <c r="N228" s="73"/>
      <c r="O228" s="73"/>
      <c r="P228" s="73"/>
      <c r="Q228" s="73"/>
      <c r="R228" s="73"/>
      <c r="S228" s="73"/>
      <c r="T228" s="73"/>
      <c r="U228" s="73"/>
      <c r="V228" s="73"/>
      <c r="W228" s="73"/>
      <c r="X228" s="73"/>
      <c r="Y228" s="73"/>
      <c r="Z228" s="73"/>
      <c r="AA228" s="75"/>
      <c r="AB228" s="75"/>
      <c r="AC228" s="55"/>
      <c r="AD228" s="89"/>
      <c r="AE228" s="89"/>
      <c r="AF228" s="89"/>
      <c r="AG228" s="57"/>
      <c r="AH228" s="58"/>
      <c r="AI228" s="49"/>
      <c r="AK228" s="41"/>
    </row>
    <row r="229" spans="1:37" ht="66">
      <c r="A229" s="32" t="s">
        <v>944</v>
      </c>
      <c r="B229" s="86">
        <v>4.1500000000000004</v>
      </c>
      <c r="C229" s="87" t="s">
        <v>2506</v>
      </c>
      <c r="D229" s="88" t="s">
        <v>38</v>
      </c>
      <c r="E229" s="73"/>
      <c r="F229" s="73"/>
      <c r="G229" s="73"/>
      <c r="H229" s="73"/>
      <c r="I229" s="73"/>
      <c r="J229" s="73"/>
      <c r="K229" s="73"/>
      <c r="L229" s="73"/>
      <c r="M229" s="73"/>
      <c r="N229" s="73"/>
      <c r="O229" s="73"/>
      <c r="P229" s="73"/>
      <c r="Q229" s="73"/>
      <c r="R229" s="73"/>
      <c r="S229" s="73"/>
      <c r="T229" s="73"/>
      <c r="U229" s="73"/>
      <c r="V229" s="73"/>
      <c r="W229" s="73"/>
      <c r="X229" s="73"/>
      <c r="Y229" s="73"/>
      <c r="Z229" s="73"/>
      <c r="AA229" s="75"/>
      <c r="AB229" s="75"/>
      <c r="AC229" s="55"/>
      <c r="AD229" s="89"/>
      <c r="AE229" s="89"/>
      <c r="AF229" s="89"/>
      <c r="AG229" s="57"/>
      <c r="AH229" s="58"/>
      <c r="AI229" s="49"/>
      <c r="AK229" s="41"/>
    </row>
    <row r="230" spans="1:37" ht="53.25">
      <c r="A230" s="32" t="s">
        <v>945</v>
      </c>
      <c r="B230" s="86">
        <v>4.16</v>
      </c>
      <c r="C230" s="87" t="s">
        <v>2507</v>
      </c>
      <c r="D230" s="88" t="s">
        <v>38</v>
      </c>
      <c r="E230" s="73"/>
      <c r="F230" s="73"/>
      <c r="G230" s="73"/>
      <c r="H230" s="73"/>
      <c r="I230" s="73"/>
      <c r="J230" s="73"/>
      <c r="K230" s="73"/>
      <c r="L230" s="73"/>
      <c r="M230" s="73"/>
      <c r="N230" s="73"/>
      <c r="O230" s="73"/>
      <c r="P230" s="73"/>
      <c r="Q230" s="73"/>
      <c r="R230" s="73"/>
      <c r="S230" s="73"/>
      <c r="T230" s="73"/>
      <c r="U230" s="73"/>
      <c r="V230" s="73"/>
      <c r="W230" s="73"/>
      <c r="X230" s="73"/>
      <c r="Y230" s="73"/>
      <c r="Z230" s="73"/>
      <c r="AA230" s="75"/>
      <c r="AB230" s="75"/>
      <c r="AC230" s="55"/>
      <c r="AD230" s="89"/>
      <c r="AE230" s="89"/>
      <c r="AF230" s="89"/>
      <c r="AG230" s="57"/>
      <c r="AH230" s="58"/>
      <c r="AI230" s="49"/>
      <c r="AK230" s="41"/>
    </row>
    <row r="231" spans="1:37" ht="40.5">
      <c r="A231" s="32" t="s">
        <v>946</v>
      </c>
      <c r="B231" s="86">
        <v>4.17</v>
      </c>
      <c r="C231" s="87" t="s">
        <v>2508</v>
      </c>
      <c r="D231" s="88" t="s">
        <v>38</v>
      </c>
      <c r="E231" s="73"/>
      <c r="F231" s="73"/>
      <c r="G231" s="73"/>
      <c r="H231" s="73"/>
      <c r="I231" s="73"/>
      <c r="J231" s="73"/>
      <c r="K231" s="73"/>
      <c r="L231" s="73"/>
      <c r="M231" s="73"/>
      <c r="N231" s="73"/>
      <c r="O231" s="73"/>
      <c r="P231" s="73"/>
      <c r="Q231" s="73"/>
      <c r="R231" s="73"/>
      <c r="S231" s="73"/>
      <c r="T231" s="73"/>
      <c r="U231" s="73"/>
      <c r="V231" s="73"/>
      <c r="W231" s="73"/>
      <c r="X231" s="73"/>
      <c r="Y231" s="73"/>
      <c r="Z231" s="73"/>
      <c r="AA231" s="75"/>
      <c r="AB231" s="75"/>
      <c r="AC231" s="55"/>
      <c r="AD231" s="89"/>
      <c r="AE231" s="89"/>
      <c r="AF231" s="89"/>
      <c r="AG231" s="57"/>
      <c r="AH231" s="58"/>
      <c r="AI231" s="49"/>
      <c r="AK231" s="41"/>
    </row>
    <row r="232" spans="1:37" ht="24" customHeight="1">
      <c r="A232" s="32" t="s">
        <v>947</v>
      </c>
      <c r="B232" s="86">
        <v>4.18</v>
      </c>
      <c r="C232" s="87" t="s">
        <v>2509</v>
      </c>
      <c r="D232" s="88"/>
      <c r="E232" s="73"/>
      <c r="F232" s="73"/>
      <c r="G232" s="73"/>
      <c r="H232" s="73"/>
      <c r="I232" s="73"/>
      <c r="J232" s="73"/>
      <c r="K232" s="73"/>
      <c r="L232" s="73"/>
      <c r="M232" s="73"/>
      <c r="N232" s="73"/>
      <c r="O232" s="73"/>
      <c r="P232" s="73"/>
      <c r="Q232" s="73"/>
      <c r="R232" s="73"/>
      <c r="S232" s="73"/>
      <c r="T232" s="73"/>
      <c r="U232" s="73"/>
      <c r="V232" s="73"/>
      <c r="W232" s="73"/>
      <c r="X232" s="73"/>
      <c r="Y232" s="73"/>
      <c r="Z232" s="73"/>
      <c r="AA232" s="75"/>
      <c r="AB232" s="75"/>
      <c r="AC232" s="61"/>
      <c r="AD232" s="89"/>
      <c r="AE232" s="89"/>
      <c r="AF232" s="89"/>
      <c r="AG232" s="91"/>
      <c r="AH232" s="48"/>
      <c r="AI232" s="49"/>
      <c r="AK232" s="41"/>
    </row>
    <row r="233" spans="1:37" ht="53.25">
      <c r="A233" s="32" t="s">
        <v>948</v>
      </c>
      <c r="B233" s="86">
        <v>4.1900000000000004</v>
      </c>
      <c r="C233" s="87" t="s">
        <v>2510</v>
      </c>
      <c r="D233" s="88" t="s">
        <v>77</v>
      </c>
      <c r="E233" s="73"/>
      <c r="F233" s="73"/>
      <c r="G233" s="73"/>
      <c r="H233" s="73"/>
      <c r="I233" s="73"/>
      <c r="J233" s="73"/>
      <c r="K233" s="73"/>
      <c r="L233" s="73"/>
      <c r="M233" s="73"/>
      <c r="N233" s="73"/>
      <c r="O233" s="73"/>
      <c r="P233" s="73"/>
      <c r="Q233" s="73"/>
      <c r="R233" s="73"/>
      <c r="S233" s="73"/>
      <c r="T233" s="73"/>
      <c r="U233" s="73"/>
      <c r="V233" s="73"/>
      <c r="W233" s="73"/>
      <c r="X233" s="73"/>
      <c r="Y233" s="73"/>
      <c r="Z233" s="73"/>
      <c r="AA233" s="75"/>
      <c r="AB233" s="75"/>
      <c r="AC233" s="55"/>
      <c r="AD233" s="89"/>
      <c r="AE233" s="89"/>
      <c r="AF233" s="89"/>
      <c r="AG233" s="57"/>
      <c r="AH233" s="58"/>
      <c r="AI233" s="49"/>
      <c r="AK233" s="41"/>
    </row>
    <row r="234" spans="1:37" ht="40.5">
      <c r="A234" s="32" t="s">
        <v>949</v>
      </c>
      <c r="B234" s="101">
        <v>4.2</v>
      </c>
      <c r="C234" s="87" t="s">
        <v>2511</v>
      </c>
      <c r="D234" s="88"/>
      <c r="E234" s="73"/>
      <c r="F234" s="73"/>
      <c r="G234" s="73"/>
      <c r="H234" s="73"/>
      <c r="I234" s="73"/>
      <c r="J234" s="73"/>
      <c r="K234" s="73"/>
      <c r="L234" s="73"/>
      <c r="M234" s="73"/>
      <c r="N234" s="73"/>
      <c r="O234" s="73"/>
      <c r="P234" s="73"/>
      <c r="Q234" s="73"/>
      <c r="R234" s="73"/>
      <c r="S234" s="73"/>
      <c r="T234" s="73"/>
      <c r="U234" s="73"/>
      <c r="V234" s="73"/>
      <c r="W234" s="73"/>
      <c r="X234" s="73"/>
      <c r="Y234" s="73"/>
      <c r="Z234" s="73"/>
      <c r="AA234" s="75"/>
      <c r="AB234" s="75"/>
      <c r="AC234" s="61"/>
      <c r="AD234" s="89"/>
      <c r="AE234" s="89"/>
      <c r="AF234" s="89"/>
      <c r="AG234" s="91"/>
      <c r="AH234" s="48"/>
      <c r="AI234" s="49"/>
      <c r="AK234" s="41"/>
    </row>
    <row r="235" spans="1:37" ht="21">
      <c r="A235" s="32" t="s">
        <v>950</v>
      </c>
      <c r="B235" s="92" t="s">
        <v>14</v>
      </c>
      <c r="C235" s="93" t="s">
        <v>168</v>
      </c>
      <c r="D235" s="88"/>
      <c r="E235" s="73"/>
      <c r="F235" s="73"/>
      <c r="G235" s="73"/>
      <c r="H235" s="73"/>
      <c r="I235" s="73"/>
      <c r="J235" s="73"/>
      <c r="K235" s="73"/>
      <c r="L235" s="73"/>
      <c r="M235" s="73"/>
      <c r="N235" s="73"/>
      <c r="O235" s="73"/>
      <c r="P235" s="73"/>
      <c r="Q235" s="73"/>
      <c r="R235" s="73"/>
      <c r="S235" s="73"/>
      <c r="T235" s="73"/>
      <c r="U235" s="73"/>
      <c r="V235" s="73"/>
      <c r="W235" s="73"/>
      <c r="X235" s="73"/>
      <c r="Y235" s="73"/>
      <c r="Z235" s="73"/>
      <c r="AA235" s="75"/>
      <c r="AB235" s="75"/>
      <c r="AC235" s="61"/>
      <c r="AD235" s="89"/>
      <c r="AE235" s="89"/>
      <c r="AF235" s="89"/>
      <c r="AG235" s="91"/>
      <c r="AH235" s="48"/>
      <c r="AI235" s="49"/>
      <c r="AK235" s="41"/>
    </row>
    <row r="236" spans="1:37" ht="21">
      <c r="A236" s="32" t="s">
        <v>951</v>
      </c>
      <c r="B236" s="112" t="s">
        <v>169</v>
      </c>
      <c r="C236" s="87" t="s">
        <v>170</v>
      </c>
      <c r="D236" s="88" t="s">
        <v>38</v>
      </c>
      <c r="E236" s="73"/>
      <c r="F236" s="73"/>
      <c r="G236" s="73"/>
      <c r="H236" s="73"/>
      <c r="I236" s="73"/>
      <c r="J236" s="73"/>
      <c r="K236" s="73"/>
      <c r="L236" s="73"/>
      <c r="M236" s="73"/>
      <c r="N236" s="73"/>
      <c r="O236" s="73"/>
      <c r="P236" s="73"/>
      <c r="Q236" s="73"/>
      <c r="R236" s="73"/>
      <c r="S236" s="73"/>
      <c r="T236" s="73"/>
      <c r="U236" s="73"/>
      <c r="V236" s="73"/>
      <c r="W236" s="73"/>
      <c r="X236" s="73"/>
      <c r="Y236" s="73"/>
      <c r="Z236" s="73"/>
      <c r="AA236" s="75"/>
      <c r="AB236" s="75"/>
      <c r="AC236" s="55"/>
      <c r="AD236" s="89"/>
      <c r="AE236" s="89"/>
      <c r="AF236" s="89"/>
      <c r="AG236" s="57"/>
      <c r="AH236" s="58"/>
      <c r="AI236" s="49"/>
      <c r="AK236" s="41"/>
    </row>
    <row r="237" spans="1:37" ht="21">
      <c r="A237" s="32" t="s">
        <v>952</v>
      </c>
      <c r="B237" s="112" t="s">
        <v>171</v>
      </c>
      <c r="C237" s="87" t="s">
        <v>172</v>
      </c>
      <c r="D237" s="88" t="s">
        <v>38</v>
      </c>
      <c r="E237" s="73"/>
      <c r="F237" s="73"/>
      <c r="G237" s="73"/>
      <c r="H237" s="73"/>
      <c r="I237" s="73"/>
      <c r="J237" s="73"/>
      <c r="K237" s="73"/>
      <c r="L237" s="73"/>
      <c r="M237" s="73"/>
      <c r="N237" s="73"/>
      <c r="O237" s="73"/>
      <c r="P237" s="73"/>
      <c r="Q237" s="73"/>
      <c r="R237" s="73"/>
      <c r="S237" s="73"/>
      <c r="T237" s="73"/>
      <c r="U237" s="73"/>
      <c r="V237" s="73"/>
      <c r="W237" s="73"/>
      <c r="X237" s="73"/>
      <c r="Y237" s="73"/>
      <c r="Z237" s="73"/>
      <c r="AA237" s="75"/>
      <c r="AB237" s="75"/>
      <c r="AC237" s="55"/>
      <c r="AD237" s="89"/>
      <c r="AE237" s="89"/>
      <c r="AF237" s="89"/>
      <c r="AG237" s="57"/>
      <c r="AH237" s="58"/>
      <c r="AI237" s="49"/>
      <c r="AK237" s="41"/>
    </row>
    <row r="238" spans="1:37" ht="21">
      <c r="A238" s="32" t="s">
        <v>953</v>
      </c>
      <c r="B238" s="92" t="s">
        <v>15</v>
      </c>
      <c r="C238" s="93" t="s">
        <v>173</v>
      </c>
      <c r="D238" s="88"/>
      <c r="E238" s="73"/>
      <c r="F238" s="73"/>
      <c r="G238" s="73"/>
      <c r="H238" s="73"/>
      <c r="I238" s="73"/>
      <c r="J238" s="73"/>
      <c r="K238" s="73"/>
      <c r="L238" s="73"/>
      <c r="M238" s="73"/>
      <c r="N238" s="73"/>
      <c r="O238" s="73"/>
      <c r="P238" s="73"/>
      <c r="Q238" s="73"/>
      <c r="R238" s="73"/>
      <c r="S238" s="73"/>
      <c r="T238" s="73"/>
      <c r="U238" s="73"/>
      <c r="V238" s="73"/>
      <c r="W238" s="73"/>
      <c r="X238" s="73"/>
      <c r="Y238" s="73"/>
      <c r="Z238" s="73"/>
      <c r="AA238" s="75"/>
      <c r="AB238" s="75"/>
      <c r="AC238" s="61"/>
      <c r="AD238" s="89"/>
      <c r="AE238" s="89"/>
      <c r="AF238" s="89"/>
      <c r="AG238" s="91"/>
      <c r="AH238" s="48"/>
      <c r="AI238" s="49"/>
      <c r="AK238" s="41"/>
    </row>
    <row r="239" spans="1:37" ht="21">
      <c r="A239" s="32" t="s">
        <v>954</v>
      </c>
      <c r="B239" s="112" t="s">
        <v>169</v>
      </c>
      <c r="C239" s="87" t="s">
        <v>170</v>
      </c>
      <c r="D239" s="88" t="s">
        <v>38</v>
      </c>
      <c r="E239" s="73"/>
      <c r="F239" s="73"/>
      <c r="G239" s="73"/>
      <c r="H239" s="73"/>
      <c r="I239" s="73"/>
      <c r="J239" s="73"/>
      <c r="K239" s="73"/>
      <c r="L239" s="73"/>
      <c r="M239" s="73"/>
      <c r="N239" s="73"/>
      <c r="O239" s="73"/>
      <c r="P239" s="73"/>
      <c r="Q239" s="73"/>
      <c r="R239" s="73"/>
      <c r="S239" s="73"/>
      <c r="T239" s="73"/>
      <c r="U239" s="73"/>
      <c r="V239" s="73"/>
      <c r="W239" s="73"/>
      <c r="X239" s="73"/>
      <c r="Y239" s="73"/>
      <c r="Z239" s="73"/>
      <c r="AA239" s="75"/>
      <c r="AB239" s="75"/>
      <c r="AC239" s="55"/>
      <c r="AD239" s="89"/>
      <c r="AE239" s="89"/>
      <c r="AF239" s="89"/>
      <c r="AG239" s="57"/>
      <c r="AH239" s="58"/>
      <c r="AI239" s="49"/>
      <c r="AK239" s="41"/>
    </row>
    <row r="240" spans="1:37" ht="21">
      <c r="A240" s="32" t="s">
        <v>955</v>
      </c>
      <c r="B240" s="112" t="s">
        <v>171</v>
      </c>
      <c r="C240" s="87" t="s">
        <v>172</v>
      </c>
      <c r="D240" s="88" t="s">
        <v>38</v>
      </c>
      <c r="E240" s="73"/>
      <c r="F240" s="73"/>
      <c r="G240" s="73"/>
      <c r="H240" s="73"/>
      <c r="I240" s="73"/>
      <c r="J240" s="73"/>
      <c r="K240" s="73"/>
      <c r="L240" s="73"/>
      <c r="M240" s="73"/>
      <c r="N240" s="73"/>
      <c r="O240" s="73"/>
      <c r="P240" s="73"/>
      <c r="Q240" s="73"/>
      <c r="R240" s="73"/>
      <c r="S240" s="73"/>
      <c r="T240" s="73"/>
      <c r="U240" s="73"/>
      <c r="V240" s="73"/>
      <c r="W240" s="73"/>
      <c r="X240" s="73"/>
      <c r="Y240" s="73"/>
      <c r="Z240" s="73"/>
      <c r="AA240" s="75"/>
      <c r="AB240" s="75"/>
      <c r="AC240" s="55"/>
      <c r="AD240" s="89"/>
      <c r="AE240" s="89"/>
      <c r="AF240" s="89"/>
      <c r="AG240" s="57"/>
      <c r="AH240" s="58"/>
      <c r="AI240" s="49"/>
      <c r="AK240" s="41"/>
    </row>
    <row r="241" spans="1:38" ht="91.5">
      <c r="A241" s="32" t="s">
        <v>956</v>
      </c>
      <c r="B241" s="86">
        <v>4.21</v>
      </c>
      <c r="C241" s="87" t="s">
        <v>2512</v>
      </c>
      <c r="D241" s="88" t="s">
        <v>38</v>
      </c>
      <c r="E241" s="73"/>
      <c r="F241" s="73"/>
      <c r="G241" s="73"/>
      <c r="H241" s="73"/>
      <c r="I241" s="73"/>
      <c r="J241" s="73"/>
      <c r="K241" s="73"/>
      <c r="L241" s="73"/>
      <c r="M241" s="73"/>
      <c r="N241" s="73"/>
      <c r="O241" s="73"/>
      <c r="P241" s="73"/>
      <c r="Q241" s="73"/>
      <c r="R241" s="73"/>
      <c r="S241" s="73"/>
      <c r="T241" s="73"/>
      <c r="U241" s="73"/>
      <c r="V241" s="73"/>
      <c r="W241" s="73"/>
      <c r="X241" s="73"/>
      <c r="Y241" s="73"/>
      <c r="Z241" s="73"/>
      <c r="AA241" s="75"/>
      <c r="AB241" s="75"/>
      <c r="AC241" s="55"/>
      <c r="AD241" s="89"/>
      <c r="AE241" s="89"/>
      <c r="AF241" s="89"/>
      <c r="AG241" s="57"/>
      <c r="AH241" s="58"/>
      <c r="AI241" s="49"/>
      <c r="AK241" s="41"/>
    </row>
    <row r="242" spans="1:38" ht="66">
      <c r="A242" s="32" t="s">
        <v>2081</v>
      </c>
      <c r="B242" s="86">
        <v>4.22</v>
      </c>
      <c r="C242" s="87" t="s">
        <v>2082</v>
      </c>
      <c r="D242" s="88" t="s">
        <v>38</v>
      </c>
      <c r="E242" s="73"/>
      <c r="F242" s="73"/>
      <c r="G242" s="73"/>
      <c r="H242" s="73"/>
      <c r="I242" s="73"/>
      <c r="J242" s="73"/>
      <c r="K242" s="73"/>
      <c r="L242" s="73"/>
      <c r="M242" s="73"/>
      <c r="N242" s="73"/>
      <c r="O242" s="73"/>
      <c r="P242" s="73"/>
      <c r="Q242" s="73"/>
      <c r="R242" s="73"/>
      <c r="S242" s="73"/>
      <c r="T242" s="73"/>
      <c r="U242" s="73"/>
      <c r="V242" s="73"/>
      <c r="W242" s="73"/>
      <c r="X242" s="73"/>
      <c r="Y242" s="73"/>
      <c r="Z242" s="73"/>
      <c r="AA242" s="75"/>
      <c r="AB242" s="75"/>
      <c r="AC242" s="55"/>
      <c r="AD242" s="89"/>
      <c r="AE242" s="89"/>
      <c r="AF242" s="89"/>
      <c r="AG242" s="57"/>
      <c r="AH242" s="58"/>
      <c r="AI242" s="49"/>
      <c r="AK242" s="41"/>
    </row>
    <row r="243" spans="1:38" ht="21">
      <c r="A243" s="32" t="s">
        <v>2275</v>
      </c>
      <c r="B243" s="80">
        <v>5</v>
      </c>
      <c r="C243" s="33" t="s">
        <v>1480</v>
      </c>
      <c r="D243" s="80"/>
      <c r="E243" s="81"/>
      <c r="F243" s="81"/>
      <c r="G243" s="81"/>
      <c r="H243" s="81"/>
      <c r="I243" s="81"/>
      <c r="J243" s="81"/>
      <c r="K243" s="81"/>
      <c r="L243" s="81"/>
      <c r="M243" s="81"/>
      <c r="N243" s="81"/>
      <c r="O243" s="81"/>
      <c r="P243" s="81"/>
      <c r="Q243" s="81"/>
      <c r="R243" s="81"/>
      <c r="S243" s="81"/>
      <c r="T243" s="81"/>
      <c r="U243" s="81"/>
      <c r="V243" s="81"/>
      <c r="W243" s="81"/>
      <c r="X243" s="81"/>
      <c r="Y243" s="81"/>
      <c r="Z243" s="81"/>
      <c r="AA243" s="83"/>
      <c r="AB243" s="83"/>
      <c r="AC243" s="61"/>
      <c r="AD243" s="89"/>
      <c r="AE243" s="89"/>
      <c r="AF243" s="89"/>
      <c r="AG243" s="91"/>
      <c r="AH243" s="48"/>
      <c r="AI243" s="49"/>
      <c r="AK243" s="41"/>
      <c r="AL243" s="85"/>
    </row>
    <row r="244" spans="1:38" ht="21">
      <c r="A244" s="32" t="s">
        <v>1828</v>
      </c>
      <c r="B244" s="86" t="s">
        <v>1828</v>
      </c>
      <c r="C244" s="87" t="s">
        <v>174</v>
      </c>
      <c r="D244" s="88"/>
      <c r="E244" s="73"/>
      <c r="F244" s="73"/>
      <c r="G244" s="73"/>
      <c r="H244" s="73"/>
      <c r="I244" s="73"/>
      <c r="J244" s="73"/>
      <c r="K244" s="73"/>
      <c r="L244" s="73"/>
      <c r="M244" s="73"/>
      <c r="N244" s="73"/>
      <c r="O244" s="73"/>
      <c r="P244" s="73"/>
      <c r="Q244" s="73"/>
      <c r="R244" s="73"/>
      <c r="S244" s="73"/>
      <c r="T244" s="73"/>
      <c r="U244" s="73"/>
      <c r="V244" s="73"/>
      <c r="W244" s="73"/>
      <c r="X244" s="73"/>
      <c r="Y244" s="73"/>
      <c r="Z244" s="73"/>
      <c r="AA244" s="75"/>
      <c r="AB244" s="75"/>
      <c r="AC244" s="61"/>
      <c r="AD244" s="89"/>
      <c r="AE244" s="89"/>
      <c r="AF244" s="89"/>
      <c r="AG244" s="91"/>
      <c r="AH244" s="48"/>
      <c r="AI244" s="49"/>
      <c r="AK244" s="41"/>
    </row>
    <row r="245" spans="1:38" ht="21">
      <c r="A245" s="32" t="s">
        <v>1829</v>
      </c>
      <c r="B245" s="97" t="s">
        <v>14</v>
      </c>
      <c r="C245" s="60" t="s">
        <v>175</v>
      </c>
      <c r="D245" s="88"/>
      <c r="E245" s="73"/>
      <c r="F245" s="73"/>
      <c r="G245" s="73"/>
      <c r="H245" s="73"/>
      <c r="I245" s="73"/>
      <c r="J245" s="73"/>
      <c r="K245" s="73"/>
      <c r="L245" s="73"/>
      <c r="M245" s="73"/>
      <c r="N245" s="73"/>
      <c r="O245" s="73"/>
      <c r="P245" s="73"/>
      <c r="Q245" s="73"/>
      <c r="R245" s="73"/>
      <c r="S245" s="73"/>
      <c r="T245" s="73"/>
      <c r="U245" s="73"/>
      <c r="V245" s="73"/>
      <c r="W245" s="73"/>
      <c r="X245" s="73"/>
      <c r="Y245" s="73"/>
      <c r="Z245" s="73"/>
      <c r="AA245" s="75"/>
      <c r="AB245" s="75"/>
      <c r="AC245" s="61"/>
      <c r="AD245" s="89"/>
      <c r="AE245" s="89"/>
      <c r="AF245" s="89"/>
      <c r="AG245" s="91"/>
      <c r="AH245" s="48"/>
      <c r="AI245" s="49"/>
      <c r="AK245" s="41"/>
    </row>
    <row r="246" spans="1:38" ht="40.5">
      <c r="A246" s="32" t="s">
        <v>1830</v>
      </c>
      <c r="B246" s="92" t="s">
        <v>104</v>
      </c>
      <c r="C246" s="115" t="s">
        <v>2083</v>
      </c>
      <c r="D246" s="88" t="s">
        <v>77</v>
      </c>
      <c r="E246" s="73"/>
      <c r="F246" s="73"/>
      <c r="G246" s="73"/>
      <c r="H246" s="73"/>
      <c r="I246" s="73"/>
      <c r="J246" s="73"/>
      <c r="K246" s="73"/>
      <c r="L246" s="73"/>
      <c r="M246" s="73"/>
      <c r="N246" s="73"/>
      <c r="O246" s="73"/>
      <c r="P246" s="73"/>
      <c r="Q246" s="73"/>
      <c r="R246" s="73"/>
      <c r="S246" s="73"/>
      <c r="T246" s="73"/>
      <c r="U246" s="73"/>
      <c r="V246" s="73"/>
      <c r="W246" s="73"/>
      <c r="X246" s="73"/>
      <c r="Y246" s="73"/>
      <c r="Z246" s="73"/>
      <c r="AA246" s="75"/>
      <c r="AB246" s="75"/>
      <c r="AC246" s="55"/>
      <c r="AD246" s="89"/>
      <c r="AE246" s="89"/>
      <c r="AF246" s="89"/>
      <c r="AG246" s="57"/>
      <c r="AH246" s="58"/>
      <c r="AI246" s="49"/>
      <c r="AK246" s="41"/>
    </row>
    <row r="247" spans="1:38" ht="40.5">
      <c r="A247" s="32" t="s">
        <v>1831</v>
      </c>
      <c r="B247" s="92" t="s">
        <v>24</v>
      </c>
      <c r="C247" s="115" t="s">
        <v>2084</v>
      </c>
      <c r="D247" s="88" t="s">
        <v>77</v>
      </c>
      <c r="E247" s="73"/>
      <c r="F247" s="73"/>
      <c r="G247" s="73"/>
      <c r="H247" s="73"/>
      <c r="I247" s="73"/>
      <c r="J247" s="73"/>
      <c r="K247" s="73"/>
      <c r="L247" s="73"/>
      <c r="M247" s="73"/>
      <c r="N247" s="73"/>
      <c r="O247" s="73"/>
      <c r="P247" s="73"/>
      <c r="Q247" s="73"/>
      <c r="R247" s="73"/>
      <c r="S247" s="73"/>
      <c r="T247" s="73"/>
      <c r="U247" s="73"/>
      <c r="V247" s="73"/>
      <c r="W247" s="73"/>
      <c r="X247" s="73"/>
      <c r="Y247" s="73"/>
      <c r="Z247" s="73"/>
      <c r="AA247" s="75"/>
      <c r="AB247" s="75"/>
      <c r="AC247" s="55"/>
      <c r="AD247" s="89"/>
      <c r="AE247" s="89"/>
      <c r="AF247" s="89"/>
      <c r="AG247" s="57"/>
      <c r="AH247" s="58"/>
      <c r="AI247" s="49"/>
      <c r="AK247" s="41"/>
    </row>
    <row r="248" spans="1:38" ht="21">
      <c r="A248" s="32" t="s">
        <v>1832</v>
      </c>
      <c r="B248" s="97" t="s">
        <v>15</v>
      </c>
      <c r="C248" s="60" t="s">
        <v>176</v>
      </c>
      <c r="D248" s="88"/>
      <c r="E248" s="73"/>
      <c r="F248" s="73"/>
      <c r="G248" s="73"/>
      <c r="H248" s="73"/>
      <c r="I248" s="73"/>
      <c r="J248" s="73"/>
      <c r="K248" s="73"/>
      <c r="L248" s="73"/>
      <c r="M248" s="73"/>
      <c r="N248" s="73"/>
      <c r="O248" s="73"/>
      <c r="P248" s="73"/>
      <c r="Q248" s="73"/>
      <c r="R248" s="73"/>
      <c r="S248" s="73"/>
      <c r="T248" s="73"/>
      <c r="U248" s="73"/>
      <c r="V248" s="73"/>
      <c r="W248" s="73"/>
      <c r="X248" s="73"/>
      <c r="Y248" s="73"/>
      <c r="Z248" s="73"/>
      <c r="AA248" s="75"/>
      <c r="AB248" s="75"/>
      <c r="AC248" s="61"/>
      <c r="AD248" s="89"/>
      <c r="AE248" s="89"/>
      <c r="AF248" s="89"/>
      <c r="AG248" s="91"/>
      <c r="AH248" s="48"/>
      <c r="AI248" s="49"/>
      <c r="AK248" s="41"/>
    </row>
    <row r="249" spans="1:38" ht="40.5">
      <c r="A249" s="32" t="s">
        <v>1833</v>
      </c>
      <c r="B249" s="92" t="s">
        <v>104</v>
      </c>
      <c r="C249" s="115" t="s">
        <v>2085</v>
      </c>
      <c r="D249" s="88" t="s">
        <v>77</v>
      </c>
      <c r="E249" s="73"/>
      <c r="F249" s="73"/>
      <c r="G249" s="73"/>
      <c r="H249" s="73"/>
      <c r="I249" s="73"/>
      <c r="J249" s="73"/>
      <c r="K249" s="73"/>
      <c r="L249" s="73"/>
      <c r="M249" s="73"/>
      <c r="N249" s="73"/>
      <c r="O249" s="73"/>
      <c r="P249" s="73"/>
      <c r="Q249" s="73"/>
      <c r="R249" s="73"/>
      <c r="S249" s="73"/>
      <c r="T249" s="73"/>
      <c r="U249" s="73"/>
      <c r="V249" s="73"/>
      <c r="W249" s="73"/>
      <c r="X249" s="73"/>
      <c r="Y249" s="73"/>
      <c r="Z249" s="73"/>
      <c r="AA249" s="75"/>
      <c r="AB249" s="75"/>
      <c r="AC249" s="55"/>
      <c r="AD249" s="89"/>
      <c r="AE249" s="89"/>
      <c r="AF249" s="89"/>
      <c r="AG249" s="57"/>
      <c r="AH249" s="58"/>
      <c r="AI249" s="49"/>
      <c r="AK249" s="41"/>
    </row>
    <row r="250" spans="1:38" ht="40.5">
      <c r="A250" s="32" t="s">
        <v>1834</v>
      </c>
      <c r="B250" s="92" t="s">
        <v>24</v>
      </c>
      <c r="C250" s="115" t="s">
        <v>2086</v>
      </c>
      <c r="D250" s="88" t="s">
        <v>77</v>
      </c>
      <c r="E250" s="73"/>
      <c r="F250" s="73"/>
      <c r="G250" s="73"/>
      <c r="H250" s="73"/>
      <c r="I250" s="73"/>
      <c r="J250" s="73"/>
      <c r="K250" s="73"/>
      <c r="L250" s="73"/>
      <c r="M250" s="73"/>
      <c r="N250" s="73"/>
      <c r="O250" s="73"/>
      <c r="P250" s="73"/>
      <c r="Q250" s="73"/>
      <c r="R250" s="73"/>
      <c r="S250" s="73"/>
      <c r="T250" s="73"/>
      <c r="U250" s="73"/>
      <c r="V250" s="73"/>
      <c r="W250" s="73"/>
      <c r="X250" s="73"/>
      <c r="Y250" s="73"/>
      <c r="Z250" s="73"/>
      <c r="AA250" s="75"/>
      <c r="AB250" s="75"/>
      <c r="AC250" s="55"/>
      <c r="AD250" s="89"/>
      <c r="AE250" s="89"/>
      <c r="AF250" s="89"/>
      <c r="AG250" s="57"/>
      <c r="AH250" s="58"/>
      <c r="AI250" s="49"/>
      <c r="AK250" s="41"/>
    </row>
    <row r="251" spans="1:38" ht="21">
      <c r="A251" s="32" t="s">
        <v>1835</v>
      </c>
      <c r="B251" s="86" t="s">
        <v>1835</v>
      </c>
      <c r="C251" s="60" t="s">
        <v>177</v>
      </c>
      <c r="D251" s="88"/>
      <c r="E251" s="73"/>
      <c r="F251" s="73"/>
      <c r="G251" s="73"/>
      <c r="H251" s="73"/>
      <c r="I251" s="73"/>
      <c r="J251" s="73"/>
      <c r="K251" s="73"/>
      <c r="L251" s="73"/>
      <c r="M251" s="73"/>
      <c r="N251" s="73"/>
      <c r="O251" s="73"/>
      <c r="P251" s="73"/>
      <c r="Q251" s="73"/>
      <c r="R251" s="73"/>
      <c r="S251" s="73"/>
      <c r="T251" s="73"/>
      <c r="U251" s="73"/>
      <c r="V251" s="73"/>
      <c r="W251" s="73"/>
      <c r="X251" s="73"/>
      <c r="Y251" s="73"/>
      <c r="Z251" s="73"/>
      <c r="AA251" s="75"/>
      <c r="AB251" s="75"/>
      <c r="AC251" s="61"/>
      <c r="AD251" s="89"/>
      <c r="AE251" s="89"/>
      <c r="AF251" s="89"/>
      <c r="AG251" s="91"/>
      <c r="AH251" s="48"/>
      <c r="AI251" s="49"/>
      <c r="AK251" s="41"/>
    </row>
    <row r="252" spans="1:38" ht="40.5">
      <c r="A252" s="32" t="s">
        <v>1836</v>
      </c>
      <c r="B252" s="97" t="s">
        <v>104</v>
      </c>
      <c r="C252" s="60" t="s">
        <v>2513</v>
      </c>
      <c r="D252" s="88" t="s">
        <v>77</v>
      </c>
      <c r="E252" s="73"/>
      <c r="F252" s="73"/>
      <c r="G252" s="73"/>
      <c r="H252" s="73"/>
      <c r="I252" s="73"/>
      <c r="J252" s="73"/>
      <c r="K252" s="73"/>
      <c r="L252" s="73"/>
      <c r="M252" s="73"/>
      <c r="N252" s="73"/>
      <c r="O252" s="73"/>
      <c r="P252" s="73"/>
      <c r="Q252" s="73"/>
      <c r="R252" s="73"/>
      <c r="S252" s="73"/>
      <c r="T252" s="73"/>
      <c r="U252" s="73"/>
      <c r="V252" s="73"/>
      <c r="W252" s="73"/>
      <c r="X252" s="73"/>
      <c r="Y252" s="73"/>
      <c r="Z252" s="73"/>
      <c r="AA252" s="75"/>
      <c r="AB252" s="75"/>
      <c r="AC252" s="55"/>
      <c r="AD252" s="89"/>
      <c r="AE252" s="89"/>
      <c r="AF252" s="89"/>
      <c r="AG252" s="57"/>
      <c r="AH252" s="58"/>
      <c r="AI252" s="49"/>
      <c r="AK252" s="41"/>
    </row>
    <row r="253" spans="1:38" ht="40.5">
      <c r="A253" s="32" t="s">
        <v>1837</v>
      </c>
      <c r="B253" s="97" t="s">
        <v>24</v>
      </c>
      <c r="C253" s="60" t="s">
        <v>2514</v>
      </c>
      <c r="D253" s="88" t="s">
        <v>77</v>
      </c>
      <c r="E253" s="73"/>
      <c r="F253" s="73"/>
      <c r="G253" s="73"/>
      <c r="H253" s="73"/>
      <c r="I253" s="73"/>
      <c r="J253" s="73"/>
      <c r="K253" s="73"/>
      <c r="L253" s="73"/>
      <c r="M253" s="73"/>
      <c r="N253" s="73"/>
      <c r="O253" s="73"/>
      <c r="P253" s="73"/>
      <c r="Q253" s="73"/>
      <c r="R253" s="73"/>
      <c r="S253" s="73"/>
      <c r="T253" s="73"/>
      <c r="U253" s="73"/>
      <c r="V253" s="73"/>
      <c r="W253" s="73"/>
      <c r="X253" s="73"/>
      <c r="Y253" s="73"/>
      <c r="Z253" s="73"/>
      <c r="AA253" s="75"/>
      <c r="AB253" s="75"/>
      <c r="AC253" s="55"/>
      <c r="AD253" s="89"/>
      <c r="AE253" s="89"/>
      <c r="AF253" s="89"/>
      <c r="AG253" s="57"/>
      <c r="AH253" s="58"/>
      <c r="AI253" s="49"/>
      <c r="AK253" s="41"/>
    </row>
    <row r="254" spans="1:38" ht="40.5">
      <c r="A254" s="32" t="s">
        <v>1839</v>
      </c>
      <c r="B254" s="97" t="s">
        <v>25</v>
      </c>
      <c r="C254" s="60" t="s">
        <v>2515</v>
      </c>
      <c r="D254" s="88" t="s">
        <v>77</v>
      </c>
      <c r="E254" s="73"/>
      <c r="F254" s="73"/>
      <c r="G254" s="73"/>
      <c r="H254" s="73"/>
      <c r="I254" s="73"/>
      <c r="J254" s="73"/>
      <c r="K254" s="73"/>
      <c r="L254" s="73"/>
      <c r="M254" s="73"/>
      <c r="N254" s="73"/>
      <c r="O254" s="73"/>
      <c r="P254" s="73"/>
      <c r="Q254" s="73"/>
      <c r="R254" s="73"/>
      <c r="S254" s="73"/>
      <c r="T254" s="73"/>
      <c r="U254" s="73"/>
      <c r="V254" s="73"/>
      <c r="W254" s="73"/>
      <c r="X254" s="73"/>
      <c r="Y254" s="73"/>
      <c r="Z254" s="73"/>
      <c r="AA254" s="75"/>
      <c r="AB254" s="75"/>
      <c r="AC254" s="55"/>
      <c r="AD254" s="89"/>
      <c r="AE254" s="89"/>
      <c r="AF254" s="89"/>
      <c r="AG254" s="57"/>
      <c r="AH254" s="58"/>
      <c r="AI254" s="49"/>
      <c r="AK254" s="41"/>
    </row>
    <row r="255" spans="1:38" ht="21">
      <c r="A255" s="32" t="s">
        <v>1838</v>
      </c>
      <c r="B255" s="116" t="s">
        <v>1856</v>
      </c>
      <c r="C255" s="117" t="s">
        <v>178</v>
      </c>
      <c r="D255" s="88"/>
      <c r="E255" s="73"/>
      <c r="F255" s="73"/>
      <c r="G255" s="73"/>
      <c r="H255" s="73"/>
      <c r="I255" s="73"/>
      <c r="J255" s="73"/>
      <c r="K255" s="73"/>
      <c r="L255" s="73"/>
      <c r="M255" s="73"/>
      <c r="N255" s="73"/>
      <c r="O255" s="73"/>
      <c r="P255" s="73"/>
      <c r="Q255" s="73"/>
      <c r="R255" s="73"/>
      <c r="S255" s="73"/>
      <c r="T255" s="73"/>
      <c r="U255" s="73"/>
      <c r="V255" s="73"/>
      <c r="W255" s="73"/>
      <c r="X255" s="73"/>
      <c r="Y255" s="73"/>
      <c r="Z255" s="73"/>
      <c r="AA255" s="75"/>
      <c r="AB255" s="75"/>
      <c r="AC255" s="61"/>
      <c r="AD255" s="89"/>
      <c r="AE255" s="89"/>
      <c r="AF255" s="89"/>
      <c r="AG255" s="91"/>
      <c r="AH255" s="48"/>
      <c r="AI255" s="49"/>
      <c r="AK255" s="41"/>
    </row>
    <row r="256" spans="1:38" ht="66">
      <c r="A256" s="32" t="s">
        <v>1840</v>
      </c>
      <c r="B256" s="97" t="s">
        <v>179</v>
      </c>
      <c r="C256" s="87" t="s">
        <v>2516</v>
      </c>
      <c r="D256" s="88" t="s">
        <v>38</v>
      </c>
      <c r="E256" s="73"/>
      <c r="F256" s="73"/>
      <c r="G256" s="73"/>
      <c r="H256" s="73"/>
      <c r="I256" s="73"/>
      <c r="J256" s="73"/>
      <c r="K256" s="73"/>
      <c r="L256" s="73"/>
      <c r="M256" s="73"/>
      <c r="N256" s="73"/>
      <c r="O256" s="73"/>
      <c r="P256" s="73"/>
      <c r="Q256" s="73"/>
      <c r="R256" s="73"/>
      <c r="S256" s="73"/>
      <c r="T256" s="73"/>
      <c r="U256" s="73"/>
      <c r="V256" s="73"/>
      <c r="W256" s="73"/>
      <c r="X256" s="73"/>
      <c r="Y256" s="73"/>
      <c r="Z256" s="73"/>
      <c r="AA256" s="75"/>
      <c r="AB256" s="75"/>
      <c r="AC256" s="55"/>
      <c r="AD256" s="89"/>
      <c r="AE256" s="89"/>
      <c r="AF256" s="89"/>
      <c r="AG256" s="57"/>
      <c r="AH256" s="58"/>
      <c r="AI256" s="49"/>
      <c r="AK256" s="41"/>
    </row>
    <row r="257" spans="1:37" ht="66">
      <c r="A257" s="32" t="s">
        <v>1841</v>
      </c>
      <c r="B257" s="97" t="s">
        <v>24</v>
      </c>
      <c r="C257" s="87" t="s">
        <v>2517</v>
      </c>
      <c r="D257" s="88" t="s">
        <v>38</v>
      </c>
      <c r="E257" s="73"/>
      <c r="F257" s="73"/>
      <c r="G257" s="73"/>
      <c r="H257" s="73"/>
      <c r="I257" s="73"/>
      <c r="J257" s="73"/>
      <c r="K257" s="73"/>
      <c r="L257" s="73"/>
      <c r="M257" s="73"/>
      <c r="N257" s="73"/>
      <c r="O257" s="73"/>
      <c r="P257" s="73"/>
      <c r="Q257" s="73"/>
      <c r="R257" s="73"/>
      <c r="S257" s="73"/>
      <c r="T257" s="73"/>
      <c r="U257" s="73"/>
      <c r="V257" s="73"/>
      <c r="W257" s="73"/>
      <c r="X257" s="73"/>
      <c r="Y257" s="73"/>
      <c r="Z257" s="73"/>
      <c r="AA257" s="75"/>
      <c r="AB257" s="75"/>
      <c r="AC257" s="55"/>
      <c r="AD257" s="89"/>
      <c r="AE257" s="89"/>
      <c r="AF257" s="89"/>
      <c r="AG257" s="57"/>
      <c r="AH257" s="58"/>
      <c r="AI257" s="49"/>
      <c r="AK257" s="41"/>
    </row>
    <row r="258" spans="1:37" ht="21">
      <c r="A258" s="32" t="s">
        <v>1842</v>
      </c>
      <c r="B258" s="116">
        <v>5.04</v>
      </c>
      <c r="C258" s="117" t="s">
        <v>180</v>
      </c>
      <c r="D258" s="88"/>
      <c r="E258" s="73"/>
      <c r="F258" s="73"/>
      <c r="G258" s="73"/>
      <c r="H258" s="73"/>
      <c r="I258" s="73"/>
      <c r="J258" s="73"/>
      <c r="K258" s="73"/>
      <c r="L258" s="73"/>
      <c r="M258" s="73"/>
      <c r="N258" s="73"/>
      <c r="O258" s="73"/>
      <c r="P258" s="73"/>
      <c r="Q258" s="73"/>
      <c r="R258" s="73"/>
      <c r="S258" s="73"/>
      <c r="T258" s="73"/>
      <c r="U258" s="73"/>
      <c r="V258" s="73"/>
      <c r="W258" s="73"/>
      <c r="X258" s="73"/>
      <c r="Y258" s="73"/>
      <c r="Z258" s="73"/>
      <c r="AA258" s="75"/>
      <c r="AB258" s="75"/>
      <c r="AC258" s="61"/>
      <c r="AD258" s="89"/>
      <c r="AE258" s="89"/>
      <c r="AF258" s="89"/>
      <c r="AG258" s="91"/>
      <c r="AH258" s="48"/>
      <c r="AI258" s="49"/>
      <c r="AK258" s="41"/>
    </row>
    <row r="259" spans="1:37" ht="78.75">
      <c r="A259" s="32" t="s">
        <v>1843</v>
      </c>
      <c r="B259" s="97" t="s">
        <v>104</v>
      </c>
      <c r="C259" s="87" t="s">
        <v>2518</v>
      </c>
      <c r="D259" s="88" t="s">
        <v>38</v>
      </c>
      <c r="E259" s="73"/>
      <c r="F259" s="73"/>
      <c r="G259" s="73"/>
      <c r="H259" s="73"/>
      <c r="I259" s="73"/>
      <c r="J259" s="73"/>
      <c r="K259" s="73"/>
      <c r="L259" s="73"/>
      <c r="M259" s="73"/>
      <c r="N259" s="73"/>
      <c r="O259" s="73"/>
      <c r="P259" s="73"/>
      <c r="Q259" s="73"/>
      <c r="R259" s="73"/>
      <c r="S259" s="73"/>
      <c r="T259" s="73"/>
      <c r="U259" s="73"/>
      <c r="V259" s="73"/>
      <c r="W259" s="73"/>
      <c r="X259" s="73"/>
      <c r="Y259" s="73"/>
      <c r="Z259" s="73"/>
      <c r="AA259" s="75"/>
      <c r="AB259" s="75"/>
      <c r="AC259" s="55"/>
      <c r="AD259" s="89"/>
      <c r="AE259" s="89"/>
      <c r="AF259" s="89"/>
      <c r="AG259" s="57"/>
      <c r="AH259" s="58"/>
      <c r="AI259" s="49"/>
      <c r="AK259" s="41"/>
    </row>
    <row r="260" spans="1:37" ht="78.75">
      <c r="A260" s="32" t="s">
        <v>1855</v>
      </c>
      <c r="B260" s="97" t="s">
        <v>24</v>
      </c>
      <c r="C260" s="87" t="s">
        <v>2519</v>
      </c>
      <c r="D260" s="88" t="s">
        <v>38</v>
      </c>
      <c r="E260" s="73"/>
      <c r="F260" s="73"/>
      <c r="G260" s="73"/>
      <c r="H260" s="73"/>
      <c r="I260" s="73"/>
      <c r="J260" s="73"/>
      <c r="K260" s="73"/>
      <c r="L260" s="73"/>
      <c r="M260" s="73"/>
      <c r="N260" s="73"/>
      <c r="O260" s="73"/>
      <c r="P260" s="73"/>
      <c r="Q260" s="73"/>
      <c r="R260" s="73"/>
      <c r="S260" s="73"/>
      <c r="T260" s="73"/>
      <c r="U260" s="73"/>
      <c r="V260" s="73"/>
      <c r="W260" s="73"/>
      <c r="X260" s="73"/>
      <c r="Y260" s="73"/>
      <c r="Z260" s="73"/>
      <c r="AA260" s="75"/>
      <c r="AB260" s="75"/>
      <c r="AC260" s="55"/>
      <c r="AD260" s="89"/>
      <c r="AE260" s="89"/>
      <c r="AF260" s="89"/>
      <c r="AG260" s="57"/>
      <c r="AH260" s="58"/>
      <c r="AI260" s="49"/>
      <c r="AK260" s="41"/>
    </row>
    <row r="261" spans="1:37" ht="21">
      <c r="A261" s="32" t="s">
        <v>1849</v>
      </c>
      <c r="B261" s="116">
        <v>5.05</v>
      </c>
      <c r="C261" s="117" t="s">
        <v>181</v>
      </c>
      <c r="D261" s="8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88"/>
      <c r="AB261" s="88"/>
      <c r="AC261" s="61"/>
      <c r="AD261" s="89"/>
      <c r="AE261" s="89"/>
      <c r="AF261" s="89"/>
      <c r="AG261" s="91"/>
      <c r="AH261" s="48"/>
      <c r="AI261" s="49"/>
      <c r="AK261" s="41"/>
    </row>
    <row r="262" spans="1:37" ht="78.75">
      <c r="A262" s="32" t="s">
        <v>1850</v>
      </c>
      <c r="B262" s="97" t="s">
        <v>104</v>
      </c>
      <c r="C262" s="87" t="s">
        <v>2520</v>
      </c>
      <c r="D262" s="88" t="s">
        <v>38</v>
      </c>
      <c r="E262" s="73"/>
      <c r="F262" s="73"/>
      <c r="G262" s="73"/>
      <c r="H262" s="73"/>
      <c r="I262" s="73"/>
      <c r="J262" s="73"/>
      <c r="K262" s="73"/>
      <c r="L262" s="73"/>
      <c r="M262" s="73"/>
      <c r="N262" s="73"/>
      <c r="O262" s="73"/>
      <c r="P262" s="73"/>
      <c r="Q262" s="73"/>
      <c r="R262" s="73"/>
      <c r="S262" s="73"/>
      <c r="T262" s="73"/>
      <c r="U262" s="73"/>
      <c r="V262" s="73"/>
      <c r="W262" s="73"/>
      <c r="X262" s="73"/>
      <c r="Y262" s="73"/>
      <c r="Z262" s="73"/>
      <c r="AA262" s="75"/>
      <c r="AB262" s="75"/>
      <c r="AC262" s="55"/>
      <c r="AD262" s="89"/>
      <c r="AE262" s="89"/>
      <c r="AF262" s="89"/>
      <c r="AG262" s="57"/>
      <c r="AH262" s="58"/>
      <c r="AI262" s="49"/>
      <c r="AK262" s="41"/>
    </row>
    <row r="263" spans="1:37" ht="78.75">
      <c r="A263" s="32" t="s">
        <v>1851</v>
      </c>
      <c r="B263" s="97" t="s">
        <v>24</v>
      </c>
      <c r="C263" s="87" t="s">
        <v>2521</v>
      </c>
      <c r="D263" s="88" t="s">
        <v>38</v>
      </c>
      <c r="E263" s="73"/>
      <c r="F263" s="73"/>
      <c r="G263" s="73"/>
      <c r="H263" s="73"/>
      <c r="I263" s="73"/>
      <c r="J263" s="73"/>
      <c r="K263" s="73"/>
      <c r="L263" s="73"/>
      <c r="M263" s="73"/>
      <c r="N263" s="73"/>
      <c r="O263" s="73"/>
      <c r="P263" s="73"/>
      <c r="Q263" s="73"/>
      <c r="R263" s="73"/>
      <c r="S263" s="73"/>
      <c r="T263" s="73"/>
      <c r="U263" s="73"/>
      <c r="V263" s="73"/>
      <c r="W263" s="73"/>
      <c r="X263" s="73"/>
      <c r="Y263" s="73"/>
      <c r="Z263" s="73"/>
      <c r="AA263" s="75"/>
      <c r="AB263" s="75"/>
      <c r="AC263" s="55"/>
      <c r="AD263" s="89"/>
      <c r="AE263" s="89"/>
      <c r="AF263" s="89"/>
      <c r="AG263" s="57"/>
      <c r="AH263" s="58"/>
      <c r="AI263" s="49"/>
      <c r="AK263" s="41"/>
    </row>
    <row r="264" spans="1:37" ht="40.5">
      <c r="A264" s="32" t="s">
        <v>1852</v>
      </c>
      <c r="B264" s="86">
        <v>5.0599999999999996</v>
      </c>
      <c r="C264" s="87" t="s">
        <v>2522</v>
      </c>
      <c r="D264" s="88"/>
      <c r="E264" s="73"/>
      <c r="F264" s="73"/>
      <c r="G264" s="73"/>
      <c r="H264" s="73"/>
      <c r="I264" s="73"/>
      <c r="J264" s="73"/>
      <c r="K264" s="73"/>
      <c r="L264" s="73"/>
      <c r="M264" s="73"/>
      <c r="N264" s="73"/>
      <c r="O264" s="73"/>
      <c r="P264" s="73"/>
      <c r="Q264" s="73"/>
      <c r="R264" s="73"/>
      <c r="S264" s="73"/>
      <c r="T264" s="73"/>
      <c r="U264" s="73"/>
      <c r="V264" s="73"/>
      <c r="W264" s="73"/>
      <c r="X264" s="73"/>
      <c r="Y264" s="73"/>
      <c r="Z264" s="73"/>
      <c r="AA264" s="75"/>
      <c r="AB264" s="75"/>
      <c r="AC264" s="61"/>
      <c r="AD264" s="89"/>
      <c r="AE264" s="89"/>
      <c r="AF264" s="89"/>
      <c r="AG264" s="91"/>
      <c r="AH264" s="48"/>
      <c r="AI264" s="49"/>
      <c r="AK264" s="41"/>
    </row>
    <row r="265" spans="1:37" ht="21">
      <c r="A265" s="32" t="s">
        <v>957</v>
      </c>
      <c r="B265" s="92" t="s">
        <v>182</v>
      </c>
      <c r="C265" s="93" t="s">
        <v>183</v>
      </c>
      <c r="D265" s="88" t="s">
        <v>77</v>
      </c>
      <c r="E265" s="73"/>
      <c r="F265" s="73"/>
      <c r="G265" s="73"/>
      <c r="H265" s="73"/>
      <c r="I265" s="73"/>
      <c r="J265" s="73"/>
      <c r="K265" s="73"/>
      <c r="L265" s="73"/>
      <c r="M265" s="73"/>
      <c r="N265" s="73"/>
      <c r="O265" s="73"/>
      <c r="P265" s="73"/>
      <c r="Q265" s="73"/>
      <c r="R265" s="73"/>
      <c r="S265" s="73"/>
      <c r="T265" s="73"/>
      <c r="U265" s="73"/>
      <c r="V265" s="73"/>
      <c r="W265" s="73"/>
      <c r="X265" s="73"/>
      <c r="Y265" s="73"/>
      <c r="Z265" s="73"/>
      <c r="AA265" s="75"/>
      <c r="AB265" s="75"/>
      <c r="AC265" s="55"/>
      <c r="AD265" s="89"/>
      <c r="AE265" s="89"/>
      <c r="AF265" s="89"/>
      <c r="AG265" s="57"/>
      <c r="AH265" s="58"/>
      <c r="AI265" s="49"/>
      <c r="AK265" s="41"/>
    </row>
    <row r="266" spans="1:37" ht="21">
      <c r="A266" s="32" t="s">
        <v>958</v>
      </c>
      <c r="B266" s="92" t="s">
        <v>184</v>
      </c>
      <c r="C266" s="93" t="s">
        <v>185</v>
      </c>
      <c r="D266" s="88" t="s">
        <v>77</v>
      </c>
      <c r="E266" s="73"/>
      <c r="F266" s="73"/>
      <c r="G266" s="73"/>
      <c r="H266" s="73"/>
      <c r="I266" s="73"/>
      <c r="J266" s="73"/>
      <c r="K266" s="73"/>
      <c r="L266" s="73"/>
      <c r="M266" s="73"/>
      <c r="N266" s="73"/>
      <c r="O266" s="73"/>
      <c r="P266" s="73"/>
      <c r="Q266" s="73"/>
      <c r="R266" s="73"/>
      <c r="S266" s="73"/>
      <c r="T266" s="73"/>
      <c r="U266" s="73"/>
      <c r="V266" s="73"/>
      <c r="W266" s="73"/>
      <c r="X266" s="73"/>
      <c r="Y266" s="73"/>
      <c r="Z266" s="73"/>
      <c r="AA266" s="75"/>
      <c r="AB266" s="75"/>
      <c r="AC266" s="55"/>
      <c r="AD266" s="89"/>
      <c r="AE266" s="89"/>
      <c r="AF266" s="89"/>
      <c r="AG266" s="57"/>
      <c r="AH266" s="58"/>
      <c r="AI266" s="49"/>
      <c r="AK266" s="41"/>
    </row>
    <row r="267" spans="1:37" ht="66">
      <c r="A267" s="32" t="s">
        <v>1848</v>
      </c>
      <c r="B267" s="86">
        <v>5.07</v>
      </c>
      <c r="C267" s="87" t="s">
        <v>2523</v>
      </c>
      <c r="D267" s="88" t="s">
        <v>77</v>
      </c>
      <c r="E267" s="73"/>
      <c r="F267" s="73"/>
      <c r="G267" s="73"/>
      <c r="H267" s="73"/>
      <c r="I267" s="73"/>
      <c r="J267" s="73"/>
      <c r="K267" s="73"/>
      <c r="L267" s="73"/>
      <c r="M267" s="73"/>
      <c r="N267" s="73"/>
      <c r="O267" s="73"/>
      <c r="P267" s="73"/>
      <c r="Q267" s="73"/>
      <c r="R267" s="73"/>
      <c r="S267" s="73"/>
      <c r="T267" s="73"/>
      <c r="U267" s="73"/>
      <c r="V267" s="73"/>
      <c r="W267" s="73"/>
      <c r="X267" s="73"/>
      <c r="Y267" s="73"/>
      <c r="Z267" s="73"/>
      <c r="AA267" s="75"/>
      <c r="AB267" s="75"/>
      <c r="AC267" s="55"/>
      <c r="AD267" s="89"/>
      <c r="AE267" s="89"/>
      <c r="AF267" s="89"/>
      <c r="AG267" s="57"/>
      <c r="AH267" s="58"/>
      <c r="AI267" s="49"/>
      <c r="AK267" s="41"/>
    </row>
    <row r="268" spans="1:37" ht="94.5" customHeight="1">
      <c r="A268" s="32" t="s">
        <v>1847</v>
      </c>
      <c r="B268" s="86">
        <v>5.08</v>
      </c>
      <c r="C268" s="87" t="s">
        <v>2524</v>
      </c>
      <c r="D268" s="88"/>
      <c r="E268" s="73"/>
      <c r="F268" s="73"/>
      <c r="G268" s="73"/>
      <c r="H268" s="73"/>
      <c r="I268" s="73"/>
      <c r="J268" s="73"/>
      <c r="K268" s="73"/>
      <c r="L268" s="73"/>
      <c r="M268" s="73"/>
      <c r="N268" s="73"/>
      <c r="O268" s="73"/>
      <c r="P268" s="73"/>
      <c r="Q268" s="73"/>
      <c r="R268" s="73"/>
      <c r="S268" s="73"/>
      <c r="T268" s="73"/>
      <c r="U268" s="73"/>
      <c r="V268" s="73"/>
      <c r="W268" s="73"/>
      <c r="X268" s="73"/>
      <c r="Y268" s="73"/>
      <c r="Z268" s="73"/>
      <c r="AA268" s="75"/>
      <c r="AB268" s="75"/>
      <c r="AC268" s="61"/>
      <c r="AD268" s="89"/>
      <c r="AE268" s="89"/>
      <c r="AF268" s="89"/>
      <c r="AG268" s="91"/>
      <c r="AH268" s="48"/>
      <c r="AI268" s="49"/>
      <c r="AK268" s="41"/>
    </row>
    <row r="269" spans="1:37" ht="21">
      <c r="A269" s="32" t="s">
        <v>1853</v>
      </c>
      <c r="B269" s="92" t="s">
        <v>104</v>
      </c>
      <c r="C269" s="93" t="s">
        <v>186</v>
      </c>
      <c r="D269" s="88" t="s">
        <v>77</v>
      </c>
      <c r="E269" s="73"/>
      <c r="F269" s="73"/>
      <c r="G269" s="73"/>
      <c r="H269" s="73"/>
      <c r="I269" s="73"/>
      <c r="J269" s="73"/>
      <c r="K269" s="73"/>
      <c r="L269" s="73"/>
      <c r="M269" s="73"/>
      <c r="N269" s="73"/>
      <c r="O269" s="73"/>
      <c r="P269" s="73"/>
      <c r="Q269" s="73"/>
      <c r="R269" s="73"/>
      <c r="S269" s="73"/>
      <c r="T269" s="73"/>
      <c r="U269" s="73"/>
      <c r="V269" s="73"/>
      <c r="W269" s="73"/>
      <c r="X269" s="73"/>
      <c r="Y269" s="73"/>
      <c r="Z269" s="73"/>
      <c r="AA269" s="75"/>
      <c r="AB269" s="75"/>
      <c r="AC269" s="55"/>
      <c r="AD269" s="89"/>
      <c r="AE269" s="89"/>
      <c r="AF269" s="89"/>
      <c r="AG269" s="57"/>
      <c r="AH269" s="58"/>
      <c r="AI269" s="49"/>
      <c r="AK269" s="41"/>
    </row>
    <row r="270" spans="1:37" ht="21">
      <c r="A270" s="32" t="s">
        <v>1854</v>
      </c>
      <c r="B270" s="92" t="s">
        <v>24</v>
      </c>
      <c r="C270" s="93" t="s">
        <v>187</v>
      </c>
      <c r="D270" s="88" t="s">
        <v>77</v>
      </c>
      <c r="E270" s="73"/>
      <c r="F270" s="73"/>
      <c r="G270" s="73"/>
      <c r="H270" s="73"/>
      <c r="I270" s="73"/>
      <c r="J270" s="73"/>
      <c r="K270" s="73"/>
      <c r="L270" s="73"/>
      <c r="M270" s="73"/>
      <c r="N270" s="73"/>
      <c r="O270" s="73"/>
      <c r="P270" s="73"/>
      <c r="Q270" s="73"/>
      <c r="R270" s="73"/>
      <c r="S270" s="73"/>
      <c r="T270" s="73"/>
      <c r="U270" s="73"/>
      <c r="V270" s="73"/>
      <c r="W270" s="73"/>
      <c r="X270" s="73"/>
      <c r="Y270" s="73"/>
      <c r="Z270" s="73"/>
      <c r="AA270" s="75"/>
      <c r="AB270" s="75"/>
      <c r="AC270" s="55"/>
      <c r="AD270" s="89"/>
      <c r="AE270" s="89"/>
      <c r="AF270" s="89"/>
      <c r="AG270" s="57"/>
      <c r="AH270" s="58"/>
      <c r="AI270" s="49"/>
      <c r="AK270" s="41"/>
    </row>
    <row r="271" spans="1:37" ht="27.75">
      <c r="A271" s="32" t="s">
        <v>1846</v>
      </c>
      <c r="B271" s="86">
        <v>5.09</v>
      </c>
      <c r="C271" s="87" t="s">
        <v>2525</v>
      </c>
      <c r="D271" s="88"/>
      <c r="E271" s="73"/>
      <c r="F271" s="73"/>
      <c r="G271" s="73"/>
      <c r="H271" s="73"/>
      <c r="I271" s="73"/>
      <c r="J271" s="73"/>
      <c r="K271" s="73"/>
      <c r="L271" s="73"/>
      <c r="M271" s="73"/>
      <c r="N271" s="73"/>
      <c r="O271" s="73"/>
      <c r="P271" s="73"/>
      <c r="Q271" s="73"/>
      <c r="R271" s="73"/>
      <c r="S271" s="73"/>
      <c r="T271" s="73"/>
      <c r="U271" s="73"/>
      <c r="V271" s="73"/>
      <c r="W271" s="73"/>
      <c r="X271" s="73"/>
      <c r="Y271" s="73"/>
      <c r="Z271" s="73"/>
      <c r="AA271" s="75"/>
      <c r="AB271" s="75"/>
      <c r="AC271" s="61"/>
      <c r="AD271" s="89"/>
      <c r="AE271" s="89"/>
      <c r="AF271" s="89"/>
      <c r="AG271" s="91"/>
      <c r="AH271" s="48"/>
      <c r="AI271" s="49"/>
      <c r="AK271" s="41"/>
    </row>
    <row r="272" spans="1:37" ht="21">
      <c r="A272" s="32" t="s">
        <v>1845</v>
      </c>
      <c r="B272" s="92" t="s">
        <v>104</v>
      </c>
      <c r="C272" s="93" t="s">
        <v>188</v>
      </c>
      <c r="D272" s="88" t="s">
        <v>77</v>
      </c>
      <c r="E272" s="73"/>
      <c r="F272" s="73"/>
      <c r="G272" s="73"/>
      <c r="H272" s="73"/>
      <c r="I272" s="73"/>
      <c r="J272" s="73"/>
      <c r="K272" s="73"/>
      <c r="L272" s="73"/>
      <c r="M272" s="73"/>
      <c r="N272" s="73"/>
      <c r="O272" s="73"/>
      <c r="P272" s="73"/>
      <c r="Q272" s="73"/>
      <c r="R272" s="73"/>
      <c r="S272" s="73"/>
      <c r="T272" s="73"/>
      <c r="U272" s="73"/>
      <c r="V272" s="73"/>
      <c r="W272" s="73"/>
      <c r="X272" s="73"/>
      <c r="Y272" s="73"/>
      <c r="Z272" s="73"/>
      <c r="AA272" s="75"/>
      <c r="AB272" s="75"/>
      <c r="AC272" s="55"/>
      <c r="AD272" s="89"/>
      <c r="AE272" s="89"/>
      <c r="AF272" s="89"/>
      <c r="AG272" s="57"/>
      <c r="AH272" s="58"/>
      <c r="AI272" s="49"/>
      <c r="AK272" s="41"/>
    </row>
    <row r="273" spans="1:38" ht="40.5">
      <c r="A273" s="32" t="s">
        <v>1844</v>
      </c>
      <c r="B273" s="92" t="s">
        <v>24</v>
      </c>
      <c r="C273" s="93" t="s">
        <v>2526</v>
      </c>
      <c r="D273" s="88" t="s">
        <v>77</v>
      </c>
      <c r="E273" s="73"/>
      <c r="F273" s="73"/>
      <c r="G273" s="73"/>
      <c r="H273" s="73"/>
      <c r="I273" s="73"/>
      <c r="J273" s="73"/>
      <c r="K273" s="73"/>
      <c r="L273" s="73"/>
      <c r="M273" s="73"/>
      <c r="N273" s="73"/>
      <c r="O273" s="73"/>
      <c r="P273" s="73"/>
      <c r="Q273" s="73"/>
      <c r="R273" s="73"/>
      <c r="S273" s="73"/>
      <c r="T273" s="73"/>
      <c r="U273" s="73"/>
      <c r="V273" s="73"/>
      <c r="W273" s="73"/>
      <c r="X273" s="73"/>
      <c r="Y273" s="73"/>
      <c r="Z273" s="73"/>
      <c r="AA273" s="75"/>
      <c r="AB273" s="75"/>
      <c r="AC273" s="55"/>
      <c r="AD273" s="89"/>
      <c r="AE273" s="89"/>
      <c r="AF273" s="89"/>
      <c r="AG273" s="57"/>
      <c r="AH273" s="58"/>
      <c r="AI273" s="49"/>
      <c r="AK273" s="41"/>
    </row>
    <row r="274" spans="1:38" ht="91.5">
      <c r="A274" s="32" t="s">
        <v>959</v>
      </c>
      <c r="B274" s="101">
        <v>5.0999999999999996</v>
      </c>
      <c r="C274" s="87" t="s">
        <v>2527</v>
      </c>
      <c r="D274" s="88" t="s">
        <v>38</v>
      </c>
      <c r="E274" s="73"/>
      <c r="F274" s="73"/>
      <c r="G274" s="73"/>
      <c r="H274" s="73"/>
      <c r="I274" s="73"/>
      <c r="J274" s="73"/>
      <c r="K274" s="73"/>
      <c r="L274" s="73"/>
      <c r="M274" s="73"/>
      <c r="N274" s="73"/>
      <c r="O274" s="73"/>
      <c r="P274" s="73"/>
      <c r="Q274" s="73"/>
      <c r="R274" s="73"/>
      <c r="S274" s="73"/>
      <c r="T274" s="73"/>
      <c r="U274" s="73"/>
      <c r="V274" s="73"/>
      <c r="W274" s="73"/>
      <c r="X274" s="73"/>
      <c r="Y274" s="73"/>
      <c r="Z274" s="73"/>
      <c r="AA274" s="75"/>
      <c r="AB274" s="75"/>
      <c r="AC274" s="55"/>
      <c r="AD274" s="89"/>
      <c r="AE274" s="89"/>
      <c r="AF274" s="89"/>
      <c r="AG274" s="57"/>
      <c r="AH274" s="58"/>
      <c r="AI274" s="49"/>
      <c r="AK274" s="41"/>
    </row>
    <row r="275" spans="1:38" ht="91.5">
      <c r="A275" s="32" t="s">
        <v>960</v>
      </c>
      <c r="B275" s="86">
        <v>5.1100000000000003</v>
      </c>
      <c r="C275" s="87" t="s">
        <v>2528</v>
      </c>
      <c r="D275" s="88" t="s">
        <v>77</v>
      </c>
      <c r="E275" s="73"/>
      <c r="F275" s="73"/>
      <c r="G275" s="73"/>
      <c r="H275" s="73"/>
      <c r="I275" s="73"/>
      <c r="J275" s="73"/>
      <c r="K275" s="73"/>
      <c r="L275" s="73"/>
      <c r="M275" s="73"/>
      <c r="N275" s="73"/>
      <c r="O275" s="73"/>
      <c r="P275" s="73"/>
      <c r="Q275" s="73"/>
      <c r="R275" s="73"/>
      <c r="S275" s="73"/>
      <c r="T275" s="73"/>
      <c r="U275" s="73"/>
      <c r="V275" s="73"/>
      <c r="W275" s="73"/>
      <c r="X275" s="73"/>
      <c r="Y275" s="73"/>
      <c r="Z275" s="73"/>
      <c r="AA275" s="75"/>
      <c r="AB275" s="75"/>
      <c r="AC275" s="55"/>
      <c r="AD275" s="89"/>
      <c r="AE275" s="89"/>
      <c r="AF275" s="89"/>
      <c r="AG275" s="57"/>
      <c r="AH275" s="58"/>
      <c r="AI275" s="49"/>
      <c r="AK275" s="41"/>
    </row>
    <row r="276" spans="1:38" ht="40.5">
      <c r="A276" s="32" t="s">
        <v>961</v>
      </c>
      <c r="B276" s="86">
        <v>5.12</v>
      </c>
      <c r="C276" s="87" t="s">
        <v>2529</v>
      </c>
      <c r="D276" s="88"/>
      <c r="E276" s="73"/>
      <c r="F276" s="73"/>
      <c r="G276" s="73"/>
      <c r="H276" s="73"/>
      <c r="I276" s="73"/>
      <c r="J276" s="73"/>
      <c r="K276" s="73"/>
      <c r="L276" s="73"/>
      <c r="M276" s="73"/>
      <c r="N276" s="73"/>
      <c r="O276" s="73"/>
      <c r="P276" s="73"/>
      <c r="Q276" s="73"/>
      <c r="R276" s="73"/>
      <c r="S276" s="73"/>
      <c r="T276" s="73"/>
      <c r="U276" s="73"/>
      <c r="V276" s="73"/>
      <c r="W276" s="73"/>
      <c r="X276" s="73"/>
      <c r="Y276" s="73"/>
      <c r="Z276" s="73"/>
      <c r="AA276" s="75"/>
      <c r="AB276" s="75"/>
      <c r="AC276" s="55"/>
      <c r="AD276" s="89"/>
      <c r="AE276" s="89"/>
      <c r="AF276" s="89"/>
      <c r="AG276" s="91"/>
      <c r="AH276" s="48"/>
      <c r="AI276" s="49"/>
      <c r="AK276" s="41"/>
    </row>
    <row r="277" spans="1:38" ht="21">
      <c r="A277" s="32" t="s">
        <v>962</v>
      </c>
      <c r="B277" s="92" t="s">
        <v>104</v>
      </c>
      <c r="C277" s="93" t="s">
        <v>189</v>
      </c>
      <c r="D277" s="88" t="s">
        <v>77</v>
      </c>
      <c r="E277" s="73"/>
      <c r="F277" s="73"/>
      <c r="G277" s="73"/>
      <c r="H277" s="73"/>
      <c r="I277" s="73"/>
      <c r="J277" s="73"/>
      <c r="K277" s="73"/>
      <c r="L277" s="73"/>
      <c r="M277" s="73"/>
      <c r="N277" s="73"/>
      <c r="O277" s="73"/>
      <c r="P277" s="73"/>
      <c r="Q277" s="73"/>
      <c r="R277" s="73"/>
      <c r="S277" s="73"/>
      <c r="T277" s="73"/>
      <c r="U277" s="73"/>
      <c r="V277" s="73"/>
      <c r="W277" s="73"/>
      <c r="X277" s="73"/>
      <c r="Y277" s="73"/>
      <c r="Z277" s="73"/>
      <c r="AA277" s="75"/>
      <c r="AB277" s="75"/>
      <c r="AC277" s="55"/>
      <c r="AD277" s="89"/>
      <c r="AE277" s="89"/>
      <c r="AF277" s="89"/>
      <c r="AG277" s="57"/>
      <c r="AH277" s="58"/>
      <c r="AI277" s="49"/>
      <c r="AK277" s="41"/>
    </row>
    <row r="278" spans="1:38" ht="21">
      <c r="A278" s="32" t="s">
        <v>963</v>
      </c>
      <c r="B278" s="92" t="s">
        <v>24</v>
      </c>
      <c r="C278" s="93" t="s">
        <v>190</v>
      </c>
      <c r="D278" s="88" t="s">
        <v>77</v>
      </c>
      <c r="E278" s="73"/>
      <c r="F278" s="73"/>
      <c r="G278" s="73"/>
      <c r="H278" s="73"/>
      <c r="I278" s="73"/>
      <c r="J278" s="73"/>
      <c r="K278" s="73"/>
      <c r="L278" s="73"/>
      <c r="M278" s="73"/>
      <c r="N278" s="73"/>
      <c r="O278" s="73"/>
      <c r="P278" s="73"/>
      <c r="Q278" s="73"/>
      <c r="R278" s="73"/>
      <c r="S278" s="73"/>
      <c r="T278" s="73"/>
      <c r="U278" s="73"/>
      <c r="V278" s="73"/>
      <c r="W278" s="73"/>
      <c r="X278" s="73"/>
      <c r="Y278" s="73"/>
      <c r="Z278" s="73"/>
      <c r="AA278" s="75"/>
      <c r="AB278" s="75"/>
      <c r="AC278" s="55"/>
      <c r="AD278" s="89"/>
      <c r="AE278" s="89"/>
      <c r="AF278" s="89"/>
      <c r="AG278" s="57"/>
      <c r="AH278" s="58"/>
      <c r="AI278" s="49"/>
      <c r="AK278" s="41"/>
    </row>
    <row r="279" spans="1:38" ht="21">
      <c r="A279" s="32" t="s">
        <v>964</v>
      </c>
      <c r="B279" s="92" t="s">
        <v>25</v>
      </c>
      <c r="C279" s="93" t="s">
        <v>191</v>
      </c>
      <c r="D279" s="88" t="s">
        <v>77</v>
      </c>
      <c r="E279" s="73"/>
      <c r="F279" s="73"/>
      <c r="G279" s="73"/>
      <c r="H279" s="73"/>
      <c r="I279" s="73"/>
      <c r="J279" s="73"/>
      <c r="K279" s="73"/>
      <c r="L279" s="73"/>
      <c r="M279" s="73"/>
      <c r="N279" s="73"/>
      <c r="O279" s="73"/>
      <c r="P279" s="73"/>
      <c r="Q279" s="73"/>
      <c r="R279" s="73"/>
      <c r="S279" s="73"/>
      <c r="T279" s="73"/>
      <c r="U279" s="73"/>
      <c r="V279" s="73"/>
      <c r="W279" s="73"/>
      <c r="X279" s="73"/>
      <c r="Y279" s="73"/>
      <c r="Z279" s="73"/>
      <c r="AA279" s="75"/>
      <c r="AB279" s="75"/>
      <c r="AC279" s="55"/>
      <c r="AD279" s="89"/>
      <c r="AE279" s="89"/>
      <c r="AF279" s="89"/>
      <c r="AG279" s="57"/>
      <c r="AH279" s="58"/>
      <c r="AI279" s="49"/>
      <c r="AK279" s="41"/>
    </row>
    <row r="280" spans="1:38" s="68" customFormat="1" ht="78.75">
      <c r="A280" s="64" t="s">
        <v>965</v>
      </c>
      <c r="B280" s="98">
        <v>5.13</v>
      </c>
      <c r="C280" s="99" t="s">
        <v>2530</v>
      </c>
      <c r="D280" s="100" t="s">
        <v>38</v>
      </c>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55"/>
      <c r="AD280" s="120"/>
      <c r="AE280" s="120"/>
      <c r="AF280" s="120"/>
      <c r="AG280" s="65"/>
      <c r="AH280" s="66"/>
      <c r="AI280" s="114"/>
      <c r="AJ280" s="121"/>
      <c r="AK280" s="122"/>
      <c r="AL280" s="67"/>
    </row>
    <row r="281" spans="1:38" s="68" customFormat="1" ht="21">
      <c r="A281" s="64"/>
      <c r="B281" s="123" t="s">
        <v>2690</v>
      </c>
      <c r="C281" s="99" t="s">
        <v>2691</v>
      </c>
      <c r="D281" s="100" t="s">
        <v>38</v>
      </c>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55"/>
      <c r="AD281" s="120"/>
      <c r="AE281" s="120"/>
      <c r="AF281" s="120"/>
      <c r="AG281" s="65"/>
      <c r="AH281" s="66"/>
      <c r="AI281" s="114"/>
      <c r="AJ281" s="121"/>
      <c r="AK281" s="122"/>
      <c r="AL281" s="67"/>
    </row>
    <row r="282" spans="1:38" s="68" customFormat="1" ht="21">
      <c r="A282" s="64"/>
      <c r="B282" s="123" t="s">
        <v>2692</v>
      </c>
      <c r="C282" s="99" t="s">
        <v>2693</v>
      </c>
      <c r="D282" s="100" t="s">
        <v>38</v>
      </c>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55"/>
      <c r="AD282" s="120"/>
      <c r="AE282" s="120"/>
      <c r="AF282" s="120"/>
      <c r="AG282" s="65"/>
      <c r="AH282" s="66"/>
      <c r="AI282" s="114"/>
      <c r="AJ282" s="121"/>
      <c r="AK282" s="122"/>
      <c r="AL282" s="67"/>
    </row>
    <row r="283" spans="1:38" s="68" customFormat="1" ht="21">
      <c r="A283" s="64"/>
      <c r="B283" s="123" t="s">
        <v>2694</v>
      </c>
      <c r="C283" s="99" t="s">
        <v>2695</v>
      </c>
      <c r="D283" s="100" t="s">
        <v>38</v>
      </c>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55"/>
      <c r="AD283" s="120"/>
      <c r="AE283" s="120"/>
      <c r="AF283" s="120"/>
      <c r="AG283" s="65"/>
      <c r="AH283" s="66"/>
      <c r="AI283" s="114"/>
      <c r="AJ283" s="121"/>
      <c r="AK283" s="122"/>
      <c r="AL283" s="67"/>
    </row>
    <row r="284" spans="1:38" s="68" customFormat="1" ht="21">
      <c r="A284" s="64"/>
      <c r="B284" s="123" t="s">
        <v>2696</v>
      </c>
      <c r="C284" s="99" t="s">
        <v>2697</v>
      </c>
      <c r="D284" s="100" t="s">
        <v>38</v>
      </c>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55"/>
      <c r="AD284" s="120"/>
      <c r="AE284" s="120"/>
      <c r="AF284" s="120"/>
      <c r="AG284" s="65"/>
      <c r="AH284" s="66"/>
      <c r="AI284" s="114"/>
      <c r="AJ284" s="121"/>
      <c r="AK284" s="122"/>
      <c r="AL284" s="67"/>
    </row>
    <row r="285" spans="1:38" s="68" customFormat="1" ht="21">
      <c r="A285" s="64"/>
      <c r="B285" s="123" t="s">
        <v>2698</v>
      </c>
      <c r="C285" s="99" t="s">
        <v>2699</v>
      </c>
      <c r="D285" s="100" t="s">
        <v>38</v>
      </c>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55"/>
      <c r="AD285" s="120"/>
      <c r="AE285" s="120"/>
      <c r="AF285" s="120"/>
      <c r="AG285" s="65"/>
      <c r="AH285" s="66"/>
      <c r="AI285" s="114"/>
      <c r="AJ285" s="121"/>
      <c r="AK285" s="122"/>
      <c r="AL285" s="67"/>
    </row>
    <row r="286" spans="1:38" s="68" customFormat="1" ht="21">
      <c r="A286" s="64"/>
      <c r="B286" s="123" t="s">
        <v>2700</v>
      </c>
      <c r="C286" s="99" t="s">
        <v>2701</v>
      </c>
      <c r="D286" s="100" t="s">
        <v>38</v>
      </c>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55"/>
      <c r="AD286" s="120"/>
      <c r="AE286" s="120"/>
      <c r="AF286" s="120"/>
      <c r="AG286" s="65"/>
      <c r="AH286" s="66"/>
      <c r="AI286" s="114"/>
      <c r="AJ286" s="121"/>
      <c r="AK286" s="122"/>
      <c r="AL286" s="67"/>
    </row>
    <row r="287" spans="1:38" ht="21">
      <c r="A287" s="32" t="s">
        <v>966</v>
      </c>
      <c r="B287" s="86">
        <v>5.14</v>
      </c>
      <c r="C287" s="87" t="s">
        <v>192</v>
      </c>
      <c r="D287" s="88" t="s">
        <v>77</v>
      </c>
      <c r="E287" s="73"/>
      <c r="F287" s="73"/>
      <c r="G287" s="73"/>
      <c r="H287" s="73"/>
      <c r="I287" s="73"/>
      <c r="J287" s="73"/>
      <c r="K287" s="73"/>
      <c r="L287" s="73"/>
      <c r="M287" s="73"/>
      <c r="N287" s="73"/>
      <c r="O287" s="73"/>
      <c r="P287" s="73"/>
      <c r="Q287" s="73"/>
      <c r="R287" s="73"/>
      <c r="S287" s="73"/>
      <c r="T287" s="73"/>
      <c r="U287" s="73"/>
      <c r="V287" s="73"/>
      <c r="W287" s="73"/>
      <c r="X287" s="73"/>
      <c r="Y287" s="73"/>
      <c r="Z287" s="73"/>
      <c r="AA287" s="75"/>
      <c r="AB287" s="75"/>
      <c r="AC287" s="55"/>
      <c r="AD287" s="89"/>
      <c r="AE287" s="89"/>
      <c r="AF287" s="89"/>
      <c r="AG287" s="57"/>
      <c r="AH287" s="58"/>
      <c r="AI287" s="49"/>
      <c r="AK287" s="41"/>
    </row>
    <row r="288" spans="1:38" ht="21">
      <c r="A288" s="32" t="s">
        <v>967</v>
      </c>
      <c r="B288" s="92" t="s">
        <v>193</v>
      </c>
      <c r="C288" s="93" t="s">
        <v>194</v>
      </c>
      <c r="D288" s="88" t="s">
        <v>77</v>
      </c>
      <c r="E288" s="73"/>
      <c r="F288" s="73"/>
      <c r="G288" s="73"/>
      <c r="H288" s="73"/>
      <c r="I288" s="73"/>
      <c r="J288" s="73"/>
      <c r="K288" s="73"/>
      <c r="L288" s="73"/>
      <c r="M288" s="73"/>
      <c r="N288" s="73"/>
      <c r="O288" s="73"/>
      <c r="P288" s="73"/>
      <c r="Q288" s="73"/>
      <c r="R288" s="73"/>
      <c r="S288" s="73"/>
      <c r="T288" s="73"/>
      <c r="U288" s="73"/>
      <c r="V288" s="73"/>
      <c r="W288" s="73"/>
      <c r="X288" s="73"/>
      <c r="Y288" s="73"/>
      <c r="Z288" s="73"/>
      <c r="AA288" s="75"/>
      <c r="AB288" s="75"/>
      <c r="AC288" s="55"/>
      <c r="AD288" s="89"/>
      <c r="AE288" s="89"/>
      <c r="AF288" s="89"/>
      <c r="AG288" s="57"/>
      <c r="AH288" s="58"/>
      <c r="AI288" s="49"/>
      <c r="AK288" s="41"/>
    </row>
    <row r="289" spans="1:37" ht="53.25">
      <c r="A289" s="32" t="s">
        <v>968</v>
      </c>
      <c r="B289" s="86">
        <v>5.15</v>
      </c>
      <c r="C289" s="87" t="s">
        <v>2531</v>
      </c>
      <c r="D289" s="88"/>
      <c r="E289" s="73"/>
      <c r="F289" s="73"/>
      <c r="G289" s="73"/>
      <c r="H289" s="73"/>
      <c r="I289" s="73"/>
      <c r="J289" s="73"/>
      <c r="K289" s="73"/>
      <c r="L289" s="73"/>
      <c r="M289" s="73"/>
      <c r="N289" s="73"/>
      <c r="O289" s="73"/>
      <c r="P289" s="73"/>
      <c r="Q289" s="73"/>
      <c r="R289" s="73"/>
      <c r="S289" s="73"/>
      <c r="T289" s="73"/>
      <c r="U289" s="73"/>
      <c r="V289" s="73"/>
      <c r="W289" s="73"/>
      <c r="X289" s="73"/>
      <c r="Y289" s="73"/>
      <c r="Z289" s="73"/>
      <c r="AA289" s="75"/>
      <c r="AB289" s="75"/>
      <c r="AC289" s="55"/>
      <c r="AD289" s="89"/>
      <c r="AE289" s="89"/>
      <c r="AF289" s="89"/>
      <c r="AG289" s="91"/>
      <c r="AH289" s="48"/>
      <c r="AI289" s="49"/>
      <c r="AK289" s="41"/>
    </row>
    <row r="290" spans="1:37" ht="21">
      <c r="A290" s="32" t="s">
        <v>969</v>
      </c>
      <c r="B290" s="92" t="s">
        <v>104</v>
      </c>
      <c r="C290" s="93" t="s">
        <v>195</v>
      </c>
      <c r="D290" s="88" t="s">
        <v>38</v>
      </c>
      <c r="E290" s="73"/>
      <c r="F290" s="73"/>
      <c r="G290" s="73"/>
      <c r="H290" s="73"/>
      <c r="I290" s="73"/>
      <c r="J290" s="73"/>
      <c r="K290" s="73"/>
      <c r="L290" s="73"/>
      <c r="M290" s="73"/>
      <c r="N290" s="73"/>
      <c r="O290" s="73"/>
      <c r="P290" s="73"/>
      <c r="Q290" s="73"/>
      <c r="R290" s="73"/>
      <c r="S290" s="73"/>
      <c r="T290" s="73"/>
      <c r="U290" s="73"/>
      <c r="V290" s="73"/>
      <c r="W290" s="73"/>
      <c r="X290" s="73"/>
      <c r="Y290" s="73"/>
      <c r="Z290" s="73"/>
      <c r="AA290" s="75"/>
      <c r="AB290" s="75"/>
      <c r="AC290" s="55"/>
      <c r="AD290" s="89"/>
      <c r="AE290" s="89"/>
      <c r="AF290" s="89"/>
      <c r="AG290" s="57"/>
      <c r="AH290" s="58"/>
      <c r="AI290" s="49"/>
      <c r="AK290" s="41"/>
    </row>
    <row r="291" spans="1:37" ht="21">
      <c r="A291" s="32" t="s">
        <v>970</v>
      </c>
      <c r="B291" s="92" t="s">
        <v>24</v>
      </c>
      <c r="C291" s="93" t="s">
        <v>196</v>
      </c>
      <c r="D291" s="88" t="s">
        <v>38</v>
      </c>
      <c r="E291" s="73"/>
      <c r="F291" s="73"/>
      <c r="G291" s="73"/>
      <c r="H291" s="73"/>
      <c r="I291" s="73"/>
      <c r="J291" s="73"/>
      <c r="K291" s="73"/>
      <c r="L291" s="73"/>
      <c r="M291" s="73"/>
      <c r="N291" s="73"/>
      <c r="O291" s="73"/>
      <c r="P291" s="73"/>
      <c r="Q291" s="73"/>
      <c r="R291" s="73"/>
      <c r="S291" s="73"/>
      <c r="T291" s="73"/>
      <c r="U291" s="73"/>
      <c r="V291" s="73"/>
      <c r="W291" s="73"/>
      <c r="X291" s="73"/>
      <c r="Y291" s="73"/>
      <c r="Z291" s="73"/>
      <c r="AA291" s="75"/>
      <c r="AB291" s="75"/>
      <c r="AC291" s="55"/>
      <c r="AD291" s="89"/>
      <c r="AE291" s="89"/>
      <c r="AF291" s="89"/>
      <c r="AG291" s="57"/>
      <c r="AH291" s="58"/>
      <c r="AI291" s="49"/>
      <c r="AK291" s="41"/>
    </row>
    <row r="292" spans="1:37" ht="21">
      <c r="A292" s="32" t="s">
        <v>971</v>
      </c>
      <c r="B292" s="92" t="s">
        <v>25</v>
      </c>
      <c r="C292" s="93" t="s">
        <v>197</v>
      </c>
      <c r="D292" s="88" t="s">
        <v>38</v>
      </c>
      <c r="E292" s="73"/>
      <c r="F292" s="73"/>
      <c r="G292" s="73"/>
      <c r="H292" s="73"/>
      <c r="I292" s="73"/>
      <c r="J292" s="73"/>
      <c r="K292" s="73"/>
      <c r="L292" s="73"/>
      <c r="M292" s="73"/>
      <c r="N292" s="73"/>
      <c r="O292" s="73"/>
      <c r="P292" s="73"/>
      <c r="Q292" s="73"/>
      <c r="R292" s="73"/>
      <c r="S292" s="73"/>
      <c r="T292" s="73"/>
      <c r="U292" s="73"/>
      <c r="V292" s="73"/>
      <c r="W292" s="73"/>
      <c r="X292" s="73"/>
      <c r="Y292" s="73"/>
      <c r="Z292" s="73"/>
      <c r="AA292" s="75"/>
      <c r="AB292" s="75"/>
      <c r="AC292" s="55"/>
      <c r="AD292" s="89"/>
      <c r="AE292" s="89"/>
      <c r="AF292" s="89"/>
      <c r="AG292" s="57"/>
      <c r="AH292" s="58"/>
      <c r="AI292" s="49"/>
      <c r="AK292" s="41"/>
    </row>
    <row r="293" spans="1:37" ht="21">
      <c r="A293" s="32" t="s">
        <v>972</v>
      </c>
      <c r="B293" s="92" t="s">
        <v>60</v>
      </c>
      <c r="C293" s="93" t="s">
        <v>198</v>
      </c>
      <c r="D293" s="88" t="s">
        <v>38</v>
      </c>
      <c r="E293" s="73"/>
      <c r="F293" s="73"/>
      <c r="G293" s="73"/>
      <c r="H293" s="73"/>
      <c r="I293" s="73"/>
      <c r="J293" s="73"/>
      <c r="K293" s="73"/>
      <c r="L293" s="73"/>
      <c r="M293" s="73"/>
      <c r="N293" s="73"/>
      <c r="O293" s="73"/>
      <c r="P293" s="73"/>
      <c r="Q293" s="73"/>
      <c r="R293" s="73"/>
      <c r="S293" s="73"/>
      <c r="T293" s="73"/>
      <c r="U293" s="73"/>
      <c r="V293" s="73"/>
      <c r="W293" s="73"/>
      <c r="X293" s="73"/>
      <c r="Y293" s="73"/>
      <c r="Z293" s="73"/>
      <c r="AA293" s="75"/>
      <c r="AB293" s="75"/>
      <c r="AC293" s="55"/>
      <c r="AD293" s="89"/>
      <c r="AE293" s="89"/>
      <c r="AF293" s="89"/>
      <c r="AG293" s="57"/>
      <c r="AH293" s="58"/>
      <c r="AI293" s="49"/>
      <c r="AK293" s="41"/>
    </row>
    <row r="294" spans="1:37" ht="53.25">
      <c r="A294" s="32" t="s">
        <v>973</v>
      </c>
      <c r="B294" s="86">
        <v>5.16</v>
      </c>
      <c r="C294" s="87" t="s">
        <v>2532</v>
      </c>
      <c r="D294" s="88" t="s">
        <v>38</v>
      </c>
      <c r="E294" s="73"/>
      <c r="F294" s="73"/>
      <c r="G294" s="73"/>
      <c r="H294" s="73"/>
      <c r="I294" s="73"/>
      <c r="J294" s="73"/>
      <c r="K294" s="73"/>
      <c r="L294" s="73"/>
      <c r="M294" s="73"/>
      <c r="N294" s="73"/>
      <c r="O294" s="73"/>
      <c r="P294" s="73"/>
      <c r="Q294" s="73"/>
      <c r="R294" s="73"/>
      <c r="S294" s="73"/>
      <c r="T294" s="73"/>
      <c r="U294" s="73"/>
      <c r="V294" s="73"/>
      <c r="W294" s="73"/>
      <c r="X294" s="73"/>
      <c r="Y294" s="73"/>
      <c r="Z294" s="73"/>
      <c r="AA294" s="75"/>
      <c r="AB294" s="75"/>
      <c r="AC294" s="55"/>
      <c r="AD294" s="89"/>
      <c r="AE294" s="89"/>
      <c r="AF294" s="89"/>
      <c r="AG294" s="57"/>
      <c r="AH294" s="58"/>
      <c r="AI294" s="49"/>
      <c r="AK294" s="41"/>
    </row>
    <row r="295" spans="1:37" ht="21">
      <c r="A295" s="32" t="s">
        <v>974</v>
      </c>
      <c r="B295" s="86">
        <v>5.17</v>
      </c>
      <c r="C295" s="87" t="s">
        <v>199</v>
      </c>
      <c r="D295" s="88"/>
      <c r="E295" s="73"/>
      <c r="F295" s="73"/>
      <c r="G295" s="73"/>
      <c r="H295" s="73"/>
      <c r="I295" s="73"/>
      <c r="J295" s="73"/>
      <c r="K295" s="73"/>
      <c r="L295" s="73"/>
      <c r="M295" s="73"/>
      <c r="N295" s="73"/>
      <c r="O295" s="73"/>
      <c r="P295" s="73"/>
      <c r="Q295" s="73"/>
      <c r="R295" s="73"/>
      <c r="S295" s="73"/>
      <c r="T295" s="73"/>
      <c r="U295" s="73"/>
      <c r="V295" s="73"/>
      <c r="W295" s="73"/>
      <c r="X295" s="73"/>
      <c r="Y295" s="73"/>
      <c r="Z295" s="73"/>
      <c r="AA295" s="75"/>
      <c r="AB295" s="75"/>
      <c r="AC295" s="55"/>
      <c r="AD295" s="89"/>
      <c r="AE295" s="89"/>
      <c r="AF295" s="89"/>
      <c r="AG295" s="91"/>
      <c r="AH295" s="48"/>
      <c r="AI295" s="49"/>
      <c r="AK295" s="41"/>
    </row>
    <row r="296" spans="1:37" ht="78.75">
      <c r="A296" s="32" t="s">
        <v>975</v>
      </c>
      <c r="B296" s="92" t="s">
        <v>104</v>
      </c>
      <c r="C296" s="93" t="s">
        <v>2533</v>
      </c>
      <c r="D296" s="88" t="s">
        <v>77</v>
      </c>
      <c r="E296" s="73"/>
      <c r="F296" s="73"/>
      <c r="G296" s="73"/>
      <c r="H296" s="73"/>
      <c r="I296" s="73"/>
      <c r="J296" s="73"/>
      <c r="K296" s="73"/>
      <c r="L296" s="73"/>
      <c r="M296" s="73"/>
      <c r="N296" s="73"/>
      <c r="O296" s="73"/>
      <c r="P296" s="73"/>
      <c r="Q296" s="73"/>
      <c r="R296" s="73"/>
      <c r="S296" s="73"/>
      <c r="T296" s="73"/>
      <c r="U296" s="73"/>
      <c r="V296" s="73"/>
      <c r="W296" s="73"/>
      <c r="X296" s="73"/>
      <c r="Y296" s="73"/>
      <c r="Z296" s="73"/>
      <c r="AA296" s="75"/>
      <c r="AB296" s="75"/>
      <c r="AC296" s="55"/>
      <c r="AD296" s="89"/>
      <c r="AE296" s="89"/>
      <c r="AF296" s="89"/>
      <c r="AG296" s="57"/>
      <c r="AH296" s="58"/>
      <c r="AI296" s="49"/>
      <c r="AK296" s="41"/>
    </row>
    <row r="297" spans="1:37" ht="66">
      <c r="A297" s="32" t="s">
        <v>976</v>
      </c>
      <c r="B297" s="92" t="s">
        <v>24</v>
      </c>
      <c r="C297" s="93" t="s">
        <v>2534</v>
      </c>
      <c r="D297" s="88" t="s">
        <v>77</v>
      </c>
      <c r="E297" s="73"/>
      <c r="F297" s="73"/>
      <c r="G297" s="73"/>
      <c r="H297" s="73"/>
      <c r="I297" s="73"/>
      <c r="J297" s="73"/>
      <c r="K297" s="73"/>
      <c r="L297" s="73"/>
      <c r="M297" s="73"/>
      <c r="N297" s="73"/>
      <c r="O297" s="73"/>
      <c r="P297" s="73"/>
      <c r="Q297" s="73"/>
      <c r="R297" s="73"/>
      <c r="S297" s="73"/>
      <c r="T297" s="73"/>
      <c r="U297" s="73"/>
      <c r="V297" s="73"/>
      <c r="W297" s="73"/>
      <c r="X297" s="73"/>
      <c r="Y297" s="73"/>
      <c r="Z297" s="73"/>
      <c r="AA297" s="75"/>
      <c r="AB297" s="75"/>
      <c r="AC297" s="55"/>
      <c r="AD297" s="89"/>
      <c r="AE297" s="89"/>
      <c r="AF297" s="89"/>
      <c r="AG297" s="57"/>
      <c r="AH297" s="58"/>
      <c r="AI297" s="49"/>
      <c r="AK297" s="41"/>
    </row>
    <row r="298" spans="1:37" ht="78.75">
      <c r="A298" s="32" t="s">
        <v>977</v>
      </c>
      <c r="B298" s="92" t="s">
        <v>25</v>
      </c>
      <c r="C298" s="93" t="s">
        <v>2535</v>
      </c>
      <c r="D298" s="88" t="s">
        <v>77</v>
      </c>
      <c r="E298" s="73"/>
      <c r="F298" s="73"/>
      <c r="G298" s="73"/>
      <c r="H298" s="73"/>
      <c r="I298" s="73"/>
      <c r="J298" s="73"/>
      <c r="K298" s="73"/>
      <c r="L298" s="73"/>
      <c r="M298" s="73"/>
      <c r="N298" s="73"/>
      <c r="O298" s="73"/>
      <c r="P298" s="73"/>
      <c r="Q298" s="73"/>
      <c r="R298" s="73"/>
      <c r="S298" s="73"/>
      <c r="T298" s="73"/>
      <c r="U298" s="73"/>
      <c r="V298" s="73"/>
      <c r="W298" s="73"/>
      <c r="X298" s="73"/>
      <c r="Y298" s="73"/>
      <c r="Z298" s="73"/>
      <c r="AA298" s="75"/>
      <c r="AB298" s="75"/>
      <c r="AC298" s="55"/>
      <c r="AD298" s="89"/>
      <c r="AE298" s="89"/>
      <c r="AF298" s="89"/>
      <c r="AG298" s="57"/>
      <c r="AH298" s="58"/>
      <c r="AI298" s="49"/>
      <c r="AK298" s="41"/>
    </row>
    <row r="299" spans="1:37" ht="53.25">
      <c r="A299" s="32" t="s">
        <v>978</v>
      </c>
      <c r="B299" s="92" t="s">
        <v>60</v>
      </c>
      <c r="C299" s="93" t="s">
        <v>2536</v>
      </c>
      <c r="D299" s="88" t="s">
        <v>77</v>
      </c>
      <c r="E299" s="73"/>
      <c r="F299" s="73"/>
      <c r="G299" s="73"/>
      <c r="H299" s="73"/>
      <c r="I299" s="73"/>
      <c r="J299" s="73"/>
      <c r="K299" s="73"/>
      <c r="L299" s="73"/>
      <c r="M299" s="73"/>
      <c r="N299" s="73"/>
      <c r="O299" s="73"/>
      <c r="P299" s="73"/>
      <c r="Q299" s="73"/>
      <c r="R299" s="73"/>
      <c r="S299" s="73"/>
      <c r="T299" s="73"/>
      <c r="U299" s="73"/>
      <c r="V299" s="73"/>
      <c r="W299" s="73"/>
      <c r="X299" s="73"/>
      <c r="Y299" s="73"/>
      <c r="Z299" s="73"/>
      <c r="AA299" s="75"/>
      <c r="AB299" s="75"/>
      <c r="AC299" s="55"/>
      <c r="AD299" s="89"/>
      <c r="AE299" s="89"/>
      <c r="AF299" s="89"/>
      <c r="AG299" s="57"/>
      <c r="AH299" s="58"/>
      <c r="AI299" s="49"/>
      <c r="AK299" s="41"/>
    </row>
    <row r="300" spans="1:37" ht="40.5">
      <c r="A300" s="32" t="s">
        <v>979</v>
      </c>
      <c r="B300" s="86">
        <v>5.18</v>
      </c>
      <c r="C300" s="87" t="s">
        <v>2537</v>
      </c>
      <c r="D300" s="88"/>
      <c r="E300" s="73"/>
      <c r="F300" s="73"/>
      <c r="G300" s="73"/>
      <c r="H300" s="73"/>
      <c r="I300" s="73"/>
      <c r="J300" s="73"/>
      <c r="K300" s="73"/>
      <c r="L300" s="73"/>
      <c r="M300" s="73"/>
      <c r="N300" s="73"/>
      <c r="O300" s="73"/>
      <c r="P300" s="73"/>
      <c r="Q300" s="73"/>
      <c r="R300" s="73"/>
      <c r="S300" s="73"/>
      <c r="T300" s="73"/>
      <c r="U300" s="73"/>
      <c r="V300" s="73"/>
      <c r="W300" s="73"/>
      <c r="X300" s="73"/>
      <c r="Y300" s="73"/>
      <c r="Z300" s="73"/>
      <c r="AA300" s="75"/>
      <c r="AB300" s="75"/>
      <c r="AC300" s="55"/>
      <c r="AD300" s="89"/>
      <c r="AE300" s="89"/>
      <c r="AF300" s="89"/>
      <c r="AG300" s="91"/>
      <c r="AH300" s="48"/>
      <c r="AI300" s="49"/>
      <c r="AK300" s="41"/>
    </row>
    <row r="301" spans="1:37" ht="21">
      <c r="A301" s="32" t="s">
        <v>980</v>
      </c>
      <c r="B301" s="92" t="s">
        <v>104</v>
      </c>
      <c r="C301" s="93" t="s">
        <v>200</v>
      </c>
      <c r="D301" s="88" t="s">
        <v>38</v>
      </c>
      <c r="E301" s="73"/>
      <c r="F301" s="73"/>
      <c r="G301" s="73"/>
      <c r="H301" s="73"/>
      <c r="I301" s="73"/>
      <c r="J301" s="73"/>
      <c r="K301" s="73"/>
      <c r="L301" s="73"/>
      <c r="M301" s="73"/>
      <c r="N301" s="73"/>
      <c r="O301" s="73"/>
      <c r="P301" s="73"/>
      <c r="Q301" s="73"/>
      <c r="R301" s="73"/>
      <c r="S301" s="73"/>
      <c r="T301" s="73"/>
      <c r="U301" s="73"/>
      <c r="V301" s="73"/>
      <c r="W301" s="73"/>
      <c r="X301" s="73"/>
      <c r="Y301" s="73"/>
      <c r="Z301" s="73"/>
      <c r="AA301" s="75"/>
      <c r="AB301" s="75"/>
      <c r="AC301" s="55"/>
      <c r="AD301" s="89"/>
      <c r="AE301" s="89"/>
      <c r="AF301" s="89"/>
      <c r="AG301" s="57"/>
      <c r="AH301" s="58"/>
      <c r="AI301" s="49"/>
      <c r="AK301" s="41"/>
    </row>
    <row r="302" spans="1:37" ht="21">
      <c r="A302" s="32" t="s">
        <v>981</v>
      </c>
      <c r="B302" s="92" t="s">
        <v>24</v>
      </c>
      <c r="C302" s="93" t="s">
        <v>201</v>
      </c>
      <c r="D302" s="88" t="s">
        <v>38</v>
      </c>
      <c r="E302" s="73"/>
      <c r="F302" s="73"/>
      <c r="G302" s="73"/>
      <c r="H302" s="73"/>
      <c r="I302" s="73"/>
      <c r="J302" s="73"/>
      <c r="K302" s="73"/>
      <c r="L302" s="73"/>
      <c r="M302" s="73"/>
      <c r="N302" s="73"/>
      <c r="O302" s="73"/>
      <c r="P302" s="73"/>
      <c r="Q302" s="73"/>
      <c r="R302" s="73"/>
      <c r="S302" s="73"/>
      <c r="T302" s="73"/>
      <c r="U302" s="73"/>
      <c r="V302" s="73"/>
      <c r="W302" s="73"/>
      <c r="X302" s="73"/>
      <c r="Y302" s="73"/>
      <c r="Z302" s="73"/>
      <c r="AA302" s="75"/>
      <c r="AB302" s="75"/>
      <c r="AC302" s="55"/>
      <c r="AD302" s="89"/>
      <c r="AE302" s="89"/>
      <c r="AF302" s="89"/>
      <c r="AG302" s="57"/>
      <c r="AH302" s="58"/>
      <c r="AI302" s="49"/>
      <c r="AK302" s="41"/>
    </row>
    <row r="303" spans="1:37" ht="21">
      <c r="A303" s="32" t="s">
        <v>982</v>
      </c>
      <c r="B303" s="92" t="s">
        <v>25</v>
      </c>
      <c r="C303" s="93" t="s">
        <v>202</v>
      </c>
      <c r="D303" s="88" t="s">
        <v>38</v>
      </c>
      <c r="E303" s="73"/>
      <c r="F303" s="73"/>
      <c r="G303" s="73"/>
      <c r="H303" s="73"/>
      <c r="I303" s="73"/>
      <c r="J303" s="73"/>
      <c r="K303" s="73"/>
      <c r="L303" s="73"/>
      <c r="M303" s="73"/>
      <c r="N303" s="73"/>
      <c r="O303" s="73"/>
      <c r="P303" s="73"/>
      <c r="Q303" s="73"/>
      <c r="R303" s="73"/>
      <c r="S303" s="73"/>
      <c r="T303" s="73"/>
      <c r="U303" s="73"/>
      <c r="V303" s="73"/>
      <c r="W303" s="73"/>
      <c r="X303" s="73"/>
      <c r="Y303" s="73"/>
      <c r="Z303" s="73"/>
      <c r="AA303" s="75"/>
      <c r="AB303" s="75"/>
      <c r="AC303" s="55"/>
      <c r="AD303" s="89"/>
      <c r="AE303" s="89"/>
      <c r="AF303" s="89"/>
      <c r="AG303" s="57"/>
      <c r="AH303" s="58"/>
      <c r="AI303" s="49"/>
      <c r="AK303" s="41"/>
    </row>
    <row r="304" spans="1:37" ht="21">
      <c r="A304" s="32" t="s">
        <v>1554</v>
      </c>
      <c r="B304" s="116">
        <v>5.19</v>
      </c>
      <c r="C304" s="117" t="s">
        <v>1553</v>
      </c>
      <c r="D304" s="88"/>
      <c r="E304" s="73"/>
      <c r="F304" s="73"/>
      <c r="G304" s="73"/>
      <c r="H304" s="73"/>
      <c r="I304" s="73"/>
      <c r="J304" s="73"/>
      <c r="K304" s="73"/>
      <c r="L304" s="73"/>
      <c r="M304" s="73"/>
      <c r="N304" s="73"/>
      <c r="O304" s="73"/>
      <c r="P304" s="73"/>
      <c r="Q304" s="73"/>
      <c r="R304" s="73"/>
      <c r="S304" s="73"/>
      <c r="T304" s="73"/>
      <c r="U304" s="73"/>
      <c r="V304" s="73"/>
      <c r="W304" s="73"/>
      <c r="X304" s="73"/>
      <c r="Y304" s="73"/>
      <c r="Z304" s="73"/>
      <c r="AA304" s="75"/>
      <c r="AB304" s="75"/>
      <c r="AC304" s="55"/>
      <c r="AD304" s="89"/>
      <c r="AE304" s="89"/>
      <c r="AF304" s="89"/>
      <c r="AG304" s="57"/>
      <c r="AH304" s="58"/>
      <c r="AI304" s="49"/>
      <c r="AK304" s="41"/>
    </row>
    <row r="305" spans="1:38" ht="78.75">
      <c r="A305" s="32" t="s">
        <v>1555</v>
      </c>
      <c r="B305" s="97" t="s">
        <v>104</v>
      </c>
      <c r="C305" s="87" t="s">
        <v>2538</v>
      </c>
      <c r="D305" s="88" t="s">
        <v>38</v>
      </c>
      <c r="E305" s="73"/>
      <c r="F305" s="73"/>
      <c r="G305" s="73"/>
      <c r="H305" s="73"/>
      <c r="I305" s="73"/>
      <c r="J305" s="73"/>
      <c r="K305" s="73"/>
      <c r="L305" s="73"/>
      <c r="M305" s="73"/>
      <c r="N305" s="73"/>
      <c r="O305" s="73"/>
      <c r="P305" s="73"/>
      <c r="Q305" s="73"/>
      <c r="R305" s="73"/>
      <c r="S305" s="73"/>
      <c r="T305" s="73"/>
      <c r="U305" s="73"/>
      <c r="V305" s="73"/>
      <c r="W305" s="73"/>
      <c r="X305" s="73"/>
      <c r="Y305" s="73"/>
      <c r="Z305" s="73"/>
      <c r="AA305" s="75"/>
      <c r="AB305" s="75"/>
      <c r="AC305" s="55"/>
      <c r="AD305" s="89"/>
      <c r="AE305" s="89"/>
      <c r="AF305" s="89"/>
      <c r="AG305" s="57"/>
      <c r="AH305" s="58"/>
      <c r="AI305" s="49"/>
      <c r="AK305" s="41"/>
    </row>
    <row r="306" spans="1:38" ht="78.75">
      <c r="A306" s="32" t="s">
        <v>1556</v>
      </c>
      <c r="B306" s="97" t="s">
        <v>24</v>
      </c>
      <c r="C306" s="87" t="s">
        <v>2539</v>
      </c>
      <c r="D306" s="88" t="s">
        <v>38</v>
      </c>
      <c r="E306" s="73"/>
      <c r="F306" s="73"/>
      <c r="G306" s="73"/>
      <c r="H306" s="73"/>
      <c r="I306" s="73"/>
      <c r="J306" s="73"/>
      <c r="K306" s="73"/>
      <c r="L306" s="73"/>
      <c r="M306" s="73"/>
      <c r="N306" s="73"/>
      <c r="O306" s="73"/>
      <c r="P306" s="73"/>
      <c r="Q306" s="73"/>
      <c r="R306" s="73"/>
      <c r="S306" s="73"/>
      <c r="T306" s="73"/>
      <c r="U306" s="73"/>
      <c r="V306" s="73"/>
      <c r="W306" s="73"/>
      <c r="X306" s="73"/>
      <c r="Y306" s="73"/>
      <c r="Z306" s="73"/>
      <c r="AA306" s="75"/>
      <c r="AB306" s="75"/>
      <c r="AC306" s="55"/>
      <c r="AD306" s="89"/>
      <c r="AE306" s="89"/>
      <c r="AF306" s="89"/>
      <c r="AG306" s="57"/>
      <c r="AH306" s="58"/>
      <c r="AI306" s="49"/>
      <c r="AK306" s="41"/>
    </row>
    <row r="307" spans="1:38" ht="21">
      <c r="B307" s="124">
        <v>5.2</v>
      </c>
      <c r="C307" s="117" t="s">
        <v>2703</v>
      </c>
      <c r="D307" s="88"/>
      <c r="E307" s="73"/>
      <c r="F307" s="73"/>
      <c r="G307" s="73"/>
      <c r="H307" s="73"/>
      <c r="I307" s="73"/>
      <c r="J307" s="73"/>
      <c r="K307" s="73"/>
      <c r="L307" s="73"/>
      <c r="M307" s="73"/>
      <c r="N307" s="73"/>
      <c r="O307" s="73"/>
      <c r="P307" s="73"/>
      <c r="Q307" s="73"/>
      <c r="R307" s="73"/>
      <c r="S307" s="73"/>
      <c r="T307" s="73"/>
      <c r="U307" s="73"/>
      <c r="V307" s="73"/>
      <c r="W307" s="73"/>
      <c r="X307" s="73"/>
      <c r="Y307" s="73"/>
      <c r="Z307" s="73"/>
      <c r="AA307" s="75"/>
      <c r="AB307" s="75"/>
      <c r="AC307" s="55"/>
      <c r="AD307" s="89"/>
      <c r="AE307" s="89"/>
      <c r="AF307" s="89"/>
      <c r="AG307" s="57"/>
      <c r="AH307" s="58"/>
      <c r="AI307" s="49"/>
      <c r="AK307" s="41"/>
    </row>
    <row r="308" spans="1:38" ht="66">
      <c r="B308" s="97"/>
      <c r="C308" s="87" t="s">
        <v>2704</v>
      </c>
      <c r="D308" s="88" t="s">
        <v>38</v>
      </c>
      <c r="E308" s="73"/>
      <c r="F308" s="73"/>
      <c r="G308" s="73"/>
      <c r="H308" s="73"/>
      <c r="I308" s="73"/>
      <c r="J308" s="73"/>
      <c r="K308" s="73"/>
      <c r="L308" s="73"/>
      <c r="M308" s="73"/>
      <c r="N308" s="73"/>
      <c r="O308" s="73"/>
      <c r="P308" s="73"/>
      <c r="Q308" s="73"/>
      <c r="R308" s="73"/>
      <c r="S308" s="73"/>
      <c r="T308" s="73"/>
      <c r="U308" s="73"/>
      <c r="V308" s="73"/>
      <c r="W308" s="73"/>
      <c r="X308" s="73"/>
      <c r="Y308" s="73"/>
      <c r="Z308" s="73"/>
      <c r="AA308" s="75"/>
      <c r="AB308" s="75"/>
      <c r="AC308" s="55"/>
      <c r="AD308" s="89"/>
      <c r="AE308" s="89"/>
      <c r="AF308" s="89"/>
      <c r="AG308" s="57"/>
      <c r="AH308" s="58"/>
      <c r="AI308" s="49"/>
      <c r="AK308" s="41"/>
    </row>
    <row r="309" spans="1:38" ht="66">
      <c r="B309" s="97"/>
      <c r="C309" s="87" t="s">
        <v>2705</v>
      </c>
      <c r="D309" s="88" t="s">
        <v>38</v>
      </c>
      <c r="E309" s="73"/>
      <c r="F309" s="73"/>
      <c r="G309" s="73"/>
      <c r="H309" s="73"/>
      <c r="I309" s="73"/>
      <c r="J309" s="73"/>
      <c r="K309" s="73"/>
      <c r="L309" s="73"/>
      <c r="M309" s="73"/>
      <c r="N309" s="73"/>
      <c r="O309" s="73"/>
      <c r="P309" s="73"/>
      <c r="Q309" s="73"/>
      <c r="R309" s="73"/>
      <c r="S309" s="73"/>
      <c r="T309" s="73"/>
      <c r="U309" s="73"/>
      <c r="V309" s="73"/>
      <c r="W309" s="73"/>
      <c r="X309" s="73"/>
      <c r="Y309" s="73"/>
      <c r="Z309" s="73"/>
      <c r="AA309" s="75"/>
      <c r="AB309" s="75"/>
      <c r="AC309" s="55"/>
      <c r="AD309" s="89"/>
      <c r="AE309" s="89"/>
      <c r="AF309" s="89"/>
      <c r="AG309" s="57"/>
      <c r="AH309" s="58"/>
      <c r="AI309" s="49"/>
      <c r="AK309" s="41"/>
    </row>
    <row r="310" spans="1:38" ht="21">
      <c r="A310" s="32" t="s">
        <v>1857</v>
      </c>
      <c r="B310" s="80"/>
      <c r="C310" s="33" t="s">
        <v>1481</v>
      </c>
      <c r="D310" s="80"/>
      <c r="E310" s="81"/>
      <c r="F310" s="81"/>
      <c r="G310" s="81"/>
      <c r="H310" s="81"/>
      <c r="I310" s="81"/>
      <c r="J310" s="81"/>
      <c r="K310" s="81"/>
      <c r="L310" s="81"/>
      <c r="M310" s="81"/>
      <c r="N310" s="81"/>
      <c r="O310" s="81"/>
      <c r="P310" s="81"/>
      <c r="Q310" s="81"/>
      <c r="R310" s="81"/>
      <c r="S310" s="81"/>
      <c r="T310" s="81"/>
      <c r="U310" s="81"/>
      <c r="V310" s="81"/>
      <c r="W310" s="81"/>
      <c r="X310" s="81"/>
      <c r="Y310" s="81"/>
      <c r="Z310" s="81"/>
      <c r="AA310" s="83"/>
      <c r="AB310" s="83"/>
      <c r="AC310" s="55"/>
      <c r="AD310" s="89"/>
      <c r="AE310" s="89"/>
      <c r="AF310" s="89"/>
      <c r="AG310" s="91"/>
      <c r="AH310" s="48"/>
      <c r="AI310" s="49"/>
      <c r="AK310" s="41"/>
      <c r="AL310" s="85"/>
    </row>
    <row r="311" spans="1:38" ht="91.5">
      <c r="A311" s="32" t="s">
        <v>1858</v>
      </c>
      <c r="B311" s="86">
        <v>6.01</v>
      </c>
      <c r="C311" s="87" t="s">
        <v>2540</v>
      </c>
      <c r="D311" s="88" t="s">
        <v>38</v>
      </c>
      <c r="E311" s="73"/>
      <c r="F311" s="73"/>
      <c r="G311" s="73"/>
      <c r="H311" s="73"/>
      <c r="I311" s="73"/>
      <c r="J311" s="73"/>
      <c r="K311" s="73"/>
      <c r="L311" s="73"/>
      <c r="M311" s="73"/>
      <c r="N311" s="73"/>
      <c r="O311" s="73"/>
      <c r="P311" s="73"/>
      <c r="Q311" s="73"/>
      <c r="R311" s="73"/>
      <c r="S311" s="73"/>
      <c r="T311" s="73"/>
      <c r="U311" s="73"/>
      <c r="V311" s="73"/>
      <c r="W311" s="73"/>
      <c r="X311" s="73"/>
      <c r="Y311" s="73"/>
      <c r="Z311" s="73"/>
      <c r="AA311" s="75"/>
      <c r="AB311" s="75"/>
      <c r="AC311" s="55"/>
      <c r="AD311" s="89"/>
      <c r="AE311" s="89"/>
      <c r="AF311" s="89"/>
      <c r="AG311" s="57"/>
      <c r="AH311" s="58"/>
      <c r="AI311" s="49"/>
      <c r="AK311" s="41"/>
    </row>
    <row r="312" spans="1:38" ht="104.25">
      <c r="A312" s="32" t="s">
        <v>1859</v>
      </c>
      <c r="B312" s="86">
        <v>6.02</v>
      </c>
      <c r="C312" s="87" t="s">
        <v>2541</v>
      </c>
      <c r="D312" s="88" t="s">
        <v>38</v>
      </c>
      <c r="E312" s="73"/>
      <c r="F312" s="73"/>
      <c r="G312" s="73"/>
      <c r="H312" s="73"/>
      <c r="I312" s="73"/>
      <c r="J312" s="73"/>
      <c r="K312" s="73"/>
      <c r="L312" s="73"/>
      <c r="M312" s="73"/>
      <c r="N312" s="73"/>
      <c r="O312" s="73"/>
      <c r="P312" s="73"/>
      <c r="Q312" s="73"/>
      <c r="R312" s="73"/>
      <c r="S312" s="73"/>
      <c r="T312" s="73"/>
      <c r="U312" s="73"/>
      <c r="V312" s="73"/>
      <c r="W312" s="73"/>
      <c r="X312" s="73"/>
      <c r="Y312" s="73"/>
      <c r="Z312" s="73"/>
      <c r="AA312" s="75"/>
      <c r="AB312" s="75"/>
      <c r="AC312" s="55"/>
      <c r="AD312" s="89"/>
      <c r="AE312" s="89"/>
      <c r="AF312" s="89"/>
      <c r="AG312" s="57"/>
      <c r="AH312" s="58"/>
      <c r="AI312" s="49"/>
      <c r="AK312" s="41"/>
    </row>
    <row r="313" spans="1:38" ht="78.75">
      <c r="A313" s="32" t="s">
        <v>1860</v>
      </c>
      <c r="B313" s="86">
        <v>6.03</v>
      </c>
      <c r="C313" s="87" t="s">
        <v>2542</v>
      </c>
      <c r="D313" s="88"/>
      <c r="E313" s="73"/>
      <c r="F313" s="73"/>
      <c r="G313" s="73"/>
      <c r="H313" s="73"/>
      <c r="I313" s="73"/>
      <c r="J313" s="73"/>
      <c r="K313" s="73"/>
      <c r="L313" s="73"/>
      <c r="M313" s="73"/>
      <c r="N313" s="73"/>
      <c r="O313" s="73"/>
      <c r="P313" s="73"/>
      <c r="Q313" s="73"/>
      <c r="R313" s="73"/>
      <c r="S313" s="73"/>
      <c r="T313" s="73"/>
      <c r="U313" s="73"/>
      <c r="V313" s="73"/>
      <c r="W313" s="73"/>
      <c r="X313" s="73"/>
      <c r="Y313" s="73"/>
      <c r="Z313" s="73"/>
      <c r="AA313" s="75"/>
      <c r="AB313" s="75"/>
      <c r="AC313" s="55"/>
      <c r="AD313" s="89"/>
      <c r="AE313" s="89"/>
      <c r="AF313" s="89"/>
      <c r="AG313" s="91"/>
      <c r="AH313" s="48"/>
      <c r="AI313" s="49"/>
      <c r="AK313" s="41"/>
    </row>
    <row r="314" spans="1:38" ht="91.5">
      <c r="A314" s="32" t="s">
        <v>1861</v>
      </c>
      <c r="B314" s="86">
        <v>6.04</v>
      </c>
      <c r="C314" s="87" t="s">
        <v>2543</v>
      </c>
      <c r="D314" s="88" t="s">
        <v>38</v>
      </c>
      <c r="E314" s="73"/>
      <c r="F314" s="73"/>
      <c r="G314" s="73"/>
      <c r="H314" s="73"/>
      <c r="I314" s="73"/>
      <c r="J314" s="73"/>
      <c r="K314" s="73"/>
      <c r="L314" s="73"/>
      <c r="M314" s="73"/>
      <c r="N314" s="73"/>
      <c r="O314" s="73"/>
      <c r="P314" s="73"/>
      <c r="Q314" s="73"/>
      <c r="R314" s="73"/>
      <c r="S314" s="73"/>
      <c r="T314" s="73"/>
      <c r="U314" s="73"/>
      <c r="V314" s="73"/>
      <c r="W314" s="73"/>
      <c r="X314" s="73"/>
      <c r="Y314" s="73"/>
      <c r="Z314" s="73"/>
      <c r="AA314" s="75"/>
      <c r="AB314" s="75"/>
      <c r="AC314" s="55"/>
      <c r="AD314" s="89"/>
      <c r="AE314" s="89"/>
      <c r="AF314" s="89"/>
      <c r="AG314" s="57"/>
      <c r="AH314" s="58"/>
      <c r="AI314" s="49"/>
      <c r="AK314" s="41"/>
    </row>
    <row r="315" spans="1:38" ht="117">
      <c r="A315" s="32" t="s">
        <v>1862</v>
      </c>
      <c r="B315" s="86">
        <v>6.05</v>
      </c>
      <c r="C315" s="87" t="s">
        <v>2544</v>
      </c>
      <c r="D315" s="88" t="s">
        <v>38</v>
      </c>
      <c r="E315" s="73"/>
      <c r="F315" s="73"/>
      <c r="G315" s="73"/>
      <c r="H315" s="73"/>
      <c r="I315" s="73"/>
      <c r="J315" s="73"/>
      <c r="K315" s="73"/>
      <c r="L315" s="73"/>
      <c r="M315" s="73"/>
      <c r="N315" s="73"/>
      <c r="O315" s="73"/>
      <c r="P315" s="73"/>
      <c r="Q315" s="73"/>
      <c r="R315" s="73"/>
      <c r="S315" s="73"/>
      <c r="T315" s="73"/>
      <c r="U315" s="73"/>
      <c r="V315" s="73"/>
      <c r="W315" s="73"/>
      <c r="X315" s="73"/>
      <c r="Y315" s="73"/>
      <c r="Z315" s="73"/>
      <c r="AA315" s="75"/>
      <c r="AB315" s="75"/>
      <c r="AC315" s="55"/>
      <c r="AD315" s="89"/>
      <c r="AE315" s="89"/>
      <c r="AF315" s="89"/>
      <c r="AG315" s="57"/>
      <c r="AH315" s="58"/>
      <c r="AI315" s="49"/>
      <c r="AK315" s="41"/>
    </row>
    <row r="316" spans="1:38" ht="91.5">
      <c r="A316" s="32" t="s">
        <v>2087</v>
      </c>
      <c r="B316" s="86">
        <v>6.06</v>
      </c>
      <c r="C316" s="60" t="s">
        <v>2545</v>
      </c>
      <c r="D316" s="88"/>
      <c r="E316" s="73"/>
      <c r="F316" s="73"/>
      <c r="G316" s="73"/>
      <c r="H316" s="73"/>
      <c r="I316" s="73"/>
      <c r="J316" s="73"/>
      <c r="K316" s="73"/>
      <c r="L316" s="73"/>
      <c r="M316" s="73"/>
      <c r="N316" s="73"/>
      <c r="O316" s="73"/>
      <c r="P316" s="73"/>
      <c r="Q316" s="73"/>
      <c r="R316" s="73"/>
      <c r="S316" s="73"/>
      <c r="T316" s="73"/>
      <c r="U316" s="73"/>
      <c r="V316" s="73"/>
      <c r="W316" s="73"/>
      <c r="X316" s="73"/>
      <c r="Y316" s="73"/>
      <c r="Z316" s="73"/>
      <c r="AA316" s="75"/>
      <c r="AB316" s="75"/>
      <c r="AC316" s="55"/>
      <c r="AD316" s="89"/>
      <c r="AE316" s="89"/>
      <c r="AF316" s="89"/>
      <c r="AG316" s="57"/>
      <c r="AH316" s="58"/>
      <c r="AI316" s="49"/>
      <c r="AK316" s="41"/>
    </row>
    <row r="317" spans="1:38" ht="104.25">
      <c r="A317" s="32" t="s">
        <v>2442</v>
      </c>
      <c r="B317" s="86">
        <v>6.07</v>
      </c>
      <c r="C317" s="60" t="s">
        <v>2546</v>
      </c>
      <c r="D317" s="88"/>
      <c r="E317" s="73"/>
      <c r="F317" s="73"/>
      <c r="G317" s="73"/>
      <c r="H317" s="73"/>
      <c r="I317" s="73"/>
      <c r="J317" s="73"/>
      <c r="K317" s="73"/>
      <c r="L317" s="73"/>
      <c r="M317" s="73"/>
      <c r="N317" s="73"/>
      <c r="O317" s="73"/>
      <c r="P317" s="73"/>
      <c r="Q317" s="73"/>
      <c r="R317" s="73"/>
      <c r="S317" s="73"/>
      <c r="T317" s="73"/>
      <c r="U317" s="73"/>
      <c r="V317" s="73"/>
      <c r="W317" s="73"/>
      <c r="X317" s="73"/>
      <c r="Y317" s="73"/>
      <c r="Z317" s="73"/>
      <c r="AA317" s="75"/>
      <c r="AB317" s="75"/>
      <c r="AC317" s="55"/>
      <c r="AD317" s="89"/>
      <c r="AE317" s="89"/>
      <c r="AF317" s="89"/>
      <c r="AG317" s="57"/>
      <c r="AH317" s="58"/>
      <c r="AI317" s="49"/>
      <c r="AK317" s="41"/>
    </row>
    <row r="318" spans="1:38" ht="21">
      <c r="A318" s="32" t="s">
        <v>1871</v>
      </c>
      <c r="B318" s="80"/>
      <c r="C318" s="33" t="s">
        <v>1482</v>
      </c>
      <c r="D318" s="80"/>
      <c r="E318" s="81"/>
      <c r="F318" s="81"/>
      <c r="G318" s="81"/>
      <c r="H318" s="81"/>
      <c r="I318" s="81"/>
      <c r="J318" s="81"/>
      <c r="K318" s="81"/>
      <c r="L318" s="81"/>
      <c r="M318" s="81"/>
      <c r="N318" s="81"/>
      <c r="O318" s="81"/>
      <c r="P318" s="81"/>
      <c r="Q318" s="81"/>
      <c r="R318" s="81"/>
      <c r="S318" s="81"/>
      <c r="T318" s="81"/>
      <c r="U318" s="81"/>
      <c r="V318" s="81"/>
      <c r="W318" s="81"/>
      <c r="X318" s="81"/>
      <c r="Y318" s="81"/>
      <c r="Z318" s="81"/>
      <c r="AA318" s="83"/>
      <c r="AB318" s="83"/>
      <c r="AC318" s="55"/>
      <c r="AD318" s="89"/>
      <c r="AE318" s="89"/>
      <c r="AF318" s="89"/>
      <c r="AG318" s="91"/>
      <c r="AH318" s="48"/>
      <c r="AI318" s="49"/>
      <c r="AK318" s="41"/>
      <c r="AL318" s="125"/>
    </row>
    <row r="319" spans="1:38" ht="53.25">
      <c r="A319" s="32" t="s">
        <v>1872</v>
      </c>
      <c r="B319" s="86">
        <v>7.01</v>
      </c>
      <c r="C319" s="87" t="s">
        <v>768</v>
      </c>
      <c r="D319" s="88" t="s">
        <v>81</v>
      </c>
      <c r="E319" s="73"/>
      <c r="F319" s="73"/>
      <c r="G319" s="73"/>
      <c r="H319" s="73"/>
      <c r="I319" s="73"/>
      <c r="J319" s="73"/>
      <c r="K319" s="73"/>
      <c r="L319" s="73"/>
      <c r="M319" s="73"/>
      <c r="N319" s="73"/>
      <c r="O319" s="73"/>
      <c r="P319" s="73"/>
      <c r="Q319" s="73"/>
      <c r="R319" s="73"/>
      <c r="S319" s="73"/>
      <c r="T319" s="73"/>
      <c r="U319" s="73"/>
      <c r="V319" s="73"/>
      <c r="W319" s="73"/>
      <c r="X319" s="73"/>
      <c r="Y319" s="73"/>
      <c r="Z319" s="73"/>
      <c r="AA319" s="75"/>
      <c r="AB319" s="75"/>
      <c r="AC319" s="55"/>
      <c r="AD319" s="89"/>
      <c r="AE319" s="89"/>
      <c r="AF319" s="89"/>
      <c r="AG319" s="57"/>
      <c r="AH319" s="58"/>
      <c r="AI319" s="49"/>
      <c r="AK319" s="41"/>
    </row>
    <row r="320" spans="1:38" ht="78.75">
      <c r="A320" s="32" t="s">
        <v>1873</v>
      </c>
      <c r="B320" s="86">
        <v>7.02</v>
      </c>
      <c r="C320" s="87" t="s">
        <v>769</v>
      </c>
      <c r="D320" s="88" t="s">
        <v>77</v>
      </c>
      <c r="E320" s="73"/>
      <c r="F320" s="73"/>
      <c r="G320" s="73"/>
      <c r="H320" s="73"/>
      <c r="I320" s="73"/>
      <c r="J320" s="73"/>
      <c r="K320" s="73"/>
      <c r="L320" s="73"/>
      <c r="M320" s="73"/>
      <c r="N320" s="73"/>
      <c r="O320" s="73"/>
      <c r="P320" s="73"/>
      <c r="Q320" s="73"/>
      <c r="R320" s="73"/>
      <c r="S320" s="73"/>
      <c r="T320" s="73"/>
      <c r="U320" s="73"/>
      <c r="V320" s="73"/>
      <c r="W320" s="73"/>
      <c r="X320" s="73"/>
      <c r="Y320" s="73"/>
      <c r="Z320" s="73"/>
      <c r="AA320" s="75"/>
      <c r="AB320" s="75"/>
      <c r="AC320" s="55"/>
      <c r="AD320" s="89"/>
      <c r="AE320" s="89"/>
      <c r="AF320" s="89"/>
      <c r="AG320" s="57"/>
      <c r="AH320" s="58"/>
      <c r="AI320" s="49"/>
      <c r="AK320" s="41"/>
    </row>
    <row r="321" spans="1:38" ht="117">
      <c r="A321" s="32" t="s">
        <v>1874</v>
      </c>
      <c r="B321" s="86">
        <v>7.03</v>
      </c>
      <c r="C321" s="87" t="s">
        <v>770</v>
      </c>
      <c r="D321" s="88" t="s">
        <v>38</v>
      </c>
      <c r="E321" s="73"/>
      <c r="F321" s="73"/>
      <c r="G321" s="73"/>
      <c r="H321" s="73"/>
      <c r="I321" s="73"/>
      <c r="J321" s="73"/>
      <c r="K321" s="73"/>
      <c r="L321" s="73"/>
      <c r="M321" s="73"/>
      <c r="N321" s="73"/>
      <c r="O321" s="73"/>
      <c r="P321" s="73"/>
      <c r="Q321" s="73"/>
      <c r="R321" s="73"/>
      <c r="S321" s="73"/>
      <c r="T321" s="73"/>
      <c r="U321" s="73"/>
      <c r="V321" s="73"/>
      <c r="W321" s="73"/>
      <c r="X321" s="73"/>
      <c r="Y321" s="73"/>
      <c r="Z321" s="73"/>
      <c r="AA321" s="75"/>
      <c r="AB321" s="75"/>
      <c r="AC321" s="55"/>
      <c r="AD321" s="89"/>
      <c r="AE321" s="89"/>
      <c r="AF321" s="89"/>
      <c r="AG321" s="57"/>
      <c r="AH321" s="58"/>
      <c r="AI321" s="49"/>
      <c r="AK321" s="41"/>
    </row>
    <row r="322" spans="1:38" ht="66">
      <c r="A322" s="32" t="s">
        <v>1875</v>
      </c>
      <c r="B322" s="86">
        <v>7.04</v>
      </c>
      <c r="C322" s="87" t="s">
        <v>771</v>
      </c>
      <c r="D322" s="88"/>
      <c r="E322" s="73"/>
      <c r="F322" s="73"/>
      <c r="G322" s="73"/>
      <c r="H322" s="73"/>
      <c r="I322" s="73"/>
      <c r="J322" s="73"/>
      <c r="K322" s="73"/>
      <c r="L322" s="73"/>
      <c r="M322" s="73"/>
      <c r="N322" s="73"/>
      <c r="O322" s="73"/>
      <c r="P322" s="73"/>
      <c r="Q322" s="73"/>
      <c r="R322" s="73"/>
      <c r="S322" s="73"/>
      <c r="T322" s="73"/>
      <c r="U322" s="73"/>
      <c r="V322" s="73"/>
      <c r="W322" s="73"/>
      <c r="X322" s="73"/>
      <c r="Y322" s="73"/>
      <c r="Z322" s="73"/>
      <c r="AA322" s="75"/>
      <c r="AB322" s="75"/>
      <c r="AC322" s="55"/>
      <c r="AD322" s="89"/>
      <c r="AE322" s="89"/>
      <c r="AF322" s="89"/>
      <c r="AG322" s="91"/>
      <c r="AH322" s="48"/>
      <c r="AI322" s="49"/>
      <c r="AK322" s="41"/>
    </row>
    <row r="323" spans="1:38" ht="21">
      <c r="A323" s="32" t="s">
        <v>1863</v>
      </c>
      <c r="B323" s="92" t="s">
        <v>104</v>
      </c>
      <c r="C323" s="95" t="s">
        <v>203</v>
      </c>
      <c r="D323" s="88" t="s">
        <v>204</v>
      </c>
      <c r="E323" s="73"/>
      <c r="F323" s="73"/>
      <c r="G323" s="73"/>
      <c r="H323" s="73"/>
      <c r="I323" s="73"/>
      <c r="J323" s="73"/>
      <c r="K323" s="73"/>
      <c r="L323" s="73"/>
      <c r="M323" s="73"/>
      <c r="N323" s="73"/>
      <c r="O323" s="73"/>
      <c r="P323" s="73"/>
      <c r="Q323" s="73"/>
      <c r="R323" s="73"/>
      <c r="S323" s="73"/>
      <c r="T323" s="73"/>
      <c r="U323" s="73"/>
      <c r="V323" s="73"/>
      <c r="W323" s="73"/>
      <c r="X323" s="73"/>
      <c r="Y323" s="73"/>
      <c r="Z323" s="73"/>
      <c r="AA323" s="75"/>
      <c r="AB323" s="75"/>
      <c r="AC323" s="55"/>
      <c r="AD323" s="89"/>
      <c r="AE323" s="89"/>
      <c r="AF323" s="89"/>
      <c r="AG323" s="57"/>
      <c r="AH323" s="58"/>
      <c r="AI323" s="49"/>
      <c r="AK323" s="41"/>
    </row>
    <row r="324" spans="1:38" ht="21">
      <c r="A324" s="32" t="s">
        <v>1864</v>
      </c>
      <c r="B324" s="94" t="s">
        <v>14</v>
      </c>
      <c r="C324" s="95" t="s">
        <v>205</v>
      </c>
      <c r="D324" s="88"/>
      <c r="E324" s="73"/>
      <c r="F324" s="73"/>
      <c r="G324" s="73"/>
      <c r="H324" s="73"/>
      <c r="I324" s="73"/>
      <c r="J324" s="73"/>
      <c r="K324" s="73"/>
      <c r="L324" s="73"/>
      <c r="M324" s="73"/>
      <c r="N324" s="73"/>
      <c r="O324" s="73"/>
      <c r="P324" s="73"/>
      <c r="Q324" s="73"/>
      <c r="R324" s="73"/>
      <c r="S324" s="73"/>
      <c r="T324" s="73"/>
      <c r="U324" s="73"/>
      <c r="V324" s="73"/>
      <c r="W324" s="73"/>
      <c r="X324" s="73"/>
      <c r="Y324" s="73"/>
      <c r="Z324" s="73"/>
      <c r="AA324" s="75"/>
      <c r="AB324" s="75"/>
      <c r="AC324" s="55"/>
      <c r="AD324" s="89"/>
      <c r="AE324" s="89"/>
      <c r="AF324" s="89"/>
      <c r="AG324" s="91"/>
      <c r="AH324" s="48"/>
      <c r="AI324" s="49"/>
      <c r="AK324" s="41"/>
    </row>
    <row r="325" spans="1:38" ht="21">
      <c r="A325" s="32" t="s">
        <v>1865</v>
      </c>
      <c r="B325" s="92" t="s">
        <v>206</v>
      </c>
      <c r="C325" s="93" t="s">
        <v>207</v>
      </c>
      <c r="D325" s="88" t="s">
        <v>81</v>
      </c>
      <c r="E325" s="73"/>
      <c r="F325" s="73"/>
      <c r="G325" s="73"/>
      <c r="H325" s="73"/>
      <c r="I325" s="73"/>
      <c r="J325" s="73"/>
      <c r="K325" s="73"/>
      <c r="L325" s="73"/>
      <c r="M325" s="73"/>
      <c r="N325" s="73"/>
      <c r="O325" s="73"/>
      <c r="P325" s="73"/>
      <c r="Q325" s="73"/>
      <c r="R325" s="73"/>
      <c r="S325" s="73"/>
      <c r="T325" s="73"/>
      <c r="U325" s="73"/>
      <c r="V325" s="73"/>
      <c r="W325" s="73"/>
      <c r="X325" s="73"/>
      <c r="Y325" s="73"/>
      <c r="Z325" s="73"/>
      <c r="AA325" s="75"/>
      <c r="AB325" s="75"/>
      <c r="AC325" s="55"/>
      <c r="AD325" s="89"/>
      <c r="AE325" s="89"/>
      <c r="AF325" s="89"/>
      <c r="AG325" s="57"/>
      <c r="AH325" s="58"/>
      <c r="AI325" s="49"/>
      <c r="AK325" s="41"/>
    </row>
    <row r="326" spans="1:38" ht="21">
      <c r="A326" s="32" t="s">
        <v>1866</v>
      </c>
      <c r="B326" s="92" t="s">
        <v>208</v>
      </c>
      <c r="C326" s="93" t="s">
        <v>209</v>
      </c>
      <c r="D326" s="88" t="s">
        <v>81</v>
      </c>
      <c r="E326" s="73"/>
      <c r="F326" s="73"/>
      <c r="G326" s="73"/>
      <c r="H326" s="73"/>
      <c r="I326" s="73"/>
      <c r="J326" s="73"/>
      <c r="K326" s="73"/>
      <c r="L326" s="73"/>
      <c r="M326" s="73"/>
      <c r="N326" s="73"/>
      <c r="O326" s="73"/>
      <c r="P326" s="73"/>
      <c r="Q326" s="73"/>
      <c r="R326" s="73"/>
      <c r="S326" s="73"/>
      <c r="T326" s="73"/>
      <c r="U326" s="73"/>
      <c r="V326" s="73"/>
      <c r="W326" s="73"/>
      <c r="X326" s="73"/>
      <c r="Y326" s="73"/>
      <c r="Z326" s="73"/>
      <c r="AA326" s="75"/>
      <c r="AB326" s="75"/>
      <c r="AC326" s="55"/>
      <c r="AD326" s="89"/>
      <c r="AE326" s="89"/>
      <c r="AF326" s="89"/>
      <c r="AG326" s="57"/>
      <c r="AH326" s="58"/>
      <c r="AI326" s="49"/>
      <c r="AK326" s="41"/>
    </row>
    <row r="327" spans="1:38" ht="21">
      <c r="A327" s="32" t="s">
        <v>1867</v>
      </c>
      <c r="B327" s="92" t="s">
        <v>210</v>
      </c>
      <c r="C327" s="93" t="s">
        <v>211</v>
      </c>
      <c r="D327" s="88" t="s">
        <v>81</v>
      </c>
      <c r="E327" s="73"/>
      <c r="F327" s="73"/>
      <c r="G327" s="73"/>
      <c r="H327" s="73"/>
      <c r="I327" s="73"/>
      <c r="J327" s="73"/>
      <c r="K327" s="73"/>
      <c r="L327" s="73"/>
      <c r="M327" s="73"/>
      <c r="N327" s="73"/>
      <c r="O327" s="73"/>
      <c r="P327" s="73"/>
      <c r="Q327" s="73"/>
      <c r="R327" s="73"/>
      <c r="S327" s="73"/>
      <c r="T327" s="73"/>
      <c r="U327" s="73"/>
      <c r="V327" s="73"/>
      <c r="W327" s="73"/>
      <c r="X327" s="73"/>
      <c r="Y327" s="73"/>
      <c r="Z327" s="73"/>
      <c r="AA327" s="75"/>
      <c r="AB327" s="75"/>
      <c r="AC327" s="55"/>
      <c r="AD327" s="89"/>
      <c r="AE327" s="89"/>
      <c r="AF327" s="89"/>
      <c r="AG327" s="57"/>
      <c r="AH327" s="58"/>
      <c r="AI327" s="49"/>
      <c r="AK327" s="41"/>
    </row>
    <row r="328" spans="1:38" ht="21">
      <c r="A328" s="32" t="s">
        <v>1879</v>
      </c>
      <c r="B328" s="92" t="s">
        <v>212</v>
      </c>
      <c r="C328" s="93" t="s">
        <v>213</v>
      </c>
      <c r="D328" s="88" t="s">
        <v>81</v>
      </c>
      <c r="E328" s="73"/>
      <c r="F328" s="73"/>
      <c r="G328" s="73"/>
      <c r="H328" s="73"/>
      <c r="I328" s="73"/>
      <c r="J328" s="73"/>
      <c r="K328" s="73"/>
      <c r="L328" s="73"/>
      <c r="M328" s="73"/>
      <c r="N328" s="73"/>
      <c r="O328" s="73"/>
      <c r="P328" s="73"/>
      <c r="Q328" s="73"/>
      <c r="R328" s="73"/>
      <c r="S328" s="73"/>
      <c r="T328" s="73"/>
      <c r="U328" s="73"/>
      <c r="V328" s="73"/>
      <c r="W328" s="73"/>
      <c r="X328" s="73"/>
      <c r="Y328" s="73"/>
      <c r="Z328" s="73"/>
      <c r="AA328" s="75"/>
      <c r="AB328" s="75"/>
      <c r="AC328" s="55"/>
      <c r="AD328" s="89"/>
      <c r="AE328" s="89"/>
      <c r="AF328" s="89"/>
      <c r="AG328" s="57"/>
      <c r="AH328" s="58"/>
      <c r="AI328" s="49"/>
      <c r="AK328" s="41"/>
    </row>
    <row r="329" spans="1:38" ht="21">
      <c r="A329" s="32" t="s">
        <v>1868</v>
      </c>
      <c r="B329" s="92" t="s">
        <v>214</v>
      </c>
      <c r="C329" s="93" t="s">
        <v>215</v>
      </c>
      <c r="D329" s="88" t="s">
        <v>81</v>
      </c>
      <c r="E329" s="73"/>
      <c r="F329" s="73"/>
      <c r="G329" s="73"/>
      <c r="H329" s="73"/>
      <c r="I329" s="73"/>
      <c r="J329" s="73"/>
      <c r="K329" s="73"/>
      <c r="L329" s="73"/>
      <c r="M329" s="73"/>
      <c r="N329" s="73"/>
      <c r="O329" s="73"/>
      <c r="P329" s="73"/>
      <c r="Q329" s="73"/>
      <c r="R329" s="73"/>
      <c r="S329" s="73"/>
      <c r="T329" s="73"/>
      <c r="U329" s="73"/>
      <c r="V329" s="73"/>
      <c r="W329" s="73"/>
      <c r="X329" s="73"/>
      <c r="Y329" s="73"/>
      <c r="Z329" s="73"/>
      <c r="AA329" s="75"/>
      <c r="AB329" s="75"/>
      <c r="AC329" s="55"/>
      <c r="AD329" s="89"/>
      <c r="AE329" s="89"/>
      <c r="AF329" s="89"/>
      <c r="AG329" s="57"/>
      <c r="AH329" s="58"/>
      <c r="AI329" s="49"/>
      <c r="AK329" s="41"/>
    </row>
    <row r="330" spans="1:38" s="208" customFormat="1" ht="21">
      <c r="A330" s="195" t="s">
        <v>1869</v>
      </c>
      <c r="B330" s="209" t="s">
        <v>15</v>
      </c>
      <c r="C330" s="210" t="s">
        <v>216</v>
      </c>
      <c r="D330" s="198" t="s">
        <v>77</v>
      </c>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200"/>
      <c r="AD330" s="201"/>
      <c r="AE330" s="201"/>
      <c r="AF330" s="201"/>
      <c r="AG330" s="202"/>
      <c r="AH330" s="203"/>
      <c r="AI330" s="211"/>
      <c r="AJ330" s="205"/>
      <c r="AK330" s="206"/>
      <c r="AL330" s="207"/>
    </row>
    <row r="331" spans="1:38" ht="21">
      <c r="A331" s="32" t="s">
        <v>1870</v>
      </c>
      <c r="B331" s="92" t="s">
        <v>24</v>
      </c>
      <c r="C331" s="93" t="s">
        <v>217</v>
      </c>
      <c r="D331" s="88" t="s">
        <v>77</v>
      </c>
      <c r="E331" s="73"/>
      <c r="F331" s="73"/>
      <c r="G331" s="73"/>
      <c r="H331" s="73"/>
      <c r="I331" s="73"/>
      <c r="J331" s="73"/>
      <c r="K331" s="73"/>
      <c r="L331" s="73"/>
      <c r="M331" s="73"/>
      <c r="N331" s="73"/>
      <c r="O331" s="73"/>
      <c r="P331" s="73"/>
      <c r="Q331" s="73"/>
      <c r="R331" s="73"/>
      <c r="S331" s="73"/>
      <c r="T331" s="73"/>
      <c r="U331" s="73"/>
      <c r="V331" s="73"/>
      <c r="W331" s="73"/>
      <c r="X331" s="73"/>
      <c r="Y331" s="73"/>
      <c r="Z331" s="73"/>
      <c r="AA331" s="75"/>
      <c r="AB331" s="75"/>
      <c r="AC331" s="55"/>
      <c r="AD331" s="89"/>
      <c r="AE331" s="89"/>
      <c r="AF331" s="89"/>
      <c r="AG331" s="57"/>
      <c r="AH331" s="58"/>
      <c r="AI331" s="49"/>
      <c r="AK331" s="41"/>
    </row>
    <row r="332" spans="1:38" ht="21">
      <c r="A332" s="32" t="s">
        <v>1880</v>
      </c>
      <c r="B332" s="86">
        <v>7.05</v>
      </c>
      <c r="C332" s="95" t="s">
        <v>218</v>
      </c>
      <c r="D332" s="88"/>
      <c r="E332" s="73"/>
      <c r="F332" s="73"/>
      <c r="G332" s="73"/>
      <c r="H332" s="73"/>
      <c r="I332" s="73"/>
      <c r="J332" s="73"/>
      <c r="K332" s="73"/>
      <c r="L332" s="73"/>
      <c r="M332" s="73"/>
      <c r="N332" s="73"/>
      <c r="O332" s="73"/>
      <c r="P332" s="73"/>
      <c r="Q332" s="73"/>
      <c r="R332" s="73"/>
      <c r="S332" s="73"/>
      <c r="T332" s="73"/>
      <c r="U332" s="73"/>
      <c r="V332" s="73"/>
      <c r="W332" s="73"/>
      <c r="X332" s="73"/>
      <c r="Y332" s="73"/>
      <c r="Z332" s="73"/>
      <c r="AA332" s="75"/>
      <c r="AB332" s="75"/>
      <c r="AC332" s="55"/>
      <c r="AD332" s="89"/>
      <c r="AE332" s="89"/>
      <c r="AF332" s="89"/>
      <c r="AG332" s="91"/>
      <c r="AH332" s="48"/>
      <c r="AI332" s="49"/>
      <c r="AK332" s="41"/>
    </row>
    <row r="333" spans="1:38" ht="66">
      <c r="A333" s="32" t="s">
        <v>1881</v>
      </c>
      <c r="B333" s="97" t="s">
        <v>104</v>
      </c>
      <c r="C333" s="87" t="s">
        <v>219</v>
      </c>
      <c r="D333" s="88" t="s">
        <v>77</v>
      </c>
      <c r="E333" s="73"/>
      <c r="F333" s="73"/>
      <c r="G333" s="73"/>
      <c r="H333" s="73"/>
      <c r="I333" s="73"/>
      <c r="J333" s="73"/>
      <c r="K333" s="73"/>
      <c r="L333" s="73"/>
      <c r="M333" s="73"/>
      <c r="N333" s="73"/>
      <c r="O333" s="73"/>
      <c r="P333" s="73"/>
      <c r="Q333" s="73"/>
      <c r="R333" s="73"/>
      <c r="S333" s="73"/>
      <c r="T333" s="73"/>
      <c r="U333" s="73"/>
      <c r="V333" s="73"/>
      <c r="W333" s="73"/>
      <c r="X333" s="73"/>
      <c r="Y333" s="73"/>
      <c r="Z333" s="73"/>
      <c r="AA333" s="75"/>
      <c r="AB333" s="75"/>
      <c r="AC333" s="55"/>
      <c r="AD333" s="89"/>
      <c r="AE333" s="89"/>
      <c r="AF333" s="89"/>
      <c r="AG333" s="57"/>
      <c r="AH333" s="58"/>
      <c r="AI333" s="49"/>
      <c r="AK333" s="41"/>
    </row>
    <row r="334" spans="1:38" ht="66">
      <c r="A334" s="32" t="s">
        <v>1882</v>
      </c>
      <c r="B334" s="97" t="s">
        <v>24</v>
      </c>
      <c r="C334" s="87" t="s">
        <v>772</v>
      </c>
      <c r="D334" s="88" t="s">
        <v>77</v>
      </c>
      <c r="E334" s="73"/>
      <c r="F334" s="73"/>
      <c r="G334" s="73"/>
      <c r="H334" s="73"/>
      <c r="I334" s="73"/>
      <c r="J334" s="73"/>
      <c r="K334" s="73"/>
      <c r="L334" s="73"/>
      <c r="M334" s="73"/>
      <c r="N334" s="73"/>
      <c r="O334" s="73"/>
      <c r="P334" s="73"/>
      <c r="Q334" s="73"/>
      <c r="R334" s="73"/>
      <c r="S334" s="73"/>
      <c r="T334" s="73"/>
      <c r="U334" s="73"/>
      <c r="V334" s="73"/>
      <c r="W334" s="73"/>
      <c r="X334" s="73"/>
      <c r="Y334" s="73"/>
      <c r="Z334" s="73"/>
      <c r="AA334" s="75"/>
      <c r="AB334" s="75"/>
      <c r="AC334" s="55"/>
      <c r="AD334" s="89"/>
      <c r="AE334" s="89"/>
      <c r="AF334" s="89"/>
      <c r="AG334" s="57"/>
      <c r="AH334" s="58"/>
      <c r="AI334" s="49"/>
      <c r="AK334" s="41"/>
    </row>
    <row r="335" spans="1:38" ht="66">
      <c r="A335" s="32" t="s">
        <v>1883</v>
      </c>
      <c r="B335" s="97" t="s">
        <v>25</v>
      </c>
      <c r="C335" s="87" t="s">
        <v>773</v>
      </c>
      <c r="D335" s="88" t="s">
        <v>77</v>
      </c>
      <c r="E335" s="73"/>
      <c r="F335" s="73"/>
      <c r="G335" s="73"/>
      <c r="H335" s="73"/>
      <c r="I335" s="73"/>
      <c r="J335" s="73"/>
      <c r="K335" s="73"/>
      <c r="L335" s="73"/>
      <c r="M335" s="73"/>
      <c r="N335" s="73"/>
      <c r="O335" s="73"/>
      <c r="P335" s="73"/>
      <c r="Q335" s="73"/>
      <c r="R335" s="73"/>
      <c r="S335" s="73"/>
      <c r="T335" s="73"/>
      <c r="U335" s="73"/>
      <c r="V335" s="73"/>
      <c r="W335" s="73"/>
      <c r="X335" s="73"/>
      <c r="Y335" s="73"/>
      <c r="Z335" s="73"/>
      <c r="AA335" s="75"/>
      <c r="AB335" s="75"/>
      <c r="AC335" s="55"/>
      <c r="AD335" s="89"/>
      <c r="AE335" s="89"/>
      <c r="AF335" s="89"/>
      <c r="AG335" s="57"/>
      <c r="AH335" s="58"/>
      <c r="AI335" s="49"/>
      <c r="AK335" s="41"/>
    </row>
    <row r="336" spans="1:38" ht="66">
      <c r="A336" s="32" t="s">
        <v>1884</v>
      </c>
      <c r="B336" s="97" t="s">
        <v>60</v>
      </c>
      <c r="C336" s="87" t="s">
        <v>774</v>
      </c>
      <c r="D336" s="88" t="s">
        <v>77</v>
      </c>
      <c r="E336" s="73"/>
      <c r="F336" s="73"/>
      <c r="G336" s="73"/>
      <c r="H336" s="73"/>
      <c r="I336" s="73"/>
      <c r="J336" s="73"/>
      <c r="K336" s="73"/>
      <c r="L336" s="73"/>
      <c r="M336" s="73"/>
      <c r="N336" s="73"/>
      <c r="O336" s="73"/>
      <c r="P336" s="73"/>
      <c r="Q336" s="73"/>
      <c r="R336" s="73"/>
      <c r="S336" s="73"/>
      <c r="T336" s="73"/>
      <c r="U336" s="73"/>
      <c r="V336" s="73"/>
      <c r="W336" s="73"/>
      <c r="X336" s="73"/>
      <c r="Y336" s="73"/>
      <c r="Z336" s="73"/>
      <c r="AA336" s="75"/>
      <c r="AB336" s="75"/>
      <c r="AC336" s="55"/>
      <c r="AD336" s="89"/>
      <c r="AE336" s="89"/>
      <c r="AF336" s="89"/>
      <c r="AG336" s="57"/>
      <c r="AH336" s="58"/>
      <c r="AI336" s="49"/>
      <c r="AK336" s="41"/>
    </row>
    <row r="337" spans="1:37" ht="66">
      <c r="A337" s="32" t="s">
        <v>1876</v>
      </c>
      <c r="B337" s="86">
        <v>7.06</v>
      </c>
      <c r="C337" s="87" t="s">
        <v>775</v>
      </c>
      <c r="D337" s="88"/>
      <c r="E337" s="73"/>
      <c r="F337" s="73"/>
      <c r="G337" s="73"/>
      <c r="H337" s="73"/>
      <c r="I337" s="73"/>
      <c r="J337" s="73"/>
      <c r="K337" s="73"/>
      <c r="L337" s="73"/>
      <c r="M337" s="73"/>
      <c r="N337" s="73"/>
      <c r="O337" s="73"/>
      <c r="P337" s="73"/>
      <c r="Q337" s="73"/>
      <c r="R337" s="73"/>
      <c r="S337" s="73"/>
      <c r="T337" s="73"/>
      <c r="U337" s="73"/>
      <c r="V337" s="73"/>
      <c r="W337" s="73"/>
      <c r="X337" s="73"/>
      <c r="Y337" s="73"/>
      <c r="Z337" s="73"/>
      <c r="AA337" s="75"/>
      <c r="AB337" s="75"/>
      <c r="AC337" s="55"/>
      <c r="AD337" s="89"/>
      <c r="AE337" s="89"/>
      <c r="AF337" s="89"/>
      <c r="AG337" s="91"/>
      <c r="AH337" s="48"/>
      <c r="AI337" s="49"/>
      <c r="AK337" s="41"/>
    </row>
    <row r="338" spans="1:37" ht="21">
      <c r="A338" s="32" t="s">
        <v>1885</v>
      </c>
      <c r="B338" s="92" t="s">
        <v>104</v>
      </c>
      <c r="C338" s="93" t="s">
        <v>220</v>
      </c>
      <c r="D338" s="88" t="s">
        <v>77</v>
      </c>
      <c r="E338" s="73"/>
      <c r="F338" s="73"/>
      <c r="G338" s="73"/>
      <c r="H338" s="73"/>
      <c r="I338" s="73"/>
      <c r="J338" s="73"/>
      <c r="K338" s="73"/>
      <c r="L338" s="73"/>
      <c r="M338" s="73"/>
      <c r="N338" s="73"/>
      <c r="O338" s="73"/>
      <c r="P338" s="73"/>
      <c r="Q338" s="73"/>
      <c r="R338" s="73"/>
      <c r="S338" s="73"/>
      <c r="T338" s="73"/>
      <c r="U338" s="73"/>
      <c r="V338" s="73"/>
      <c r="W338" s="73"/>
      <c r="X338" s="73"/>
      <c r="Y338" s="73"/>
      <c r="Z338" s="73"/>
      <c r="AA338" s="75"/>
      <c r="AB338" s="75"/>
      <c r="AC338" s="55"/>
      <c r="AD338" s="89"/>
      <c r="AE338" s="89"/>
      <c r="AF338" s="89"/>
      <c r="AG338" s="57"/>
      <c r="AH338" s="58"/>
      <c r="AI338" s="49"/>
      <c r="AK338" s="41"/>
    </row>
    <row r="339" spans="1:37" ht="21">
      <c r="A339" s="32" t="s">
        <v>1886</v>
      </c>
      <c r="B339" s="92" t="s">
        <v>24</v>
      </c>
      <c r="C339" s="93" t="s">
        <v>221</v>
      </c>
      <c r="D339" s="88" t="s">
        <v>77</v>
      </c>
      <c r="E339" s="73"/>
      <c r="F339" s="73"/>
      <c r="G339" s="73"/>
      <c r="H339" s="73"/>
      <c r="I339" s="73"/>
      <c r="J339" s="73"/>
      <c r="K339" s="73"/>
      <c r="L339" s="73"/>
      <c r="M339" s="73"/>
      <c r="N339" s="73"/>
      <c r="O339" s="73"/>
      <c r="P339" s="73"/>
      <c r="Q339" s="73"/>
      <c r="R339" s="73"/>
      <c r="S339" s="73"/>
      <c r="T339" s="73"/>
      <c r="U339" s="73"/>
      <c r="V339" s="73"/>
      <c r="W339" s="73"/>
      <c r="X339" s="73"/>
      <c r="Y339" s="73"/>
      <c r="Z339" s="73"/>
      <c r="AA339" s="75"/>
      <c r="AB339" s="75"/>
      <c r="AC339" s="55"/>
      <c r="AD339" s="89"/>
      <c r="AE339" s="89"/>
      <c r="AF339" s="89"/>
      <c r="AG339" s="57"/>
      <c r="AH339" s="58"/>
      <c r="AI339" s="49"/>
      <c r="AK339" s="41"/>
    </row>
    <row r="340" spans="1:37" ht="21">
      <c r="A340" s="32" t="s">
        <v>1887</v>
      </c>
      <c r="B340" s="92" t="s">
        <v>25</v>
      </c>
      <c r="C340" s="93" t="s">
        <v>222</v>
      </c>
      <c r="D340" s="88" t="s">
        <v>77</v>
      </c>
      <c r="E340" s="73"/>
      <c r="F340" s="73"/>
      <c r="G340" s="73"/>
      <c r="H340" s="73"/>
      <c r="I340" s="73"/>
      <c r="J340" s="73"/>
      <c r="K340" s="73"/>
      <c r="L340" s="73"/>
      <c r="M340" s="73"/>
      <c r="N340" s="73"/>
      <c r="O340" s="73"/>
      <c r="P340" s="73"/>
      <c r="Q340" s="73"/>
      <c r="R340" s="73"/>
      <c r="S340" s="73"/>
      <c r="T340" s="73"/>
      <c r="U340" s="73"/>
      <c r="V340" s="73"/>
      <c r="W340" s="73"/>
      <c r="X340" s="73"/>
      <c r="Y340" s="73"/>
      <c r="Z340" s="73"/>
      <c r="AA340" s="75"/>
      <c r="AB340" s="75"/>
      <c r="AC340" s="55"/>
      <c r="AD340" s="89"/>
      <c r="AE340" s="89"/>
      <c r="AF340" s="89"/>
      <c r="AG340" s="57"/>
      <c r="AH340" s="58"/>
      <c r="AI340" s="49"/>
      <c r="AK340" s="41"/>
    </row>
    <row r="341" spans="1:37" ht="21">
      <c r="A341" s="32" t="s">
        <v>1888</v>
      </c>
      <c r="B341" s="92" t="s">
        <v>60</v>
      </c>
      <c r="C341" s="93" t="s">
        <v>223</v>
      </c>
      <c r="D341" s="88" t="s">
        <v>77</v>
      </c>
      <c r="E341" s="73"/>
      <c r="F341" s="73"/>
      <c r="G341" s="73"/>
      <c r="H341" s="73"/>
      <c r="I341" s="73"/>
      <c r="J341" s="73"/>
      <c r="K341" s="73"/>
      <c r="L341" s="73"/>
      <c r="M341" s="73"/>
      <c r="N341" s="73"/>
      <c r="O341" s="73"/>
      <c r="P341" s="73"/>
      <c r="Q341" s="73"/>
      <c r="R341" s="73"/>
      <c r="S341" s="73"/>
      <c r="T341" s="73"/>
      <c r="U341" s="73"/>
      <c r="V341" s="73"/>
      <c r="W341" s="73"/>
      <c r="X341" s="73"/>
      <c r="Y341" s="73"/>
      <c r="Z341" s="73"/>
      <c r="AA341" s="75"/>
      <c r="AB341" s="75"/>
      <c r="AC341" s="55"/>
      <c r="AD341" s="89"/>
      <c r="AE341" s="89"/>
      <c r="AF341" s="89"/>
      <c r="AG341" s="57"/>
      <c r="AH341" s="58"/>
      <c r="AI341" s="49"/>
      <c r="AK341" s="41"/>
    </row>
    <row r="342" spans="1:37" ht="21">
      <c r="A342" s="32" t="s">
        <v>1889</v>
      </c>
      <c r="B342" s="92" t="s">
        <v>62</v>
      </c>
      <c r="C342" s="93" t="s">
        <v>224</v>
      </c>
      <c r="D342" s="88" t="s">
        <v>77</v>
      </c>
      <c r="E342" s="73"/>
      <c r="F342" s="73"/>
      <c r="G342" s="73"/>
      <c r="H342" s="73"/>
      <c r="I342" s="73"/>
      <c r="J342" s="73"/>
      <c r="K342" s="73"/>
      <c r="L342" s="73"/>
      <c r="M342" s="73"/>
      <c r="N342" s="73"/>
      <c r="O342" s="73"/>
      <c r="P342" s="73"/>
      <c r="Q342" s="73"/>
      <c r="R342" s="73"/>
      <c r="S342" s="73"/>
      <c r="T342" s="73"/>
      <c r="U342" s="73"/>
      <c r="V342" s="73"/>
      <c r="W342" s="73"/>
      <c r="X342" s="73"/>
      <c r="Y342" s="73"/>
      <c r="Z342" s="73"/>
      <c r="AA342" s="75"/>
      <c r="AB342" s="75"/>
      <c r="AC342" s="55"/>
      <c r="AD342" s="89"/>
      <c r="AE342" s="89"/>
      <c r="AF342" s="89"/>
      <c r="AG342" s="57"/>
      <c r="AH342" s="58"/>
      <c r="AI342" s="49"/>
      <c r="AK342" s="41"/>
    </row>
    <row r="343" spans="1:37" ht="21">
      <c r="A343" s="32" t="s">
        <v>1890</v>
      </c>
      <c r="B343" s="92" t="s">
        <v>67</v>
      </c>
      <c r="C343" s="93" t="s">
        <v>225</v>
      </c>
      <c r="D343" s="88" t="s">
        <v>77</v>
      </c>
      <c r="E343" s="73"/>
      <c r="F343" s="73"/>
      <c r="G343" s="73"/>
      <c r="H343" s="73"/>
      <c r="I343" s="73"/>
      <c r="J343" s="73"/>
      <c r="K343" s="73"/>
      <c r="L343" s="73"/>
      <c r="M343" s="73"/>
      <c r="N343" s="73"/>
      <c r="O343" s="73"/>
      <c r="P343" s="73"/>
      <c r="Q343" s="73"/>
      <c r="R343" s="73"/>
      <c r="S343" s="73"/>
      <c r="T343" s="73"/>
      <c r="U343" s="73"/>
      <c r="V343" s="73"/>
      <c r="W343" s="73"/>
      <c r="X343" s="73"/>
      <c r="Y343" s="73"/>
      <c r="Z343" s="73"/>
      <c r="AA343" s="75"/>
      <c r="AB343" s="75"/>
      <c r="AC343" s="55"/>
      <c r="AD343" s="89"/>
      <c r="AE343" s="89"/>
      <c r="AF343" s="89"/>
      <c r="AG343" s="57"/>
      <c r="AH343" s="58"/>
      <c r="AI343" s="49"/>
      <c r="AK343" s="41"/>
    </row>
    <row r="344" spans="1:37" ht="21">
      <c r="A344" s="32" t="s">
        <v>1891</v>
      </c>
      <c r="B344" s="92" t="s">
        <v>71</v>
      </c>
      <c r="C344" s="93" t="s">
        <v>226</v>
      </c>
      <c r="D344" s="88" t="s">
        <v>77</v>
      </c>
      <c r="E344" s="73"/>
      <c r="F344" s="73"/>
      <c r="G344" s="73"/>
      <c r="H344" s="73"/>
      <c r="I344" s="73"/>
      <c r="J344" s="73"/>
      <c r="K344" s="73"/>
      <c r="L344" s="73"/>
      <c r="M344" s="73"/>
      <c r="N344" s="73"/>
      <c r="O344" s="73"/>
      <c r="P344" s="73"/>
      <c r="Q344" s="73"/>
      <c r="R344" s="73"/>
      <c r="S344" s="73"/>
      <c r="T344" s="73"/>
      <c r="U344" s="73"/>
      <c r="V344" s="73"/>
      <c r="W344" s="73"/>
      <c r="X344" s="73"/>
      <c r="Y344" s="73"/>
      <c r="Z344" s="73"/>
      <c r="AA344" s="75"/>
      <c r="AB344" s="75"/>
      <c r="AC344" s="55"/>
      <c r="AD344" s="89"/>
      <c r="AE344" s="89"/>
      <c r="AF344" s="89"/>
      <c r="AG344" s="57"/>
      <c r="AH344" s="58"/>
      <c r="AI344" s="49"/>
      <c r="AK344" s="41"/>
    </row>
    <row r="345" spans="1:37" ht="21">
      <c r="A345" s="32" t="s">
        <v>1892</v>
      </c>
      <c r="B345" s="92" t="s">
        <v>75</v>
      </c>
      <c r="C345" s="93" t="s">
        <v>227</v>
      </c>
      <c r="D345" s="88" t="s">
        <v>77</v>
      </c>
      <c r="E345" s="73"/>
      <c r="F345" s="73"/>
      <c r="G345" s="73"/>
      <c r="H345" s="73"/>
      <c r="I345" s="73"/>
      <c r="J345" s="73"/>
      <c r="K345" s="73"/>
      <c r="L345" s="73"/>
      <c r="M345" s="73"/>
      <c r="N345" s="73"/>
      <c r="O345" s="73"/>
      <c r="P345" s="73"/>
      <c r="Q345" s="73"/>
      <c r="R345" s="73"/>
      <c r="S345" s="73"/>
      <c r="T345" s="73"/>
      <c r="U345" s="73"/>
      <c r="V345" s="73"/>
      <c r="W345" s="73"/>
      <c r="X345" s="73"/>
      <c r="Y345" s="73"/>
      <c r="Z345" s="73"/>
      <c r="AA345" s="75"/>
      <c r="AB345" s="75"/>
      <c r="AC345" s="55"/>
      <c r="AD345" s="89"/>
      <c r="AE345" s="89"/>
      <c r="AF345" s="89"/>
      <c r="AG345" s="57"/>
      <c r="AH345" s="58"/>
      <c r="AI345" s="49"/>
      <c r="AK345" s="41"/>
    </row>
    <row r="346" spans="1:37" ht="21">
      <c r="A346" s="32" t="s">
        <v>1893</v>
      </c>
      <c r="B346" s="92" t="s">
        <v>78</v>
      </c>
      <c r="C346" s="93" t="s">
        <v>228</v>
      </c>
      <c r="D346" s="88" t="s">
        <v>77</v>
      </c>
      <c r="E346" s="73"/>
      <c r="F346" s="73"/>
      <c r="G346" s="73"/>
      <c r="H346" s="73"/>
      <c r="I346" s="73"/>
      <c r="J346" s="73"/>
      <c r="K346" s="73"/>
      <c r="L346" s="73"/>
      <c r="M346" s="73"/>
      <c r="N346" s="73"/>
      <c r="O346" s="73"/>
      <c r="P346" s="73"/>
      <c r="Q346" s="73"/>
      <c r="R346" s="73"/>
      <c r="S346" s="73"/>
      <c r="T346" s="73"/>
      <c r="U346" s="73"/>
      <c r="V346" s="73"/>
      <c r="W346" s="73"/>
      <c r="X346" s="73"/>
      <c r="Y346" s="73"/>
      <c r="Z346" s="73"/>
      <c r="AA346" s="75"/>
      <c r="AB346" s="75"/>
      <c r="AC346" s="55"/>
      <c r="AD346" s="89"/>
      <c r="AE346" s="89"/>
      <c r="AF346" s="89"/>
      <c r="AG346" s="57"/>
      <c r="AH346" s="58"/>
      <c r="AI346" s="49"/>
      <c r="AK346" s="41"/>
    </row>
    <row r="347" spans="1:37" ht="21">
      <c r="A347" s="32" t="s">
        <v>1894</v>
      </c>
      <c r="B347" s="92" t="s">
        <v>229</v>
      </c>
      <c r="C347" s="93" t="s">
        <v>230</v>
      </c>
      <c r="D347" s="88" t="s">
        <v>77</v>
      </c>
      <c r="E347" s="73"/>
      <c r="F347" s="73"/>
      <c r="G347" s="73"/>
      <c r="H347" s="73"/>
      <c r="I347" s="73"/>
      <c r="J347" s="73"/>
      <c r="K347" s="73"/>
      <c r="L347" s="73"/>
      <c r="M347" s="73"/>
      <c r="N347" s="73"/>
      <c r="O347" s="73"/>
      <c r="P347" s="73"/>
      <c r="Q347" s="73"/>
      <c r="R347" s="73"/>
      <c r="S347" s="73"/>
      <c r="T347" s="73"/>
      <c r="U347" s="73"/>
      <c r="V347" s="73"/>
      <c r="W347" s="73"/>
      <c r="X347" s="73"/>
      <c r="Y347" s="73"/>
      <c r="Z347" s="73"/>
      <c r="AA347" s="75"/>
      <c r="AB347" s="75"/>
      <c r="AC347" s="55"/>
      <c r="AD347" s="89"/>
      <c r="AE347" s="89"/>
      <c r="AF347" s="89"/>
      <c r="AG347" s="57"/>
      <c r="AH347" s="58"/>
      <c r="AI347" s="49"/>
      <c r="AK347" s="41"/>
    </row>
    <row r="348" spans="1:37" ht="21">
      <c r="A348" s="32" t="s">
        <v>1895</v>
      </c>
      <c r="B348" s="92" t="s">
        <v>231</v>
      </c>
      <c r="C348" s="93" t="s">
        <v>232</v>
      </c>
      <c r="D348" s="88" t="s">
        <v>77</v>
      </c>
      <c r="E348" s="73"/>
      <c r="F348" s="73"/>
      <c r="G348" s="73"/>
      <c r="H348" s="73"/>
      <c r="I348" s="73"/>
      <c r="J348" s="73"/>
      <c r="K348" s="73"/>
      <c r="L348" s="73"/>
      <c r="M348" s="73"/>
      <c r="N348" s="73"/>
      <c r="O348" s="73"/>
      <c r="P348" s="73"/>
      <c r="Q348" s="73"/>
      <c r="R348" s="73"/>
      <c r="S348" s="73"/>
      <c r="T348" s="73"/>
      <c r="U348" s="73"/>
      <c r="V348" s="73"/>
      <c r="W348" s="73"/>
      <c r="X348" s="73"/>
      <c r="Y348" s="73"/>
      <c r="Z348" s="73"/>
      <c r="AA348" s="75"/>
      <c r="AB348" s="75"/>
      <c r="AC348" s="55"/>
      <c r="AD348" s="89"/>
      <c r="AE348" s="89"/>
      <c r="AF348" s="89"/>
      <c r="AG348" s="57"/>
      <c r="AH348" s="58"/>
      <c r="AI348" s="49"/>
      <c r="AK348" s="41"/>
    </row>
    <row r="349" spans="1:37" ht="21">
      <c r="A349" s="32" t="s">
        <v>1896</v>
      </c>
      <c r="B349" s="92" t="s">
        <v>233</v>
      </c>
      <c r="C349" s="93" t="s">
        <v>234</v>
      </c>
      <c r="D349" s="88" t="s">
        <v>77</v>
      </c>
      <c r="E349" s="73"/>
      <c r="F349" s="73"/>
      <c r="G349" s="73"/>
      <c r="H349" s="73"/>
      <c r="I349" s="73"/>
      <c r="J349" s="73"/>
      <c r="K349" s="73"/>
      <c r="L349" s="73"/>
      <c r="M349" s="73"/>
      <c r="N349" s="73"/>
      <c r="O349" s="73"/>
      <c r="P349" s="73"/>
      <c r="Q349" s="73"/>
      <c r="R349" s="73"/>
      <c r="S349" s="73"/>
      <c r="T349" s="73"/>
      <c r="U349" s="73"/>
      <c r="V349" s="73"/>
      <c r="W349" s="73"/>
      <c r="X349" s="73"/>
      <c r="Y349" s="73"/>
      <c r="Z349" s="73"/>
      <c r="AA349" s="75"/>
      <c r="AB349" s="75"/>
      <c r="AC349" s="55"/>
      <c r="AD349" s="89"/>
      <c r="AE349" s="89"/>
      <c r="AF349" s="89"/>
      <c r="AG349" s="57"/>
      <c r="AH349" s="58"/>
      <c r="AI349" s="49"/>
      <c r="AK349" s="41"/>
    </row>
    <row r="350" spans="1:37" ht="21">
      <c r="A350" s="32" t="s">
        <v>1897</v>
      </c>
      <c r="B350" s="92" t="s">
        <v>235</v>
      </c>
      <c r="C350" s="93" t="s">
        <v>236</v>
      </c>
      <c r="D350" s="88" t="s">
        <v>77</v>
      </c>
      <c r="E350" s="73"/>
      <c r="F350" s="73"/>
      <c r="G350" s="73"/>
      <c r="H350" s="73"/>
      <c r="I350" s="73"/>
      <c r="J350" s="73"/>
      <c r="K350" s="73"/>
      <c r="L350" s="73"/>
      <c r="M350" s="73"/>
      <c r="N350" s="73"/>
      <c r="O350" s="73"/>
      <c r="P350" s="73"/>
      <c r="Q350" s="73"/>
      <c r="R350" s="73"/>
      <c r="S350" s="73"/>
      <c r="T350" s="73"/>
      <c r="U350" s="73"/>
      <c r="V350" s="73"/>
      <c r="W350" s="73"/>
      <c r="X350" s="73"/>
      <c r="Y350" s="73"/>
      <c r="Z350" s="73"/>
      <c r="AA350" s="75"/>
      <c r="AB350" s="75"/>
      <c r="AC350" s="55"/>
      <c r="AD350" s="89"/>
      <c r="AE350" s="89"/>
      <c r="AF350" s="89"/>
      <c r="AG350" s="57"/>
      <c r="AH350" s="58"/>
      <c r="AI350" s="49"/>
      <c r="AK350" s="41"/>
    </row>
    <row r="351" spans="1:37" ht="21">
      <c r="A351" s="32" t="s">
        <v>1898</v>
      </c>
      <c r="B351" s="92" t="s">
        <v>237</v>
      </c>
      <c r="C351" s="93" t="s">
        <v>238</v>
      </c>
      <c r="D351" s="88" t="s">
        <v>77</v>
      </c>
      <c r="E351" s="73"/>
      <c r="F351" s="73"/>
      <c r="G351" s="73"/>
      <c r="H351" s="73"/>
      <c r="I351" s="73"/>
      <c r="J351" s="73"/>
      <c r="K351" s="73"/>
      <c r="L351" s="73"/>
      <c r="M351" s="73"/>
      <c r="N351" s="73"/>
      <c r="O351" s="73"/>
      <c r="P351" s="73"/>
      <c r="Q351" s="73"/>
      <c r="R351" s="73"/>
      <c r="S351" s="73"/>
      <c r="T351" s="73"/>
      <c r="U351" s="73"/>
      <c r="V351" s="73"/>
      <c r="W351" s="73"/>
      <c r="X351" s="73"/>
      <c r="Y351" s="73"/>
      <c r="Z351" s="73"/>
      <c r="AA351" s="75"/>
      <c r="AB351" s="75"/>
      <c r="AC351" s="55"/>
      <c r="AD351" s="89"/>
      <c r="AE351" s="89"/>
      <c r="AF351" s="89"/>
      <c r="AG351" s="57"/>
      <c r="AH351" s="58"/>
      <c r="AI351" s="49"/>
      <c r="AK351" s="41"/>
    </row>
    <row r="352" spans="1:37" ht="142.5">
      <c r="A352" s="32" t="s">
        <v>1877</v>
      </c>
      <c r="B352" s="86">
        <v>7.07</v>
      </c>
      <c r="C352" s="87" t="s">
        <v>658</v>
      </c>
      <c r="D352" s="88" t="s">
        <v>77</v>
      </c>
      <c r="E352" s="73"/>
      <c r="F352" s="73"/>
      <c r="G352" s="73"/>
      <c r="H352" s="73"/>
      <c r="I352" s="73"/>
      <c r="J352" s="73"/>
      <c r="K352" s="73"/>
      <c r="L352" s="73"/>
      <c r="M352" s="73"/>
      <c r="N352" s="73"/>
      <c r="O352" s="73"/>
      <c r="P352" s="73"/>
      <c r="Q352" s="73"/>
      <c r="R352" s="73"/>
      <c r="S352" s="73"/>
      <c r="T352" s="73"/>
      <c r="U352" s="73"/>
      <c r="V352" s="73"/>
      <c r="W352" s="73"/>
      <c r="X352" s="73"/>
      <c r="Y352" s="73"/>
      <c r="Z352" s="73"/>
      <c r="AA352" s="75"/>
      <c r="AB352" s="75"/>
      <c r="AC352" s="55"/>
      <c r="AD352" s="89"/>
      <c r="AE352" s="89"/>
      <c r="AF352" s="89"/>
      <c r="AG352" s="57"/>
      <c r="AH352" s="58"/>
      <c r="AI352" s="49"/>
      <c r="AK352" s="41"/>
    </row>
    <row r="353" spans="1:37" ht="142.5">
      <c r="A353" s="32" t="s">
        <v>1878</v>
      </c>
      <c r="B353" s="86">
        <v>7.08</v>
      </c>
      <c r="C353" s="87" t="s">
        <v>658</v>
      </c>
      <c r="D353" s="88" t="s">
        <v>77</v>
      </c>
      <c r="E353" s="73"/>
      <c r="F353" s="73"/>
      <c r="G353" s="73"/>
      <c r="H353" s="73"/>
      <c r="I353" s="73"/>
      <c r="J353" s="73"/>
      <c r="K353" s="73"/>
      <c r="L353" s="73"/>
      <c r="M353" s="73"/>
      <c r="N353" s="73"/>
      <c r="O353" s="73"/>
      <c r="P353" s="73"/>
      <c r="Q353" s="73"/>
      <c r="R353" s="73"/>
      <c r="S353" s="73"/>
      <c r="T353" s="73"/>
      <c r="U353" s="73"/>
      <c r="V353" s="73"/>
      <c r="W353" s="73"/>
      <c r="X353" s="73"/>
      <c r="Y353" s="73"/>
      <c r="Z353" s="73"/>
      <c r="AA353" s="75"/>
      <c r="AB353" s="75"/>
      <c r="AC353" s="55"/>
      <c r="AD353" s="89"/>
      <c r="AE353" s="89"/>
      <c r="AF353" s="89"/>
      <c r="AG353" s="57"/>
      <c r="AH353" s="58"/>
      <c r="AI353" s="49"/>
      <c r="AK353" s="41"/>
    </row>
    <row r="354" spans="1:37" ht="53.25">
      <c r="A354" s="32" t="s">
        <v>2276</v>
      </c>
      <c r="B354" s="86">
        <v>7.09</v>
      </c>
      <c r="C354" s="87" t="s">
        <v>2088</v>
      </c>
      <c r="D354" s="52" t="s">
        <v>2090</v>
      </c>
      <c r="E354" s="73"/>
      <c r="F354" s="73"/>
      <c r="G354" s="73"/>
      <c r="H354" s="73"/>
      <c r="I354" s="73"/>
      <c r="J354" s="73"/>
      <c r="K354" s="73"/>
      <c r="L354" s="73"/>
      <c r="M354" s="73"/>
      <c r="N354" s="73"/>
      <c r="O354" s="73"/>
      <c r="P354" s="73"/>
      <c r="Q354" s="73"/>
      <c r="R354" s="73"/>
      <c r="S354" s="73"/>
      <c r="T354" s="73"/>
      <c r="U354" s="73"/>
      <c r="V354" s="73"/>
      <c r="W354" s="73"/>
      <c r="X354" s="73"/>
      <c r="Y354" s="73"/>
      <c r="Z354" s="73"/>
      <c r="AA354" s="75"/>
      <c r="AB354" s="75"/>
      <c r="AC354" s="55"/>
      <c r="AD354" s="89"/>
      <c r="AE354" s="89"/>
      <c r="AF354" s="89"/>
      <c r="AG354" s="57"/>
      <c r="AH354" s="58"/>
      <c r="AI354" s="49"/>
      <c r="AK354" s="41"/>
    </row>
    <row r="355" spans="1:37" ht="78.75">
      <c r="A355" s="32" t="s">
        <v>2277</v>
      </c>
      <c r="B355" s="101">
        <v>7.1</v>
      </c>
      <c r="C355" s="87" t="s">
        <v>2089</v>
      </c>
      <c r="D355" s="52" t="s">
        <v>2090</v>
      </c>
      <c r="E355" s="73"/>
      <c r="F355" s="73"/>
      <c r="G355" s="73"/>
      <c r="H355" s="73"/>
      <c r="I355" s="73"/>
      <c r="J355" s="73"/>
      <c r="K355" s="73"/>
      <c r="L355" s="73"/>
      <c r="M355" s="73"/>
      <c r="N355" s="73"/>
      <c r="O355" s="73"/>
      <c r="P355" s="73"/>
      <c r="Q355" s="73"/>
      <c r="R355" s="73"/>
      <c r="S355" s="73"/>
      <c r="T355" s="73"/>
      <c r="U355" s="73"/>
      <c r="V355" s="73"/>
      <c r="W355" s="73"/>
      <c r="X355" s="73"/>
      <c r="Y355" s="73"/>
      <c r="Z355" s="73"/>
      <c r="AA355" s="75"/>
      <c r="AB355" s="75"/>
      <c r="AC355" s="55"/>
      <c r="AD355" s="89"/>
      <c r="AE355" s="89"/>
      <c r="AF355" s="89"/>
      <c r="AG355" s="57"/>
      <c r="AH355" s="58"/>
      <c r="AI355" s="49"/>
      <c r="AK355" s="41"/>
    </row>
    <row r="356" spans="1:37" ht="40.5">
      <c r="A356" s="32" t="s">
        <v>2278</v>
      </c>
      <c r="B356" s="126">
        <v>7.11</v>
      </c>
      <c r="C356" s="60" t="s">
        <v>2671</v>
      </c>
      <c r="D356" s="52"/>
      <c r="E356" s="73"/>
      <c r="F356" s="73"/>
      <c r="G356" s="73"/>
      <c r="H356" s="73"/>
      <c r="I356" s="73"/>
      <c r="J356" s="73"/>
      <c r="K356" s="73"/>
      <c r="L356" s="73"/>
      <c r="M356" s="73"/>
      <c r="N356" s="73"/>
      <c r="O356" s="73"/>
      <c r="P356" s="73"/>
      <c r="Q356" s="73"/>
      <c r="R356" s="73"/>
      <c r="S356" s="73"/>
      <c r="T356" s="73"/>
      <c r="U356" s="73"/>
      <c r="V356" s="73"/>
      <c r="W356" s="73"/>
      <c r="X356" s="73"/>
      <c r="Y356" s="73"/>
      <c r="Z356" s="73"/>
      <c r="AA356" s="75"/>
      <c r="AB356" s="75"/>
      <c r="AC356" s="55"/>
      <c r="AD356" s="89"/>
      <c r="AE356" s="89"/>
      <c r="AF356" s="89"/>
      <c r="AG356" s="57"/>
      <c r="AH356" s="58"/>
      <c r="AI356" s="49"/>
      <c r="AK356" s="41"/>
    </row>
    <row r="357" spans="1:37" ht="21">
      <c r="B357" s="50" t="s">
        <v>104</v>
      </c>
      <c r="C357" s="51" t="s">
        <v>2091</v>
      </c>
      <c r="D357" s="52"/>
      <c r="E357" s="73"/>
      <c r="F357" s="73"/>
      <c r="G357" s="73"/>
      <c r="H357" s="73"/>
      <c r="I357" s="73"/>
      <c r="J357" s="73"/>
      <c r="K357" s="73"/>
      <c r="L357" s="73"/>
      <c r="M357" s="73"/>
      <c r="N357" s="73"/>
      <c r="O357" s="73"/>
      <c r="P357" s="73"/>
      <c r="Q357" s="73"/>
      <c r="R357" s="73"/>
      <c r="S357" s="73"/>
      <c r="T357" s="73"/>
      <c r="U357" s="73"/>
      <c r="V357" s="73"/>
      <c r="W357" s="73"/>
      <c r="X357" s="73"/>
      <c r="Y357" s="73"/>
      <c r="Z357" s="73"/>
      <c r="AA357" s="75"/>
      <c r="AB357" s="75"/>
      <c r="AC357" s="55"/>
      <c r="AD357" s="89"/>
      <c r="AE357" s="89"/>
      <c r="AF357" s="89"/>
      <c r="AG357" s="57"/>
      <c r="AH357" s="58"/>
      <c r="AI357" s="49"/>
      <c r="AK357" s="41"/>
    </row>
    <row r="358" spans="1:37" ht="21">
      <c r="A358" s="32" t="s">
        <v>2303</v>
      </c>
      <c r="B358" s="127" t="s">
        <v>14</v>
      </c>
      <c r="C358" s="60" t="s">
        <v>2092</v>
      </c>
      <c r="D358" s="52" t="s">
        <v>371</v>
      </c>
      <c r="E358" s="73"/>
      <c r="F358" s="73"/>
      <c r="G358" s="73"/>
      <c r="H358" s="73"/>
      <c r="I358" s="73"/>
      <c r="J358" s="73"/>
      <c r="K358" s="73"/>
      <c r="L358" s="73"/>
      <c r="M358" s="73"/>
      <c r="N358" s="73"/>
      <c r="O358" s="73"/>
      <c r="P358" s="73"/>
      <c r="Q358" s="73"/>
      <c r="R358" s="73"/>
      <c r="S358" s="73"/>
      <c r="T358" s="73"/>
      <c r="U358" s="73"/>
      <c r="V358" s="73"/>
      <c r="W358" s="73"/>
      <c r="X358" s="73"/>
      <c r="Y358" s="73"/>
      <c r="Z358" s="73"/>
      <c r="AA358" s="75"/>
      <c r="AB358" s="75"/>
      <c r="AC358" s="55"/>
      <c r="AD358" s="89"/>
      <c r="AE358" s="89"/>
      <c r="AF358" s="89"/>
      <c r="AG358" s="57"/>
      <c r="AH358" s="58"/>
      <c r="AI358" s="49"/>
      <c r="AK358" s="41"/>
    </row>
    <row r="359" spans="1:37" ht="21">
      <c r="A359" s="32" t="s">
        <v>2304</v>
      </c>
      <c r="B359" s="127" t="s">
        <v>15</v>
      </c>
      <c r="C359" s="60" t="s">
        <v>2093</v>
      </c>
      <c r="D359" s="52" t="s">
        <v>371</v>
      </c>
      <c r="E359" s="73"/>
      <c r="F359" s="73"/>
      <c r="G359" s="73"/>
      <c r="H359" s="73"/>
      <c r="I359" s="73"/>
      <c r="J359" s="73"/>
      <c r="K359" s="73"/>
      <c r="L359" s="73"/>
      <c r="M359" s="73"/>
      <c r="N359" s="73"/>
      <c r="O359" s="73"/>
      <c r="P359" s="73"/>
      <c r="Q359" s="73"/>
      <c r="R359" s="73"/>
      <c r="S359" s="73"/>
      <c r="T359" s="73"/>
      <c r="U359" s="73"/>
      <c r="V359" s="73"/>
      <c r="W359" s="73"/>
      <c r="X359" s="73"/>
      <c r="Y359" s="73"/>
      <c r="Z359" s="73"/>
      <c r="AA359" s="75"/>
      <c r="AB359" s="75"/>
      <c r="AC359" s="55"/>
      <c r="AD359" s="89"/>
      <c r="AE359" s="89"/>
      <c r="AF359" s="89"/>
      <c r="AG359" s="57"/>
      <c r="AH359" s="58"/>
      <c r="AI359" s="49"/>
      <c r="AK359" s="41"/>
    </row>
    <row r="360" spans="1:37" ht="21">
      <c r="A360" s="32" t="s">
        <v>2305</v>
      </c>
      <c r="B360" s="127" t="s">
        <v>40</v>
      </c>
      <c r="C360" s="60" t="s">
        <v>2094</v>
      </c>
      <c r="D360" s="52" t="s">
        <v>371</v>
      </c>
      <c r="E360" s="73"/>
      <c r="F360" s="73"/>
      <c r="G360" s="73"/>
      <c r="H360" s="73"/>
      <c r="I360" s="73"/>
      <c r="J360" s="73"/>
      <c r="K360" s="73"/>
      <c r="L360" s="73"/>
      <c r="M360" s="73"/>
      <c r="N360" s="73"/>
      <c r="O360" s="73"/>
      <c r="P360" s="73"/>
      <c r="Q360" s="73"/>
      <c r="R360" s="73"/>
      <c r="S360" s="73"/>
      <c r="T360" s="73"/>
      <c r="U360" s="73"/>
      <c r="V360" s="73"/>
      <c r="W360" s="73"/>
      <c r="X360" s="73"/>
      <c r="Y360" s="73"/>
      <c r="Z360" s="73"/>
      <c r="AA360" s="75"/>
      <c r="AB360" s="75"/>
      <c r="AC360" s="55"/>
      <c r="AD360" s="89"/>
      <c r="AE360" s="89"/>
      <c r="AF360" s="89"/>
      <c r="AG360" s="57"/>
      <c r="AH360" s="58"/>
      <c r="AI360" s="49"/>
      <c r="AK360" s="41"/>
    </row>
    <row r="361" spans="1:37" ht="21">
      <c r="A361" s="32" t="s">
        <v>2306</v>
      </c>
      <c r="B361" s="127" t="s">
        <v>48</v>
      </c>
      <c r="C361" s="60" t="s">
        <v>2095</v>
      </c>
      <c r="D361" s="52" t="s">
        <v>371</v>
      </c>
      <c r="E361" s="73"/>
      <c r="F361" s="73"/>
      <c r="G361" s="73"/>
      <c r="H361" s="73"/>
      <c r="I361" s="73"/>
      <c r="J361" s="73"/>
      <c r="K361" s="73"/>
      <c r="L361" s="73"/>
      <c r="M361" s="73"/>
      <c r="N361" s="73"/>
      <c r="O361" s="73"/>
      <c r="P361" s="73"/>
      <c r="Q361" s="73"/>
      <c r="R361" s="73"/>
      <c r="S361" s="73"/>
      <c r="T361" s="73"/>
      <c r="U361" s="73"/>
      <c r="V361" s="73"/>
      <c r="W361" s="73"/>
      <c r="X361" s="73"/>
      <c r="Y361" s="73"/>
      <c r="Z361" s="73"/>
      <c r="AA361" s="75"/>
      <c r="AB361" s="75"/>
      <c r="AC361" s="55"/>
      <c r="AD361" s="89"/>
      <c r="AE361" s="89"/>
      <c r="AF361" s="89"/>
      <c r="AG361" s="57"/>
      <c r="AH361" s="58"/>
      <c r="AI361" s="49"/>
      <c r="AK361" s="41"/>
    </row>
    <row r="362" spans="1:37" ht="21">
      <c r="B362" s="50" t="s">
        <v>24</v>
      </c>
      <c r="C362" s="51" t="s">
        <v>2096</v>
      </c>
      <c r="D362" s="52"/>
      <c r="E362" s="73"/>
      <c r="F362" s="73"/>
      <c r="G362" s="73"/>
      <c r="H362" s="73"/>
      <c r="I362" s="73"/>
      <c r="J362" s="73"/>
      <c r="K362" s="73"/>
      <c r="L362" s="73"/>
      <c r="M362" s="73"/>
      <c r="N362" s="73"/>
      <c r="O362" s="73"/>
      <c r="P362" s="73"/>
      <c r="Q362" s="73"/>
      <c r="R362" s="73"/>
      <c r="S362" s="73"/>
      <c r="T362" s="73"/>
      <c r="U362" s="73"/>
      <c r="V362" s="73"/>
      <c r="W362" s="73"/>
      <c r="X362" s="73"/>
      <c r="Y362" s="73"/>
      <c r="Z362" s="73"/>
      <c r="AA362" s="75"/>
      <c r="AB362" s="75"/>
      <c r="AC362" s="55"/>
      <c r="AD362" s="89"/>
      <c r="AE362" s="89"/>
      <c r="AF362" s="89"/>
      <c r="AG362" s="57"/>
      <c r="AH362" s="58"/>
      <c r="AI362" s="49"/>
      <c r="AK362" s="41"/>
    </row>
    <row r="363" spans="1:37" ht="21">
      <c r="A363" s="32" t="s">
        <v>2307</v>
      </c>
      <c r="B363" s="127" t="s">
        <v>14</v>
      </c>
      <c r="C363" s="60" t="s">
        <v>2092</v>
      </c>
      <c r="D363" s="52" t="s">
        <v>371</v>
      </c>
      <c r="E363" s="73"/>
      <c r="F363" s="73"/>
      <c r="G363" s="73"/>
      <c r="H363" s="73"/>
      <c r="I363" s="73"/>
      <c r="J363" s="73"/>
      <c r="K363" s="73"/>
      <c r="L363" s="73"/>
      <c r="M363" s="73"/>
      <c r="N363" s="73"/>
      <c r="O363" s="73"/>
      <c r="P363" s="73"/>
      <c r="Q363" s="73"/>
      <c r="R363" s="73"/>
      <c r="S363" s="73"/>
      <c r="T363" s="73"/>
      <c r="U363" s="73"/>
      <c r="V363" s="73"/>
      <c r="W363" s="73"/>
      <c r="X363" s="73"/>
      <c r="Y363" s="73"/>
      <c r="Z363" s="73"/>
      <c r="AA363" s="75"/>
      <c r="AB363" s="75"/>
      <c r="AC363" s="55"/>
      <c r="AD363" s="89"/>
      <c r="AE363" s="89"/>
      <c r="AF363" s="89"/>
      <c r="AG363" s="57"/>
      <c r="AH363" s="58"/>
      <c r="AI363" s="49"/>
      <c r="AK363" s="41"/>
    </row>
    <row r="364" spans="1:37" ht="21">
      <c r="A364" s="32" t="s">
        <v>2308</v>
      </c>
      <c r="B364" s="127" t="s">
        <v>15</v>
      </c>
      <c r="C364" s="60" t="s">
        <v>2093</v>
      </c>
      <c r="D364" s="52" t="s">
        <v>371</v>
      </c>
      <c r="E364" s="73"/>
      <c r="F364" s="73"/>
      <c r="G364" s="73"/>
      <c r="H364" s="73"/>
      <c r="I364" s="73"/>
      <c r="J364" s="73"/>
      <c r="K364" s="73"/>
      <c r="L364" s="73"/>
      <c r="M364" s="73"/>
      <c r="N364" s="73"/>
      <c r="O364" s="73"/>
      <c r="P364" s="73"/>
      <c r="Q364" s="73"/>
      <c r="R364" s="73"/>
      <c r="S364" s="73"/>
      <c r="T364" s="73"/>
      <c r="U364" s="73"/>
      <c r="V364" s="73"/>
      <c r="W364" s="73"/>
      <c r="X364" s="73"/>
      <c r="Y364" s="73"/>
      <c r="Z364" s="73"/>
      <c r="AA364" s="75"/>
      <c r="AB364" s="75"/>
      <c r="AC364" s="55"/>
      <c r="AD364" s="89"/>
      <c r="AE364" s="89"/>
      <c r="AF364" s="89"/>
      <c r="AG364" s="57"/>
      <c r="AH364" s="58"/>
      <c r="AI364" s="49"/>
      <c r="AK364" s="41"/>
    </row>
    <row r="365" spans="1:37" ht="21">
      <c r="A365" s="32" t="s">
        <v>2309</v>
      </c>
      <c r="B365" s="127" t="s">
        <v>40</v>
      </c>
      <c r="C365" s="60" t="s">
        <v>2094</v>
      </c>
      <c r="D365" s="52" t="s">
        <v>371</v>
      </c>
      <c r="E365" s="73"/>
      <c r="F365" s="73"/>
      <c r="G365" s="73"/>
      <c r="H365" s="73"/>
      <c r="I365" s="73"/>
      <c r="J365" s="73"/>
      <c r="K365" s="73"/>
      <c r="L365" s="73"/>
      <c r="M365" s="73"/>
      <c r="N365" s="73"/>
      <c r="O365" s="73"/>
      <c r="P365" s="73"/>
      <c r="Q365" s="73"/>
      <c r="R365" s="73"/>
      <c r="S365" s="73"/>
      <c r="T365" s="73"/>
      <c r="U365" s="73"/>
      <c r="V365" s="73"/>
      <c r="W365" s="73"/>
      <c r="X365" s="73"/>
      <c r="Y365" s="73"/>
      <c r="Z365" s="73"/>
      <c r="AA365" s="75"/>
      <c r="AB365" s="75"/>
      <c r="AC365" s="55"/>
      <c r="AD365" s="89"/>
      <c r="AE365" s="89"/>
      <c r="AF365" s="89"/>
      <c r="AG365" s="57"/>
      <c r="AH365" s="58"/>
      <c r="AI365" s="49"/>
      <c r="AK365" s="41"/>
    </row>
    <row r="366" spans="1:37" ht="21">
      <c r="A366" s="32" t="s">
        <v>2310</v>
      </c>
      <c r="B366" s="127" t="s">
        <v>48</v>
      </c>
      <c r="C366" s="60" t="s">
        <v>2095</v>
      </c>
      <c r="D366" s="52" t="s">
        <v>371</v>
      </c>
      <c r="E366" s="73"/>
      <c r="F366" s="73"/>
      <c r="G366" s="73"/>
      <c r="H366" s="73"/>
      <c r="I366" s="73"/>
      <c r="J366" s="73"/>
      <c r="K366" s="73"/>
      <c r="L366" s="73"/>
      <c r="M366" s="73"/>
      <c r="N366" s="73"/>
      <c r="O366" s="73"/>
      <c r="P366" s="73"/>
      <c r="Q366" s="73"/>
      <c r="R366" s="73"/>
      <c r="S366" s="73"/>
      <c r="T366" s="73"/>
      <c r="U366" s="73"/>
      <c r="V366" s="73"/>
      <c r="W366" s="73"/>
      <c r="X366" s="73"/>
      <c r="Y366" s="73"/>
      <c r="Z366" s="73"/>
      <c r="AA366" s="75"/>
      <c r="AB366" s="75"/>
      <c r="AC366" s="55"/>
      <c r="AD366" s="89"/>
      <c r="AE366" s="89"/>
      <c r="AF366" s="89"/>
      <c r="AG366" s="57"/>
      <c r="AH366" s="58"/>
      <c r="AI366" s="49"/>
      <c r="AK366" s="41"/>
    </row>
    <row r="367" spans="1:37" ht="40.5">
      <c r="A367" s="32" t="s">
        <v>2279</v>
      </c>
      <c r="B367" s="126">
        <v>7.12</v>
      </c>
      <c r="C367" s="60" t="s">
        <v>2672</v>
      </c>
      <c r="D367" s="52"/>
      <c r="E367" s="73"/>
      <c r="F367" s="73"/>
      <c r="G367" s="73"/>
      <c r="H367" s="73"/>
      <c r="I367" s="73"/>
      <c r="J367" s="73"/>
      <c r="K367" s="73"/>
      <c r="L367" s="73"/>
      <c r="M367" s="73"/>
      <c r="N367" s="73"/>
      <c r="O367" s="73"/>
      <c r="P367" s="73"/>
      <c r="Q367" s="73"/>
      <c r="R367" s="73"/>
      <c r="S367" s="73"/>
      <c r="T367" s="73"/>
      <c r="U367" s="73"/>
      <c r="V367" s="73"/>
      <c r="W367" s="73"/>
      <c r="X367" s="73"/>
      <c r="Y367" s="73"/>
      <c r="Z367" s="73"/>
      <c r="AA367" s="75"/>
      <c r="AB367" s="75"/>
      <c r="AC367" s="55"/>
      <c r="AD367" s="89"/>
      <c r="AE367" s="89"/>
      <c r="AF367" s="89"/>
      <c r="AG367" s="57"/>
      <c r="AH367" s="58"/>
      <c r="AI367" s="49"/>
      <c r="AK367" s="41"/>
    </row>
    <row r="368" spans="1:37" ht="21">
      <c r="A368" s="32" t="s">
        <v>2295</v>
      </c>
      <c r="B368" s="50" t="s">
        <v>104</v>
      </c>
      <c r="C368" s="51" t="s">
        <v>2091</v>
      </c>
      <c r="D368" s="52"/>
      <c r="E368" s="73"/>
      <c r="F368" s="73"/>
      <c r="G368" s="73"/>
      <c r="H368" s="73"/>
      <c r="I368" s="73"/>
      <c r="J368" s="73"/>
      <c r="K368" s="73"/>
      <c r="L368" s="73"/>
      <c r="M368" s="73"/>
      <c r="N368" s="73"/>
      <c r="O368" s="73"/>
      <c r="P368" s="73"/>
      <c r="Q368" s="73"/>
      <c r="R368" s="73"/>
      <c r="S368" s="73"/>
      <c r="T368" s="73"/>
      <c r="U368" s="73"/>
      <c r="V368" s="73"/>
      <c r="W368" s="73"/>
      <c r="X368" s="73"/>
      <c r="Y368" s="73"/>
      <c r="Z368" s="73"/>
      <c r="AA368" s="75"/>
      <c r="AB368" s="75"/>
      <c r="AC368" s="55"/>
      <c r="AD368" s="89"/>
      <c r="AE368" s="89"/>
      <c r="AF368" s="89"/>
      <c r="AG368" s="57"/>
      <c r="AH368" s="58"/>
      <c r="AI368" s="49"/>
      <c r="AK368" s="41"/>
    </row>
    <row r="369" spans="1:37" ht="21">
      <c r="A369" s="32" t="s">
        <v>2296</v>
      </c>
      <c r="B369" s="127" t="s">
        <v>14</v>
      </c>
      <c r="C369" s="60" t="s">
        <v>2092</v>
      </c>
      <c r="D369" s="52" t="s">
        <v>371</v>
      </c>
      <c r="E369" s="73"/>
      <c r="F369" s="73"/>
      <c r="G369" s="73"/>
      <c r="H369" s="73"/>
      <c r="I369" s="73"/>
      <c r="J369" s="73"/>
      <c r="K369" s="73"/>
      <c r="L369" s="73"/>
      <c r="M369" s="73"/>
      <c r="N369" s="73"/>
      <c r="O369" s="73"/>
      <c r="P369" s="73"/>
      <c r="Q369" s="73"/>
      <c r="R369" s="73"/>
      <c r="S369" s="73"/>
      <c r="T369" s="73"/>
      <c r="U369" s="73"/>
      <c r="V369" s="73"/>
      <c r="W369" s="73"/>
      <c r="X369" s="73"/>
      <c r="Y369" s="73"/>
      <c r="Z369" s="73"/>
      <c r="AA369" s="75"/>
      <c r="AB369" s="75"/>
      <c r="AC369" s="55"/>
      <c r="AD369" s="89"/>
      <c r="AE369" s="89"/>
      <c r="AF369" s="89"/>
      <c r="AG369" s="57"/>
      <c r="AH369" s="58"/>
      <c r="AI369" s="49"/>
      <c r="AK369" s="41"/>
    </row>
    <row r="370" spans="1:37" ht="21">
      <c r="A370" s="32" t="s">
        <v>2297</v>
      </c>
      <c r="B370" s="127" t="s">
        <v>15</v>
      </c>
      <c r="C370" s="60" t="s">
        <v>2093</v>
      </c>
      <c r="D370" s="52" t="s">
        <v>371</v>
      </c>
      <c r="E370" s="73"/>
      <c r="F370" s="73"/>
      <c r="G370" s="73"/>
      <c r="H370" s="73"/>
      <c r="I370" s="73"/>
      <c r="J370" s="73"/>
      <c r="K370" s="73"/>
      <c r="L370" s="73"/>
      <c r="M370" s="73"/>
      <c r="N370" s="73"/>
      <c r="O370" s="73"/>
      <c r="P370" s="73"/>
      <c r="Q370" s="73"/>
      <c r="R370" s="73"/>
      <c r="S370" s="73"/>
      <c r="T370" s="73"/>
      <c r="U370" s="73"/>
      <c r="V370" s="73"/>
      <c r="W370" s="73"/>
      <c r="X370" s="73"/>
      <c r="Y370" s="73"/>
      <c r="Z370" s="73"/>
      <c r="AA370" s="75"/>
      <c r="AB370" s="75"/>
      <c r="AC370" s="55"/>
      <c r="AD370" s="89"/>
      <c r="AE370" s="89"/>
      <c r="AF370" s="89"/>
      <c r="AG370" s="57"/>
      <c r="AH370" s="58"/>
      <c r="AI370" s="49"/>
      <c r="AK370" s="41"/>
    </row>
    <row r="371" spans="1:37" ht="21">
      <c r="A371" s="32" t="s">
        <v>2298</v>
      </c>
      <c r="B371" s="127" t="s">
        <v>40</v>
      </c>
      <c r="C371" s="60" t="s">
        <v>2094</v>
      </c>
      <c r="D371" s="52" t="s">
        <v>371</v>
      </c>
      <c r="E371" s="73"/>
      <c r="F371" s="73"/>
      <c r="G371" s="73"/>
      <c r="H371" s="73"/>
      <c r="I371" s="73"/>
      <c r="J371" s="73"/>
      <c r="K371" s="73"/>
      <c r="L371" s="73"/>
      <c r="M371" s="73"/>
      <c r="N371" s="73"/>
      <c r="O371" s="73"/>
      <c r="P371" s="73"/>
      <c r="Q371" s="73"/>
      <c r="R371" s="73"/>
      <c r="S371" s="73"/>
      <c r="T371" s="73"/>
      <c r="U371" s="73"/>
      <c r="V371" s="73"/>
      <c r="W371" s="73"/>
      <c r="X371" s="73"/>
      <c r="Y371" s="73"/>
      <c r="Z371" s="73"/>
      <c r="AA371" s="75"/>
      <c r="AB371" s="75"/>
      <c r="AC371" s="55"/>
      <c r="AD371" s="89"/>
      <c r="AE371" s="89"/>
      <c r="AF371" s="89"/>
      <c r="AG371" s="57"/>
      <c r="AH371" s="58"/>
      <c r="AI371" s="49"/>
      <c r="AK371" s="41"/>
    </row>
    <row r="372" spans="1:37" ht="21">
      <c r="B372" s="127" t="s">
        <v>48</v>
      </c>
      <c r="C372" s="60" t="s">
        <v>2095</v>
      </c>
      <c r="D372" s="52" t="s">
        <v>371</v>
      </c>
      <c r="E372" s="73"/>
      <c r="F372" s="73"/>
      <c r="G372" s="73"/>
      <c r="H372" s="73"/>
      <c r="I372" s="73"/>
      <c r="J372" s="73"/>
      <c r="K372" s="73"/>
      <c r="L372" s="73"/>
      <c r="M372" s="73"/>
      <c r="N372" s="73"/>
      <c r="O372" s="73"/>
      <c r="P372" s="73"/>
      <c r="Q372" s="73"/>
      <c r="R372" s="73"/>
      <c r="S372" s="73"/>
      <c r="T372" s="73"/>
      <c r="U372" s="73"/>
      <c r="V372" s="73"/>
      <c r="W372" s="73"/>
      <c r="X372" s="73"/>
      <c r="Y372" s="73"/>
      <c r="Z372" s="73"/>
      <c r="AA372" s="75"/>
      <c r="AB372" s="75"/>
      <c r="AC372" s="55"/>
      <c r="AD372" s="89"/>
      <c r="AE372" s="89"/>
      <c r="AF372" s="89"/>
      <c r="AG372" s="57"/>
      <c r="AH372" s="58"/>
      <c r="AI372" s="49"/>
      <c r="AK372" s="41"/>
    </row>
    <row r="373" spans="1:37" ht="21">
      <c r="A373" s="32" t="s">
        <v>2299</v>
      </c>
      <c r="B373" s="50" t="s">
        <v>24</v>
      </c>
      <c r="C373" s="51" t="s">
        <v>2096</v>
      </c>
      <c r="D373" s="52"/>
      <c r="E373" s="73"/>
      <c r="F373" s="73"/>
      <c r="G373" s="73"/>
      <c r="H373" s="73"/>
      <c r="I373" s="73"/>
      <c r="J373" s="73"/>
      <c r="K373" s="73"/>
      <c r="L373" s="73"/>
      <c r="M373" s="73"/>
      <c r="N373" s="73"/>
      <c r="O373" s="73"/>
      <c r="P373" s="73"/>
      <c r="Q373" s="73"/>
      <c r="R373" s="73"/>
      <c r="S373" s="73"/>
      <c r="T373" s="73"/>
      <c r="U373" s="73"/>
      <c r="V373" s="73"/>
      <c r="W373" s="73"/>
      <c r="X373" s="73"/>
      <c r="Y373" s="73"/>
      <c r="Z373" s="73"/>
      <c r="AA373" s="75"/>
      <c r="AB373" s="75"/>
      <c r="AC373" s="55"/>
      <c r="AD373" s="89"/>
      <c r="AE373" s="89"/>
      <c r="AF373" s="89"/>
      <c r="AG373" s="57"/>
      <c r="AH373" s="58"/>
      <c r="AI373" s="49"/>
      <c r="AK373" s="41"/>
    </row>
    <row r="374" spans="1:37" ht="21">
      <c r="A374" s="32" t="s">
        <v>2300</v>
      </c>
      <c r="B374" s="127" t="s">
        <v>14</v>
      </c>
      <c r="C374" s="60" t="s">
        <v>2092</v>
      </c>
      <c r="D374" s="52" t="s">
        <v>371</v>
      </c>
      <c r="E374" s="73"/>
      <c r="F374" s="73"/>
      <c r="G374" s="73"/>
      <c r="H374" s="73"/>
      <c r="I374" s="73"/>
      <c r="J374" s="73"/>
      <c r="K374" s="73"/>
      <c r="L374" s="73"/>
      <c r="M374" s="73"/>
      <c r="N374" s="73"/>
      <c r="O374" s="73"/>
      <c r="P374" s="73"/>
      <c r="Q374" s="73"/>
      <c r="R374" s="73"/>
      <c r="S374" s="73"/>
      <c r="T374" s="73"/>
      <c r="U374" s="73"/>
      <c r="V374" s="73"/>
      <c r="W374" s="73"/>
      <c r="X374" s="73"/>
      <c r="Y374" s="73"/>
      <c r="Z374" s="73"/>
      <c r="AA374" s="75"/>
      <c r="AB374" s="75"/>
      <c r="AC374" s="55"/>
      <c r="AD374" s="89"/>
      <c r="AE374" s="89"/>
      <c r="AF374" s="89"/>
      <c r="AG374" s="57"/>
      <c r="AH374" s="58"/>
      <c r="AI374" s="49"/>
      <c r="AK374" s="41"/>
    </row>
    <row r="375" spans="1:37" ht="21">
      <c r="A375" s="32" t="s">
        <v>2301</v>
      </c>
      <c r="B375" s="127" t="s">
        <v>15</v>
      </c>
      <c r="C375" s="60" t="s">
        <v>2093</v>
      </c>
      <c r="D375" s="52" t="s">
        <v>371</v>
      </c>
      <c r="E375" s="73"/>
      <c r="F375" s="73"/>
      <c r="G375" s="73"/>
      <c r="H375" s="73"/>
      <c r="I375" s="73"/>
      <c r="J375" s="73"/>
      <c r="K375" s="73"/>
      <c r="L375" s="73"/>
      <c r="M375" s="73"/>
      <c r="N375" s="73"/>
      <c r="O375" s="73"/>
      <c r="P375" s="73"/>
      <c r="Q375" s="73"/>
      <c r="R375" s="73"/>
      <c r="S375" s="73"/>
      <c r="T375" s="73"/>
      <c r="U375" s="73"/>
      <c r="V375" s="73"/>
      <c r="W375" s="73"/>
      <c r="X375" s="73"/>
      <c r="Y375" s="73"/>
      <c r="Z375" s="73"/>
      <c r="AA375" s="75"/>
      <c r="AB375" s="75"/>
      <c r="AC375" s="55"/>
      <c r="AD375" s="89"/>
      <c r="AE375" s="89"/>
      <c r="AF375" s="89"/>
      <c r="AG375" s="57"/>
      <c r="AH375" s="58"/>
      <c r="AI375" s="49"/>
      <c r="AK375" s="41"/>
    </row>
    <row r="376" spans="1:37" ht="21">
      <c r="A376" s="32" t="s">
        <v>2302</v>
      </c>
      <c r="B376" s="127" t="s">
        <v>40</v>
      </c>
      <c r="C376" s="60" t="s">
        <v>2094</v>
      </c>
      <c r="D376" s="52" t="s">
        <v>371</v>
      </c>
      <c r="E376" s="73"/>
      <c r="F376" s="73"/>
      <c r="G376" s="73"/>
      <c r="H376" s="73"/>
      <c r="I376" s="73"/>
      <c r="J376" s="73"/>
      <c r="K376" s="73"/>
      <c r="L376" s="73"/>
      <c r="M376" s="73"/>
      <c r="N376" s="73"/>
      <c r="O376" s="73"/>
      <c r="P376" s="73"/>
      <c r="Q376" s="73"/>
      <c r="R376" s="73"/>
      <c r="S376" s="73"/>
      <c r="T376" s="73"/>
      <c r="U376" s="73"/>
      <c r="V376" s="73"/>
      <c r="W376" s="73"/>
      <c r="X376" s="73"/>
      <c r="Y376" s="73"/>
      <c r="Z376" s="73"/>
      <c r="AA376" s="75"/>
      <c r="AB376" s="75"/>
      <c r="AC376" s="55"/>
      <c r="AD376" s="89"/>
      <c r="AE376" s="89"/>
      <c r="AF376" s="89"/>
      <c r="AG376" s="57"/>
      <c r="AH376" s="58"/>
      <c r="AI376" s="49"/>
      <c r="AK376" s="41"/>
    </row>
    <row r="377" spans="1:37" ht="21">
      <c r="B377" s="127" t="s">
        <v>48</v>
      </c>
      <c r="C377" s="60" t="s">
        <v>2095</v>
      </c>
      <c r="D377" s="52" t="s">
        <v>371</v>
      </c>
      <c r="E377" s="73"/>
      <c r="F377" s="73"/>
      <c r="G377" s="73"/>
      <c r="H377" s="73"/>
      <c r="I377" s="73"/>
      <c r="J377" s="73"/>
      <c r="K377" s="73"/>
      <c r="L377" s="73"/>
      <c r="M377" s="73"/>
      <c r="N377" s="73"/>
      <c r="O377" s="73"/>
      <c r="P377" s="73"/>
      <c r="Q377" s="73"/>
      <c r="R377" s="73"/>
      <c r="S377" s="73"/>
      <c r="T377" s="73"/>
      <c r="U377" s="73"/>
      <c r="V377" s="73"/>
      <c r="W377" s="73"/>
      <c r="X377" s="73"/>
      <c r="Y377" s="73"/>
      <c r="Z377" s="73"/>
      <c r="AA377" s="75"/>
      <c r="AB377" s="75"/>
      <c r="AC377" s="55"/>
      <c r="AD377" s="89"/>
      <c r="AE377" s="89"/>
      <c r="AF377" s="89"/>
      <c r="AG377" s="57"/>
      <c r="AH377" s="58"/>
      <c r="AI377" s="49"/>
      <c r="AK377" s="41"/>
    </row>
    <row r="378" spans="1:37" ht="40.5">
      <c r="A378" s="32" t="s">
        <v>2286</v>
      </c>
      <c r="B378" s="126">
        <v>7.13</v>
      </c>
      <c r="C378" s="60" t="s">
        <v>2673</v>
      </c>
      <c r="D378" s="52"/>
      <c r="E378" s="73"/>
      <c r="F378" s="73"/>
      <c r="G378" s="73"/>
      <c r="H378" s="73"/>
      <c r="I378" s="73"/>
      <c r="J378" s="73"/>
      <c r="K378" s="73"/>
      <c r="L378" s="73"/>
      <c r="M378" s="73"/>
      <c r="N378" s="73"/>
      <c r="O378" s="73"/>
      <c r="P378" s="73"/>
      <c r="Q378" s="73"/>
      <c r="R378" s="73"/>
      <c r="S378" s="73"/>
      <c r="T378" s="73"/>
      <c r="U378" s="73"/>
      <c r="V378" s="73"/>
      <c r="W378" s="73"/>
      <c r="X378" s="73"/>
      <c r="Y378" s="73"/>
      <c r="Z378" s="73"/>
      <c r="AA378" s="75"/>
      <c r="AB378" s="75"/>
      <c r="AC378" s="55"/>
      <c r="AD378" s="89"/>
      <c r="AE378" s="89"/>
      <c r="AF378" s="89"/>
      <c r="AG378" s="57"/>
      <c r="AH378" s="58"/>
      <c r="AI378" s="49"/>
      <c r="AK378" s="41"/>
    </row>
    <row r="379" spans="1:37" ht="21">
      <c r="B379" s="50" t="s">
        <v>104</v>
      </c>
      <c r="C379" s="51" t="s">
        <v>2091</v>
      </c>
      <c r="D379" s="52"/>
      <c r="E379" s="73"/>
      <c r="F379" s="73"/>
      <c r="G379" s="73"/>
      <c r="H379" s="73"/>
      <c r="I379" s="73"/>
      <c r="J379" s="73"/>
      <c r="K379" s="73"/>
      <c r="L379" s="73"/>
      <c r="M379" s="73"/>
      <c r="N379" s="73"/>
      <c r="O379" s="73"/>
      <c r="P379" s="73"/>
      <c r="Q379" s="73"/>
      <c r="R379" s="73"/>
      <c r="S379" s="73"/>
      <c r="T379" s="73"/>
      <c r="U379" s="73"/>
      <c r="V379" s="73"/>
      <c r="W379" s="73"/>
      <c r="X379" s="73"/>
      <c r="Y379" s="73"/>
      <c r="Z379" s="73"/>
      <c r="AA379" s="75"/>
      <c r="AB379" s="75"/>
      <c r="AC379" s="55"/>
      <c r="AD379" s="89"/>
      <c r="AE379" s="89"/>
      <c r="AF379" s="89"/>
      <c r="AG379" s="57"/>
      <c r="AH379" s="58"/>
      <c r="AI379" s="49"/>
      <c r="AK379" s="41"/>
    </row>
    <row r="380" spans="1:37" ht="21">
      <c r="A380" s="32" t="s">
        <v>2287</v>
      </c>
      <c r="B380" s="127" t="s">
        <v>14</v>
      </c>
      <c r="C380" s="60" t="s">
        <v>2092</v>
      </c>
      <c r="D380" s="52" t="s">
        <v>371</v>
      </c>
      <c r="E380" s="73"/>
      <c r="F380" s="73"/>
      <c r="G380" s="73"/>
      <c r="H380" s="73"/>
      <c r="I380" s="73"/>
      <c r="J380" s="73"/>
      <c r="K380" s="73"/>
      <c r="L380" s="73"/>
      <c r="M380" s="73"/>
      <c r="N380" s="73"/>
      <c r="O380" s="73"/>
      <c r="P380" s="73"/>
      <c r="Q380" s="73"/>
      <c r="R380" s="73"/>
      <c r="S380" s="73"/>
      <c r="T380" s="73"/>
      <c r="U380" s="73"/>
      <c r="V380" s="73"/>
      <c r="W380" s="73"/>
      <c r="X380" s="73"/>
      <c r="Y380" s="73"/>
      <c r="Z380" s="73"/>
      <c r="AA380" s="75"/>
      <c r="AB380" s="75"/>
      <c r="AC380" s="55"/>
      <c r="AD380" s="89"/>
      <c r="AE380" s="89"/>
      <c r="AF380" s="89"/>
      <c r="AG380" s="57"/>
      <c r="AH380" s="58"/>
      <c r="AI380" s="49"/>
      <c r="AK380" s="41"/>
    </row>
    <row r="381" spans="1:37" ht="21">
      <c r="A381" s="32" t="s">
        <v>2289</v>
      </c>
      <c r="B381" s="127" t="s">
        <v>15</v>
      </c>
      <c r="C381" s="60" t="s">
        <v>2093</v>
      </c>
      <c r="D381" s="52" t="s">
        <v>371</v>
      </c>
      <c r="E381" s="73"/>
      <c r="F381" s="73"/>
      <c r="G381" s="73"/>
      <c r="H381" s="73"/>
      <c r="I381" s="73"/>
      <c r="J381" s="73"/>
      <c r="K381" s="73"/>
      <c r="L381" s="73"/>
      <c r="M381" s="73"/>
      <c r="N381" s="73"/>
      <c r="O381" s="73"/>
      <c r="P381" s="73"/>
      <c r="Q381" s="73"/>
      <c r="R381" s="73"/>
      <c r="S381" s="73"/>
      <c r="T381" s="73"/>
      <c r="U381" s="73"/>
      <c r="V381" s="73"/>
      <c r="W381" s="73"/>
      <c r="X381" s="73"/>
      <c r="Y381" s="73"/>
      <c r="Z381" s="73"/>
      <c r="AA381" s="75"/>
      <c r="AB381" s="75"/>
      <c r="AC381" s="55"/>
      <c r="AD381" s="89"/>
      <c r="AE381" s="89"/>
      <c r="AF381" s="89"/>
      <c r="AG381" s="57"/>
      <c r="AH381" s="58"/>
      <c r="AI381" s="49"/>
      <c r="AK381" s="41"/>
    </row>
    <row r="382" spans="1:37" ht="21">
      <c r="A382" s="32" t="s">
        <v>2290</v>
      </c>
      <c r="B382" s="127" t="s">
        <v>40</v>
      </c>
      <c r="C382" s="60" t="s">
        <v>2094</v>
      </c>
      <c r="D382" s="52" t="s">
        <v>371</v>
      </c>
      <c r="E382" s="73"/>
      <c r="F382" s="73"/>
      <c r="G382" s="73"/>
      <c r="H382" s="73"/>
      <c r="I382" s="73"/>
      <c r="J382" s="73"/>
      <c r="K382" s="73"/>
      <c r="L382" s="73"/>
      <c r="M382" s="73"/>
      <c r="N382" s="73"/>
      <c r="O382" s="73"/>
      <c r="P382" s="73"/>
      <c r="Q382" s="73"/>
      <c r="R382" s="73"/>
      <c r="S382" s="73"/>
      <c r="T382" s="73"/>
      <c r="U382" s="73"/>
      <c r="V382" s="73"/>
      <c r="W382" s="73"/>
      <c r="X382" s="73"/>
      <c r="Y382" s="73"/>
      <c r="Z382" s="73"/>
      <c r="AA382" s="75"/>
      <c r="AB382" s="75"/>
      <c r="AC382" s="55"/>
      <c r="AD382" s="89"/>
      <c r="AE382" s="89"/>
      <c r="AF382" s="89"/>
      <c r="AG382" s="57"/>
      <c r="AH382" s="58"/>
      <c r="AI382" s="49"/>
      <c r="AK382" s="41"/>
    </row>
    <row r="383" spans="1:37" ht="21">
      <c r="A383" s="32" t="s">
        <v>2291</v>
      </c>
      <c r="B383" s="127" t="s">
        <v>48</v>
      </c>
      <c r="C383" s="60" t="s">
        <v>2095</v>
      </c>
      <c r="D383" s="52" t="s">
        <v>371</v>
      </c>
      <c r="E383" s="73"/>
      <c r="F383" s="73"/>
      <c r="G383" s="73"/>
      <c r="H383" s="73"/>
      <c r="I383" s="73"/>
      <c r="J383" s="73"/>
      <c r="K383" s="73"/>
      <c r="L383" s="73"/>
      <c r="M383" s="73"/>
      <c r="N383" s="73"/>
      <c r="O383" s="73"/>
      <c r="P383" s="73"/>
      <c r="Q383" s="73"/>
      <c r="R383" s="73"/>
      <c r="S383" s="73"/>
      <c r="T383" s="73"/>
      <c r="U383" s="73"/>
      <c r="V383" s="73"/>
      <c r="W383" s="73"/>
      <c r="X383" s="73"/>
      <c r="Y383" s="73"/>
      <c r="Z383" s="73"/>
      <c r="AA383" s="75"/>
      <c r="AB383" s="75"/>
      <c r="AC383" s="55"/>
      <c r="AD383" s="89"/>
      <c r="AE383" s="89"/>
      <c r="AF383" s="89"/>
      <c r="AG383" s="57"/>
      <c r="AH383" s="58"/>
      <c r="AI383" s="49"/>
      <c r="AK383" s="41"/>
    </row>
    <row r="384" spans="1:37" ht="21">
      <c r="B384" s="50" t="s">
        <v>24</v>
      </c>
      <c r="C384" s="51" t="s">
        <v>2096</v>
      </c>
      <c r="D384" s="52"/>
      <c r="E384" s="73"/>
      <c r="F384" s="73"/>
      <c r="G384" s="73"/>
      <c r="H384" s="73"/>
      <c r="I384" s="73"/>
      <c r="J384" s="73"/>
      <c r="K384" s="73"/>
      <c r="L384" s="73"/>
      <c r="M384" s="73"/>
      <c r="N384" s="73"/>
      <c r="O384" s="73"/>
      <c r="P384" s="73"/>
      <c r="Q384" s="73"/>
      <c r="R384" s="73"/>
      <c r="S384" s="73"/>
      <c r="T384" s="73"/>
      <c r="U384" s="73"/>
      <c r="V384" s="73"/>
      <c r="W384" s="73"/>
      <c r="X384" s="73"/>
      <c r="Y384" s="73"/>
      <c r="Z384" s="73"/>
      <c r="AA384" s="75"/>
      <c r="AB384" s="75"/>
      <c r="AC384" s="55"/>
      <c r="AD384" s="89"/>
      <c r="AE384" s="89"/>
      <c r="AF384" s="89"/>
      <c r="AG384" s="57"/>
      <c r="AH384" s="58"/>
      <c r="AI384" s="49"/>
      <c r="AK384" s="41"/>
    </row>
    <row r="385" spans="1:38" ht="21">
      <c r="A385" s="32" t="s">
        <v>2288</v>
      </c>
      <c r="B385" s="127" t="s">
        <v>14</v>
      </c>
      <c r="C385" s="60" t="s">
        <v>2092</v>
      </c>
      <c r="D385" s="52" t="s">
        <v>371</v>
      </c>
      <c r="E385" s="73"/>
      <c r="F385" s="73"/>
      <c r="G385" s="73"/>
      <c r="H385" s="73"/>
      <c r="I385" s="73"/>
      <c r="J385" s="73"/>
      <c r="K385" s="73"/>
      <c r="L385" s="73"/>
      <c r="M385" s="73"/>
      <c r="N385" s="73"/>
      <c r="O385" s="73"/>
      <c r="P385" s="73"/>
      <c r="Q385" s="73"/>
      <c r="R385" s="73"/>
      <c r="S385" s="73"/>
      <c r="T385" s="73"/>
      <c r="U385" s="73"/>
      <c r="V385" s="73"/>
      <c r="W385" s="73"/>
      <c r="X385" s="73"/>
      <c r="Y385" s="73"/>
      <c r="Z385" s="73"/>
      <c r="AA385" s="75"/>
      <c r="AB385" s="75"/>
      <c r="AC385" s="55"/>
      <c r="AD385" s="89"/>
      <c r="AE385" s="89"/>
      <c r="AF385" s="89"/>
      <c r="AG385" s="57"/>
      <c r="AH385" s="58"/>
      <c r="AI385" s="49"/>
      <c r="AK385" s="41"/>
    </row>
    <row r="386" spans="1:38" ht="21">
      <c r="A386" s="32" t="s">
        <v>2292</v>
      </c>
      <c r="B386" s="127" t="s">
        <v>15</v>
      </c>
      <c r="C386" s="60" t="s">
        <v>2093</v>
      </c>
      <c r="D386" s="52" t="s">
        <v>371</v>
      </c>
      <c r="E386" s="73"/>
      <c r="F386" s="73"/>
      <c r="G386" s="73"/>
      <c r="H386" s="73"/>
      <c r="I386" s="73"/>
      <c r="J386" s="73"/>
      <c r="K386" s="73"/>
      <c r="L386" s="73"/>
      <c r="M386" s="73"/>
      <c r="N386" s="73"/>
      <c r="O386" s="73"/>
      <c r="P386" s="73"/>
      <c r="Q386" s="73"/>
      <c r="R386" s="73"/>
      <c r="S386" s="73"/>
      <c r="T386" s="73"/>
      <c r="U386" s="73"/>
      <c r="V386" s="73"/>
      <c r="W386" s="73"/>
      <c r="X386" s="73"/>
      <c r="Y386" s="73"/>
      <c r="Z386" s="73"/>
      <c r="AA386" s="75"/>
      <c r="AB386" s="75"/>
      <c r="AC386" s="55"/>
      <c r="AD386" s="89"/>
      <c r="AE386" s="89"/>
      <c r="AF386" s="89"/>
      <c r="AG386" s="57"/>
      <c r="AH386" s="58"/>
      <c r="AI386" s="49"/>
      <c r="AK386" s="41"/>
    </row>
    <row r="387" spans="1:38" ht="21">
      <c r="A387" s="32" t="s">
        <v>2293</v>
      </c>
      <c r="B387" s="127" t="s">
        <v>40</v>
      </c>
      <c r="C387" s="60" t="s">
        <v>2094</v>
      </c>
      <c r="D387" s="52" t="s">
        <v>371</v>
      </c>
      <c r="E387" s="73"/>
      <c r="F387" s="73"/>
      <c r="G387" s="73"/>
      <c r="H387" s="73"/>
      <c r="I387" s="73"/>
      <c r="J387" s="73"/>
      <c r="K387" s="73"/>
      <c r="L387" s="73"/>
      <c r="M387" s="73"/>
      <c r="N387" s="73"/>
      <c r="O387" s="73"/>
      <c r="P387" s="73"/>
      <c r="Q387" s="73"/>
      <c r="R387" s="73"/>
      <c r="S387" s="73"/>
      <c r="T387" s="73"/>
      <c r="U387" s="73"/>
      <c r="V387" s="73"/>
      <c r="W387" s="73"/>
      <c r="X387" s="73"/>
      <c r="Y387" s="73"/>
      <c r="Z387" s="73"/>
      <c r="AA387" s="75"/>
      <c r="AB387" s="75"/>
      <c r="AC387" s="55"/>
      <c r="AD387" s="89"/>
      <c r="AE387" s="89"/>
      <c r="AF387" s="89"/>
      <c r="AG387" s="57"/>
      <c r="AH387" s="58"/>
      <c r="AI387" s="49"/>
      <c r="AK387" s="41"/>
    </row>
    <row r="388" spans="1:38" ht="21">
      <c r="A388" s="32" t="s">
        <v>2294</v>
      </c>
      <c r="B388" s="127" t="s">
        <v>48</v>
      </c>
      <c r="C388" s="60" t="s">
        <v>2095</v>
      </c>
      <c r="D388" s="52" t="s">
        <v>371</v>
      </c>
      <c r="E388" s="73"/>
      <c r="F388" s="73"/>
      <c r="G388" s="73"/>
      <c r="H388" s="73"/>
      <c r="I388" s="73"/>
      <c r="J388" s="73"/>
      <c r="K388" s="73"/>
      <c r="L388" s="73"/>
      <c r="M388" s="73"/>
      <c r="N388" s="73"/>
      <c r="O388" s="73"/>
      <c r="P388" s="73"/>
      <c r="Q388" s="73"/>
      <c r="R388" s="73"/>
      <c r="S388" s="73"/>
      <c r="T388" s="73"/>
      <c r="U388" s="73"/>
      <c r="V388" s="73"/>
      <c r="W388" s="73"/>
      <c r="X388" s="73"/>
      <c r="Y388" s="73"/>
      <c r="Z388" s="73"/>
      <c r="AA388" s="75"/>
      <c r="AB388" s="75"/>
      <c r="AC388" s="55"/>
      <c r="AD388" s="89"/>
      <c r="AE388" s="89"/>
      <c r="AF388" s="89"/>
      <c r="AG388" s="57"/>
      <c r="AH388" s="58"/>
      <c r="AI388" s="49"/>
      <c r="AK388" s="41"/>
    </row>
    <row r="389" spans="1:38" ht="21">
      <c r="A389" s="32" t="s">
        <v>2285</v>
      </c>
      <c r="B389" s="126">
        <v>7.14</v>
      </c>
      <c r="C389" s="60" t="s">
        <v>2547</v>
      </c>
      <c r="D389" s="52"/>
      <c r="E389" s="73"/>
      <c r="F389" s="73"/>
      <c r="G389" s="73"/>
      <c r="H389" s="73"/>
      <c r="I389" s="73"/>
      <c r="J389" s="73"/>
      <c r="K389" s="73"/>
      <c r="L389" s="73"/>
      <c r="M389" s="73"/>
      <c r="N389" s="73"/>
      <c r="O389" s="73"/>
      <c r="P389" s="73"/>
      <c r="Q389" s="73"/>
      <c r="R389" s="73"/>
      <c r="S389" s="73"/>
      <c r="T389" s="73"/>
      <c r="U389" s="73"/>
      <c r="V389" s="73"/>
      <c r="W389" s="73"/>
      <c r="X389" s="73"/>
      <c r="Y389" s="73"/>
      <c r="Z389" s="73"/>
      <c r="AA389" s="75"/>
      <c r="AB389" s="75"/>
      <c r="AC389" s="55"/>
      <c r="AD389" s="89"/>
      <c r="AE389" s="89"/>
      <c r="AF389" s="89"/>
      <c r="AG389" s="57"/>
      <c r="AH389" s="58"/>
      <c r="AI389" s="49"/>
      <c r="AK389" s="41"/>
    </row>
    <row r="390" spans="1:38" ht="21">
      <c r="A390" s="32" t="s">
        <v>2283</v>
      </c>
      <c r="B390" s="50" t="s">
        <v>14</v>
      </c>
      <c r="C390" s="51" t="s">
        <v>427</v>
      </c>
      <c r="D390" s="52" t="s">
        <v>739</v>
      </c>
      <c r="E390" s="73"/>
      <c r="F390" s="73"/>
      <c r="G390" s="73"/>
      <c r="H390" s="73"/>
      <c r="I390" s="73"/>
      <c r="J390" s="73"/>
      <c r="K390" s="73"/>
      <c r="L390" s="73"/>
      <c r="M390" s="73"/>
      <c r="N390" s="73"/>
      <c r="O390" s="73"/>
      <c r="P390" s="73"/>
      <c r="Q390" s="73"/>
      <c r="R390" s="73"/>
      <c r="S390" s="73"/>
      <c r="T390" s="73"/>
      <c r="U390" s="73"/>
      <c r="V390" s="73"/>
      <c r="W390" s="73"/>
      <c r="X390" s="73"/>
      <c r="Y390" s="73"/>
      <c r="Z390" s="73"/>
      <c r="AA390" s="75"/>
      <c r="AB390" s="75"/>
      <c r="AC390" s="55"/>
      <c r="AD390" s="89"/>
      <c r="AE390" s="89"/>
      <c r="AF390" s="89"/>
      <c r="AG390" s="57"/>
      <c r="AH390" s="58"/>
      <c r="AI390" s="49"/>
      <c r="AK390" s="41"/>
    </row>
    <row r="391" spans="1:38" ht="21">
      <c r="A391" s="32" t="s">
        <v>2284</v>
      </c>
      <c r="B391" s="50" t="s">
        <v>15</v>
      </c>
      <c r="C391" s="51" t="s">
        <v>428</v>
      </c>
      <c r="D391" s="52" t="s">
        <v>739</v>
      </c>
      <c r="E391" s="73"/>
      <c r="F391" s="73"/>
      <c r="G391" s="73"/>
      <c r="H391" s="73"/>
      <c r="I391" s="73"/>
      <c r="J391" s="73"/>
      <c r="K391" s="73"/>
      <c r="L391" s="73"/>
      <c r="M391" s="73"/>
      <c r="N391" s="73"/>
      <c r="O391" s="73"/>
      <c r="P391" s="73"/>
      <c r="Q391" s="73"/>
      <c r="R391" s="73"/>
      <c r="S391" s="73"/>
      <c r="T391" s="73"/>
      <c r="U391" s="73"/>
      <c r="V391" s="73"/>
      <c r="W391" s="73"/>
      <c r="X391" s="73"/>
      <c r="Y391" s="73"/>
      <c r="Z391" s="73"/>
      <c r="AA391" s="75"/>
      <c r="AB391" s="75"/>
      <c r="AC391" s="55"/>
      <c r="AD391" s="89"/>
      <c r="AE391" s="89"/>
      <c r="AF391" s="89"/>
      <c r="AG391" s="57"/>
      <c r="AH391" s="58"/>
      <c r="AI391" s="49"/>
      <c r="AK391" s="41"/>
    </row>
    <row r="392" spans="1:38" ht="66">
      <c r="A392" s="32" t="s">
        <v>2282</v>
      </c>
      <c r="B392" s="126">
        <v>7.15</v>
      </c>
      <c r="C392" s="60" t="s">
        <v>429</v>
      </c>
      <c r="D392" s="52" t="s">
        <v>38</v>
      </c>
      <c r="E392" s="73"/>
      <c r="F392" s="73"/>
      <c r="G392" s="73"/>
      <c r="H392" s="73"/>
      <c r="I392" s="73"/>
      <c r="J392" s="73"/>
      <c r="K392" s="73"/>
      <c r="L392" s="73"/>
      <c r="M392" s="73"/>
      <c r="N392" s="73"/>
      <c r="O392" s="73"/>
      <c r="P392" s="73"/>
      <c r="Q392" s="73"/>
      <c r="R392" s="73"/>
      <c r="S392" s="73"/>
      <c r="T392" s="73"/>
      <c r="U392" s="73"/>
      <c r="V392" s="73"/>
      <c r="W392" s="73"/>
      <c r="X392" s="73"/>
      <c r="Y392" s="73"/>
      <c r="Z392" s="73"/>
      <c r="AA392" s="75"/>
      <c r="AB392" s="75"/>
      <c r="AC392" s="55"/>
      <c r="AD392" s="89"/>
      <c r="AE392" s="89"/>
      <c r="AF392" s="89"/>
      <c r="AG392" s="57"/>
      <c r="AH392" s="58"/>
      <c r="AI392" s="49"/>
      <c r="AK392" s="41"/>
    </row>
    <row r="393" spans="1:38" ht="21">
      <c r="B393" s="126">
        <v>7.16</v>
      </c>
      <c r="C393" s="60" t="s">
        <v>2097</v>
      </c>
      <c r="D393" s="52"/>
      <c r="E393" s="73"/>
      <c r="F393" s="73"/>
      <c r="G393" s="73"/>
      <c r="H393" s="73"/>
      <c r="I393" s="73"/>
      <c r="J393" s="73"/>
      <c r="K393" s="73"/>
      <c r="L393" s="73"/>
      <c r="M393" s="73"/>
      <c r="N393" s="73"/>
      <c r="O393" s="73"/>
      <c r="P393" s="73"/>
      <c r="Q393" s="73"/>
      <c r="R393" s="73"/>
      <c r="S393" s="73"/>
      <c r="T393" s="73"/>
      <c r="U393" s="73"/>
      <c r="V393" s="73"/>
      <c r="W393" s="73"/>
      <c r="X393" s="73"/>
      <c r="Y393" s="73"/>
      <c r="Z393" s="73"/>
      <c r="AA393" s="75"/>
      <c r="AB393" s="75"/>
      <c r="AC393" s="55"/>
      <c r="AD393" s="89"/>
      <c r="AE393" s="89"/>
      <c r="AF393" s="89"/>
      <c r="AG393" s="57"/>
      <c r="AH393" s="58"/>
      <c r="AI393" s="49"/>
      <c r="AK393" s="41"/>
    </row>
    <row r="394" spans="1:38" ht="142.5">
      <c r="A394" s="32" t="s">
        <v>2280</v>
      </c>
      <c r="B394" s="126" t="s">
        <v>14</v>
      </c>
      <c r="C394" s="60" t="s">
        <v>658</v>
      </c>
      <c r="D394" s="52" t="s">
        <v>77</v>
      </c>
      <c r="E394" s="73"/>
      <c r="F394" s="73"/>
      <c r="G394" s="73"/>
      <c r="H394" s="73"/>
      <c r="I394" s="73"/>
      <c r="J394" s="73"/>
      <c r="K394" s="73"/>
      <c r="L394" s="73"/>
      <c r="M394" s="73"/>
      <c r="N394" s="73"/>
      <c r="O394" s="73"/>
      <c r="P394" s="73"/>
      <c r="Q394" s="73"/>
      <c r="R394" s="73"/>
      <c r="S394" s="73"/>
      <c r="T394" s="73"/>
      <c r="U394" s="73"/>
      <c r="V394" s="73"/>
      <c r="W394" s="73"/>
      <c r="X394" s="73"/>
      <c r="Y394" s="73"/>
      <c r="Z394" s="73"/>
      <c r="AA394" s="75"/>
      <c r="AB394" s="75"/>
      <c r="AC394" s="55"/>
      <c r="AD394" s="89"/>
      <c r="AE394" s="89"/>
      <c r="AF394" s="89"/>
      <c r="AG394" s="57"/>
      <c r="AH394" s="58"/>
      <c r="AI394" s="49"/>
      <c r="AK394" s="41"/>
    </row>
    <row r="395" spans="1:38" ht="117">
      <c r="A395" s="32" t="s">
        <v>2281</v>
      </c>
      <c r="B395" s="126" t="s">
        <v>15</v>
      </c>
      <c r="C395" s="60" t="s">
        <v>2548</v>
      </c>
      <c r="D395" s="52" t="s">
        <v>77</v>
      </c>
      <c r="E395" s="73"/>
      <c r="F395" s="73"/>
      <c r="G395" s="73"/>
      <c r="H395" s="73"/>
      <c r="I395" s="73"/>
      <c r="J395" s="73"/>
      <c r="K395" s="73"/>
      <c r="L395" s="73"/>
      <c r="M395" s="73"/>
      <c r="N395" s="73"/>
      <c r="O395" s="73"/>
      <c r="P395" s="73"/>
      <c r="Q395" s="73"/>
      <c r="R395" s="73"/>
      <c r="S395" s="73"/>
      <c r="T395" s="73"/>
      <c r="U395" s="73"/>
      <c r="V395" s="73"/>
      <c r="W395" s="73"/>
      <c r="X395" s="73"/>
      <c r="Y395" s="73"/>
      <c r="Z395" s="73"/>
      <c r="AA395" s="75"/>
      <c r="AB395" s="75"/>
      <c r="AC395" s="55"/>
      <c r="AD395" s="89"/>
      <c r="AE395" s="89"/>
      <c r="AF395" s="89"/>
      <c r="AG395" s="57"/>
      <c r="AH395" s="58"/>
      <c r="AI395" s="49"/>
      <c r="AK395" s="41"/>
    </row>
    <row r="396" spans="1:38" ht="53.25">
      <c r="B396" s="126">
        <v>7.17</v>
      </c>
      <c r="C396" s="60" t="s">
        <v>2708</v>
      </c>
      <c r="D396" s="52" t="s">
        <v>77</v>
      </c>
      <c r="E396" s="73"/>
      <c r="F396" s="73"/>
      <c r="G396" s="73"/>
      <c r="H396" s="73"/>
      <c r="I396" s="73"/>
      <c r="J396" s="73"/>
      <c r="K396" s="73"/>
      <c r="L396" s="73"/>
      <c r="M396" s="73"/>
      <c r="N396" s="73"/>
      <c r="O396" s="73"/>
      <c r="P396" s="73"/>
      <c r="Q396" s="73"/>
      <c r="R396" s="73"/>
      <c r="S396" s="73"/>
      <c r="T396" s="73"/>
      <c r="U396" s="73"/>
      <c r="V396" s="73"/>
      <c r="W396" s="73"/>
      <c r="X396" s="73"/>
      <c r="Y396" s="73"/>
      <c r="Z396" s="73"/>
      <c r="AA396" s="75"/>
      <c r="AB396" s="75"/>
      <c r="AC396" s="55"/>
      <c r="AD396" s="89"/>
      <c r="AE396" s="89"/>
      <c r="AF396" s="89"/>
      <c r="AG396" s="57"/>
      <c r="AH396" s="58"/>
      <c r="AI396" s="49"/>
      <c r="AK396" s="41"/>
    </row>
    <row r="397" spans="1:38" ht="53.25">
      <c r="B397" s="126">
        <v>7.18</v>
      </c>
      <c r="C397" s="60" t="s">
        <v>2709</v>
      </c>
      <c r="D397" s="52" t="s">
        <v>77</v>
      </c>
      <c r="E397" s="73"/>
      <c r="F397" s="73"/>
      <c r="G397" s="73"/>
      <c r="H397" s="73"/>
      <c r="I397" s="73"/>
      <c r="J397" s="73"/>
      <c r="K397" s="73"/>
      <c r="L397" s="73"/>
      <c r="M397" s="73"/>
      <c r="N397" s="73"/>
      <c r="O397" s="73"/>
      <c r="P397" s="73"/>
      <c r="Q397" s="73"/>
      <c r="R397" s="73"/>
      <c r="S397" s="73"/>
      <c r="T397" s="73"/>
      <c r="U397" s="73"/>
      <c r="V397" s="73"/>
      <c r="W397" s="73"/>
      <c r="X397" s="73"/>
      <c r="Y397" s="73"/>
      <c r="Z397" s="73"/>
      <c r="AA397" s="75"/>
      <c r="AB397" s="75"/>
      <c r="AC397" s="55"/>
      <c r="AD397" s="89"/>
      <c r="AE397" s="89"/>
      <c r="AF397" s="89"/>
      <c r="AG397" s="57"/>
      <c r="AH397" s="58"/>
      <c r="AI397" s="49"/>
      <c r="AK397" s="41"/>
    </row>
    <row r="398" spans="1:38" ht="53.25">
      <c r="B398" s="126">
        <v>7.19</v>
      </c>
      <c r="C398" s="60" t="s">
        <v>2710</v>
      </c>
      <c r="D398" s="52" t="s">
        <v>77</v>
      </c>
      <c r="E398" s="73"/>
      <c r="F398" s="73"/>
      <c r="G398" s="73"/>
      <c r="H398" s="73"/>
      <c r="I398" s="73"/>
      <c r="J398" s="73"/>
      <c r="K398" s="73"/>
      <c r="L398" s="73"/>
      <c r="M398" s="73"/>
      <c r="N398" s="73"/>
      <c r="O398" s="73"/>
      <c r="P398" s="73"/>
      <c r="Q398" s="73"/>
      <c r="R398" s="73"/>
      <c r="S398" s="73"/>
      <c r="T398" s="73"/>
      <c r="U398" s="73"/>
      <c r="V398" s="73"/>
      <c r="W398" s="73"/>
      <c r="X398" s="73"/>
      <c r="Y398" s="73"/>
      <c r="Z398" s="73"/>
      <c r="AA398" s="75"/>
      <c r="AB398" s="75"/>
      <c r="AC398" s="55"/>
      <c r="AD398" s="89"/>
      <c r="AE398" s="89"/>
      <c r="AF398" s="89"/>
      <c r="AG398" s="57"/>
      <c r="AH398" s="58"/>
      <c r="AI398" s="49"/>
      <c r="AK398" s="41"/>
    </row>
    <row r="399" spans="1:38" ht="21">
      <c r="A399" s="32" t="s">
        <v>1483</v>
      </c>
      <c r="B399" s="80"/>
      <c r="C399" s="33" t="s">
        <v>1484</v>
      </c>
      <c r="D399" s="80"/>
      <c r="E399" s="81"/>
      <c r="F399" s="81"/>
      <c r="G399" s="81"/>
      <c r="H399" s="81"/>
      <c r="I399" s="81"/>
      <c r="J399" s="81"/>
      <c r="K399" s="81"/>
      <c r="L399" s="81"/>
      <c r="M399" s="81"/>
      <c r="N399" s="81"/>
      <c r="O399" s="81"/>
      <c r="P399" s="81"/>
      <c r="Q399" s="81"/>
      <c r="R399" s="81"/>
      <c r="S399" s="81"/>
      <c r="T399" s="81"/>
      <c r="U399" s="81"/>
      <c r="V399" s="81"/>
      <c r="W399" s="81"/>
      <c r="X399" s="81"/>
      <c r="Y399" s="81"/>
      <c r="Z399" s="81"/>
      <c r="AA399" s="83"/>
      <c r="AB399" s="83"/>
      <c r="AC399" s="55"/>
      <c r="AD399" s="89"/>
      <c r="AE399" s="89"/>
      <c r="AF399" s="89"/>
      <c r="AG399" s="91"/>
      <c r="AH399" s="48"/>
      <c r="AI399" s="49"/>
      <c r="AK399" s="41"/>
      <c r="AL399" s="85"/>
    </row>
    <row r="400" spans="1:38" ht="53.25">
      <c r="A400" s="32" t="s">
        <v>1899</v>
      </c>
      <c r="B400" s="86">
        <v>8.01</v>
      </c>
      <c r="C400" s="87" t="s">
        <v>776</v>
      </c>
      <c r="D400" s="88"/>
      <c r="E400" s="73"/>
      <c r="F400" s="73"/>
      <c r="G400" s="73"/>
      <c r="H400" s="73"/>
      <c r="I400" s="73"/>
      <c r="J400" s="73"/>
      <c r="K400" s="73"/>
      <c r="L400" s="73"/>
      <c r="M400" s="73"/>
      <c r="N400" s="73"/>
      <c r="O400" s="73"/>
      <c r="P400" s="73"/>
      <c r="Q400" s="73"/>
      <c r="R400" s="73"/>
      <c r="S400" s="73"/>
      <c r="T400" s="73"/>
      <c r="U400" s="73"/>
      <c r="V400" s="73"/>
      <c r="W400" s="73"/>
      <c r="X400" s="73"/>
      <c r="Y400" s="73"/>
      <c r="Z400" s="73"/>
      <c r="AA400" s="75"/>
      <c r="AB400" s="75"/>
      <c r="AC400" s="55"/>
      <c r="AD400" s="89"/>
      <c r="AE400" s="89"/>
      <c r="AF400" s="89"/>
      <c r="AG400" s="91"/>
      <c r="AH400" s="48"/>
      <c r="AI400" s="49"/>
      <c r="AK400" s="41"/>
    </row>
    <row r="401" spans="1:37" ht="21">
      <c r="A401" s="32" t="s">
        <v>2102</v>
      </c>
      <c r="B401" s="92" t="s">
        <v>14</v>
      </c>
      <c r="C401" s="93" t="s">
        <v>240</v>
      </c>
      <c r="D401" s="88"/>
      <c r="E401" s="73"/>
      <c r="F401" s="73"/>
      <c r="G401" s="73"/>
      <c r="H401" s="73"/>
      <c r="I401" s="73"/>
      <c r="J401" s="73"/>
      <c r="K401" s="73"/>
      <c r="L401" s="73"/>
      <c r="M401" s="73"/>
      <c r="N401" s="73"/>
      <c r="O401" s="73"/>
      <c r="P401" s="73"/>
      <c r="Q401" s="73"/>
      <c r="R401" s="73"/>
      <c r="S401" s="73"/>
      <c r="T401" s="73"/>
      <c r="U401" s="73"/>
      <c r="V401" s="73"/>
      <c r="W401" s="73"/>
      <c r="X401" s="73"/>
      <c r="Y401" s="73"/>
      <c r="Z401" s="73"/>
      <c r="AA401" s="75"/>
      <c r="AB401" s="75"/>
      <c r="AC401" s="55"/>
      <c r="AD401" s="89"/>
      <c r="AE401" s="89"/>
      <c r="AF401" s="89"/>
      <c r="AG401" s="91"/>
      <c r="AH401" s="48"/>
      <c r="AI401" s="49"/>
      <c r="AK401" s="41"/>
    </row>
    <row r="402" spans="1:37" ht="21">
      <c r="A402" s="32" t="s">
        <v>2103</v>
      </c>
      <c r="B402" s="92" t="s">
        <v>104</v>
      </c>
      <c r="C402" s="93" t="s">
        <v>241</v>
      </c>
      <c r="D402" s="88" t="s">
        <v>81</v>
      </c>
      <c r="E402" s="73"/>
      <c r="F402" s="73"/>
      <c r="G402" s="73"/>
      <c r="H402" s="73"/>
      <c r="I402" s="73"/>
      <c r="J402" s="73"/>
      <c r="K402" s="73"/>
      <c r="L402" s="73"/>
      <c r="M402" s="73"/>
      <c r="N402" s="73"/>
      <c r="O402" s="73"/>
      <c r="P402" s="73"/>
      <c r="Q402" s="73"/>
      <c r="R402" s="73"/>
      <c r="S402" s="73"/>
      <c r="T402" s="73"/>
      <c r="U402" s="73"/>
      <c r="V402" s="73"/>
      <c r="W402" s="73"/>
      <c r="X402" s="73"/>
      <c r="Y402" s="73"/>
      <c r="Z402" s="73"/>
      <c r="AA402" s="75"/>
      <c r="AB402" s="75"/>
      <c r="AC402" s="55"/>
      <c r="AD402" s="89"/>
      <c r="AE402" s="89"/>
      <c r="AF402" s="89"/>
      <c r="AG402" s="57"/>
      <c r="AH402" s="58"/>
      <c r="AI402" s="49"/>
      <c r="AK402" s="41"/>
    </row>
    <row r="403" spans="1:37" ht="21">
      <c r="A403" s="32" t="s">
        <v>2104</v>
      </c>
      <c r="B403" s="92" t="s">
        <v>24</v>
      </c>
      <c r="C403" s="93" t="s">
        <v>242</v>
      </c>
      <c r="D403" s="88" t="s">
        <v>81</v>
      </c>
      <c r="E403" s="73"/>
      <c r="F403" s="73"/>
      <c r="G403" s="73"/>
      <c r="H403" s="73"/>
      <c r="I403" s="73"/>
      <c r="J403" s="73"/>
      <c r="K403" s="73"/>
      <c r="L403" s="73"/>
      <c r="M403" s="73"/>
      <c r="N403" s="73"/>
      <c r="O403" s="73"/>
      <c r="P403" s="73"/>
      <c r="Q403" s="73"/>
      <c r="R403" s="73"/>
      <c r="S403" s="73"/>
      <c r="T403" s="73"/>
      <c r="U403" s="73"/>
      <c r="V403" s="73"/>
      <c r="W403" s="73"/>
      <c r="X403" s="73"/>
      <c r="Y403" s="73"/>
      <c r="Z403" s="73"/>
      <c r="AA403" s="75"/>
      <c r="AB403" s="75"/>
      <c r="AC403" s="55"/>
      <c r="AD403" s="89"/>
      <c r="AE403" s="89"/>
      <c r="AF403" s="89"/>
      <c r="AG403" s="57"/>
      <c r="AH403" s="58"/>
      <c r="AI403" s="49"/>
      <c r="AK403" s="41"/>
    </row>
    <row r="404" spans="1:37" ht="66">
      <c r="A404" s="32" t="s">
        <v>2105</v>
      </c>
      <c r="B404" s="86">
        <v>8.02</v>
      </c>
      <c r="C404" s="87" t="s">
        <v>777</v>
      </c>
      <c r="D404" s="88"/>
      <c r="E404" s="73"/>
      <c r="F404" s="73"/>
      <c r="G404" s="73"/>
      <c r="H404" s="73"/>
      <c r="I404" s="73"/>
      <c r="J404" s="73"/>
      <c r="K404" s="73"/>
      <c r="L404" s="73"/>
      <c r="M404" s="73"/>
      <c r="N404" s="73"/>
      <c r="O404" s="73"/>
      <c r="P404" s="73"/>
      <c r="Q404" s="73"/>
      <c r="R404" s="73"/>
      <c r="S404" s="73"/>
      <c r="T404" s="73"/>
      <c r="U404" s="73"/>
      <c r="V404" s="73"/>
      <c r="W404" s="73"/>
      <c r="X404" s="73"/>
      <c r="Y404" s="73"/>
      <c r="Z404" s="73"/>
      <c r="AA404" s="75"/>
      <c r="AB404" s="75"/>
      <c r="AC404" s="55"/>
      <c r="AD404" s="89"/>
      <c r="AE404" s="89"/>
      <c r="AF404" s="89"/>
      <c r="AG404" s="91"/>
      <c r="AH404" s="48"/>
      <c r="AI404" s="49"/>
      <c r="AK404" s="41"/>
    </row>
    <row r="405" spans="1:37" ht="21">
      <c r="A405" s="32" t="s">
        <v>2106</v>
      </c>
      <c r="B405" s="92" t="s">
        <v>14</v>
      </c>
      <c r="C405" s="93" t="s">
        <v>240</v>
      </c>
      <c r="D405" s="88"/>
      <c r="E405" s="73"/>
      <c r="F405" s="73"/>
      <c r="G405" s="73"/>
      <c r="H405" s="73"/>
      <c r="I405" s="73"/>
      <c r="J405" s="73"/>
      <c r="K405" s="73"/>
      <c r="L405" s="73"/>
      <c r="M405" s="73"/>
      <c r="N405" s="73"/>
      <c r="O405" s="73"/>
      <c r="P405" s="73"/>
      <c r="Q405" s="73"/>
      <c r="R405" s="73"/>
      <c r="S405" s="73"/>
      <c r="T405" s="73"/>
      <c r="U405" s="73"/>
      <c r="V405" s="73"/>
      <c r="W405" s="73"/>
      <c r="X405" s="73"/>
      <c r="Y405" s="73"/>
      <c r="Z405" s="73"/>
      <c r="AA405" s="75"/>
      <c r="AB405" s="75"/>
      <c r="AC405" s="55"/>
      <c r="AD405" s="89"/>
      <c r="AE405" s="89"/>
      <c r="AF405" s="89"/>
      <c r="AG405" s="91"/>
      <c r="AH405" s="48"/>
      <c r="AI405" s="49"/>
      <c r="AK405" s="41"/>
    </row>
    <row r="406" spans="1:37" ht="21">
      <c r="A406" s="32" t="s">
        <v>2107</v>
      </c>
      <c r="B406" s="92" t="s">
        <v>104</v>
      </c>
      <c r="C406" s="93" t="s">
        <v>241</v>
      </c>
      <c r="D406" s="88" t="s">
        <v>81</v>
      </c>
      <c r="E406" s="73"/>
      <c r="F406" s="73"/>
      <c r="G406" s="73"/>
      <c r="H406" s="73"/>
      <c r="I406" s="73"/>
      <c r="J406" s="73"/>
      <c r="K406" s="73"/>
      <c r="L406" s="73"/>
      <c r="M406" s="73"/>
      <c r="N406" s="73"/>
      <c r="O406" s="73"/>
      <c r="P406" s="73"/>
      <c r="Q406" s="73"/>
      <c r="R406" s="73"/>
      <c r="S406" s="73"/>
      <c r="T406" s="73"/>
      <c r="U406" s="73"/>
      <c r="V406" s="73"/>
      <c r="W406" s="73"/>
      <c r="X406" s="73"/>
      <c r="Y406" s="73"/>
      <c r="Z406" s="73"/>
      <c r="AA406" s="75"/>
      <c r="AB406" s="75"/>
      <c r="AC406" s="55"/>
      <c r="AD406" s="89"/>
      <c r="AE406" s="89"/>
      <c r="AF406" s="89"/>
      <c r="AG406" s="57"/>
      <c r="AH406" s="58"/>
      <c r="AI406" s="49"/>
      <c r="AK406" s="41"/>
    </row>
    <row r="407" spans="1:37" ht="21">
      <c r="A407" s="32" t="s">
        <v>2108</v>
      </c>
      <c r="B407" s="92" t="s">
        <v>24</v>
      </c>
      <c r="C407" s="93" t="s">
        <v>242</v>
      </c>
      <c r="D407" s="88" t="s">
        <v>81</v>
      </c>
      <c r="E407" s="73"/>
      <c r="F407" s="73"/>
      <c r="G407" s="73"/>
      <c r="H407" s="73"/>
      <c r="I407" s="73"/>
      <c r="J407" s="73"/>
      <c r="K407" s="73"/>
      <c r="L407" s="73"/>
      <c r="M407" s="73"/>
      <c r="N407" s="73"/>
      <c r="O407" s="73"/>
      <c r="P407" s="73"/>
      <c r="Q407" s="73"/>
      <c r="R407" s="73"/>
      <c r="S407" s="73"/>
      <c r="T407" s="73"/>
      <c r="U407" s="73"/>
      <c r="V407" s="73"/>
      <c r="W407" s="73"/>
      <c r="X407" s="73"/>
      <c r="Y407" s="73"/>
      <c r="Z407" s="73"/>
      <c r="AA407" s="75"/>
      <c r="AB407" s="75"/>
      <c r="AC407" s="55"/>
      <c r="AD407" s="89"/>
      <c r="AE407" s="89"/>
      <c r="AF407" s="89"/>
      <c r="AG407" s="57"/>
      <c r="AH407" s="58"/>
      <c r="AI407" s="49"/>
      <c r="AK407" s="41"/>
    </row>
    <row r="408" spans="1:37" ht="27.75">
      <c r="A408" s="32" t="s">
        <v>2109</v>
      </c>
      <c r="B408" s="86">
        <v>8.0299999999999994</v>
      </c>
      <c r="C408" s="87" t="s">
        <v>778</v>
      </c>
      <c r="D408" s="88"/>
      <c r="E408" s="73"/>
      <c r="F408" s="73"/>
      <c r="G408" s="73"/>
      <c r="H408" s="73"/>
      <c r="I408" s="73"/>
      <c r="J408" s="73"/>
      <c r="K408" s="73"/>
      <c r="L408" s="73"/>
      <c r="M408" s="73"/>
      <c r="N408" s="73"/>
      <c r="O408" s="73"/>
      <c r="P408" s="73"/>
      <c r="Q408" s="73"/>
      <c r="R408" s="73"/>
      <c r="S408" s="73"/>
      <c r="T408" s="73"/>
      <c r="U408" s="73"/>
      <c r="V408" s="73"/>
      <c r="W408" s="73"/>
      <c r="X408" s="73"/>
      <c r="Y408" s="73"/>
      <c r="Z408" s="73"/>
      <c r="AA408" s="75"/>
      <c r="AB408" s="75"/>
      <c r="AC408" s="55"/>
      <c r="AD408" s="89"/>
      <c r="AE408" s="89"/>
      <c r="AF408" s="89"/>
      <c r="AG408" s="91"/>
      <c r="AH408" s="48"/>
      <c r="AI408" s="49"/>
      <c r="AK408" s="41"/>
    </row>
    <row r="409" spans="1:37" ht="27.75">
      <c r="A409" s="32" t="s">
        <v>2110</v>
      </c>
      <c r="B409" s="92" t="s">
        <v>104</v>
      </c>
      <c r="C409" s="93" t="s">
        <v>779</v>
      </c>
      <c r="D409" s="88" t="s">
        <v>243</v>
      </c>
      <c r="E409" s="73"/>
      <c r="F409" s="73"/>
      <c r="G409" s="73"/>
      <c r="H409" s="73"/>
      <c r="I409" s="73"/>
      <c r="J409" s="73"/>
      <c r="K409" s="73"/>
      <c r="L409" s="73"/>
      <c r="M409" s="73"/>
      <c r="N409" s="73"/>
      <c r="O409" s="73"/>
      <c r="P409" s="73"/>
      <c r="Q409" s="73"/>
      <c r="R409" s="73"/>
      <c r="S409" s="73"/>
      <c r="T409" s="73"/>
      <c r="U409" s="73"/>
      <c r="V409" s="73"/>
      <c r="W409" s="73"/>
      <c r="X409" s="73"/>
      <c r="Y409" s="73"/>
      <c r="Z409" s="73"/>
      <c r="AA409" s="75"/>
      <c r="AB409" s="75"/>
      <c r="AC409" s="55"/>
      <c r="AD409" s="89"/>
      <c r="AE409" s="89"/>
      <c r="AF409" s="89"/>
      <c r="AG409" s="57"/>
      <c r="AH409" s="58"/>
      <c r="AI409" s="49"/>
      <c r="AK409" s="41"/>
    </row>
    <row r="410" spans="1:37" ht="27.75">
      <c r="A410" s="32" t="s">
        <v>2111</v>
      </c>
      <c r="B410" s="92" t="s">
        <v>24</v>
      </c>
      <c r="C410" s="93" t="s">
        <v>244</v>
      </c>
      <c r="D410" s="88" t="s">
        <v>243</v>
      </c>
      <c r="E410" s="73"/>
      <c r="F410" s="73"/>
      <c r="G410" s="73"/>
      <c r="H410" s="73"/>
      <c r="I410" s="73"/>
      <c r="J410" s="73"/>
      <c r="K410" s="73"/>
      <c r="L410" s="73"/>
      <c r="M410" s="73"/>
      <c r="N410" s="73"/>
      <c r="O410" s="73"/>
      <c r="P410" s="73"/>
      <c r="Q410" s="73"/>
      <c r="R410" s="73"/>
      <c r="S410" s="73"/>
      <c r="T410" s="73"/>
      <c r="U410" s="73"/>
      <c r="V410" s="73"/>
      <c r="W410" s="73"/>
      <c r="X410" s="73"/>
      <c r="Y410" s="73"/>
      <c r="Z410" s="73"/>
      <c r="AA410" s="75"/>
      <c r="AB410" s="75"/>
      <c r="AC410" s="55"/>
      <c r="AD410" s="89"/>
      <c r="AE410" s="89"/>
      <c r="AF410" s="89"/>
      <c r="AG410" s="57"/>
      <c r="AH410" s="58"/>
      <c r="AI410" s="49"/>
      <c r="AK410" s="41"/>
    </row>
    <row r="411" spans="1:37" ht="21">
      <c r="A411" s="32" t="s">
        <v>1907</v>
      </c>
      <c r="B411" s="86">
        <v>8.0399999999999991</v>
      </c>
      <c r="C411" s="87" t="s">
        <v>2100</v>
      </c>
      <c r="D411" s="88"/>
      <c r="E411" s="73"/>
      <c r="F411" s="73"/>
      <c r="G411" s="73"/>
      <c r="H411" s="73"/>
      <c r="I411" s="73"/>
      <c r="J411" s="73"/>
      <c r="K411" s="73"/>
      <c r="L411" s="73"/>
      <c r="M411" s="73"/>
      <c r="N411" s="73"/>
      <c r="O411" s="73"/>
      <c r="P411" s="73"/>
      <c r="Q411" s="73"/>
      <c r="R411" s="73"/>
      <c r="S411" s="73"/>
      <c r="T411" s="73"/>
      <c r="U411" s="73"/>
      <c r="V411" s="73"/>
      <c r="W411" s="73"/>
      <c r="X411" s="73"/>
      <c r="Y411" s="73"/>
      <c r="Z411" s="73"/>
      <c r="AA411" s="75"/>
      <c r="AB411" s="75"/>
      <c r="AC411" s="55"/>
      <c r="AD411" s="89"/>
      <c r="AE411" s="89"/>
      <c r="AF411" s="89"/>
      <c r="AG411" s="91"/>
      <c r="AH411" s="48"/>
      <c r="AI411" s="49"/>
      <c r="AK411" s="41"/>
    </row>
    <row r="412" spans="1:37" ht="91.5">
      <c r="A412" s="32" t="s">
        <v>2098</v>
      </c>
      <c r="B412" s="86" t="s">
        <v>2098</v>
      </c>
      <c r="C412" s="87" t="s">
        <v>2099</v>
      </c>
      <c r="D412" s="88"/>
      <c r="E412" s="73"/>
      <c r="F412" s="73"/>
      <c r="G412" s="73"/>
      <c r="H412" s="73"/>
      <c r="I412" s="73"/>
      <c r="J412" s="73"/>
      <c r="K412" s="73"/>
      <c r="L412" s="73"/>
      <c r="M412" s="73"/>
      <c r="N412" s="73"/>
      <c r="O412" s="73"/>
      <c r="P412" s="73"/>
      <c r="Q412" s="73"/>
      <c r="R412" s="73"/>
      <c r="S412" s="73"/>
      <c r="T412" s="73"/>
      <c r="U412" s="73"/>
      <c r="V412" s="73"/>
      <c r="W412" s="73"/>
      <c r="X412" s="73"/>
      <c r="Y412" s="73"/>
      <c r="Z412" s="73"/>
      <c r="AA412" s="75"/>
      <c r="AB412" s="75"/>
      <c r="AC412" s="55"/>
      <c r="AD412" s="89"/>
      <c r="AE412" s="89"/>
      <c r="AF412" s="89"/>
      <c r="AG412" s="91"/>
      <c r="AH412" s="48"/>
      <c r="AI412" s="49"/>
      <c r="AK412" s="41"/>
    </row>
    <row r="413" spans="1:37" ht="21">
      <c r="A413" s="32" t="s">
        <v>2112</v>
      </c>
      <c r="B413" s="92" t="s">
        <v>245</v>
      </c>
      <c r="C413" s="93" t="s">
        <v>759</v>
      </c>
      <c r="D413" s="88" t="s">
        <v>33</v>
      </c>
      <c r="E413" s="73"/>
      <c r="F413" s="73"/>
      <c r="G413" s="73"/>
      <c r="H413" s="73"/>
      <c r="I413" s="73"/>
      <c r="J413" s="73"/>
      <c r="K413" s="73"/>
      <c r="L413" s="73"/>
      <c r="M413" s="73"/>
      <c r="N413" s="73"/>
      <c r="O413" s="73"/>
      <c r="P413" s="73"/>
      <c r="Q413" s="73"/>
      <c r="R413" s="73"/>
      <c r="S413" s="73"/>
      <c r="T413" s="73"/>
      <c r="U413" s="73"/>
      <c r="V413" s="73"/>
      <c r="W413" s="73"/>
      <c r="X413" s="73"/>
      <c r="Y413" s="73"/>
      <c r="Z413" s="73"/>
      <c r="AA413" s="75"/>
      <c r="AB413" s="75"/>
      <c r="AC413" s="55"/>
      <c r="AD413" s="89"/>
      <c r="AE413" s="89"/>
      <c r="AF413" s="89"/>
      <c r="AG413" s="57"/>
      <c r="AH413" s="58"/>
      <c r="AI413" s="49"/>
      <c r="AK413" s="41"/>
    </row>
    <row r="414" spans="1:37" ht="21">
      <c r="A414" s="32" t="s">
        <v>2113</v>
      </c>
      <c r="B414" s="92" t="s">
        <v>246</v>
      </c>
      <c r="C414" s="93" t="s">
        <v>5</v>
      </c>
      <c r="D414" s="88" t="s">
        <v>33</v>
      </c>
      <c r="E414" s="73"/>
      <c r="F414" s="73"/>
      <c r="G414" s="73"/>
      <c r="H414" s="73"/>
      <c r="I414" s="73"/>
      <c r="J414" s="73"/>
      <c r="K414" s="73"/>
      <c r="L414" s="73"/>
      <c r="M414" s="73"/>
      <c r="N414" s="73"/>
      <c r="O414" s="73"/>
      <c r="P414" s="73"/>
      <c r="Q414" s="73"/>
      <c r="R414" s="73"/>
      <c r="S414" s="73"/>
      <c r="T414" s="73"/>
      <c r="U414" s="73"/>
      <c r="V414" s="73"/>
      <c r="W414" s="73"/>
      <c r="X414" s="73"/>
      <c r="Y414" s="73"/>
      <c r="Z414" s="73"/>
      <c r="AA414" s="75"/>
      <c r="AB414" s="75"/>
      <c r="AC414" s="55"/>
      <c r="AD414" s="89"/>
      <c r="AE414" s="89"/>
      <c r="AF414" s="89"/>
      <c r="AG414" s="57"/>
      <c r="AH414" s="58"/>
      <c r="AI414" s="49"/>
      <c r="AK414" s="41"/>
    </row>
    <row r="415" spans="1:37" ht="21">
      <c r="A415" s="32" t="s">
        <v>2114</v>
      </c>
      <c r="B415" s="92" t="s">
        <v>247</v>
      </c>
      <c r="C415" s="93" t="s">
        <v>760</v>
      </c>
      <c r="D415" s="88" t="s">
        <v>33</v>
      </c>
      <c r="E415" s="73"/>
      <c r="F415" s="73"/>
      <c r="G415" s="73"/>
      <c r="H415" s="73"/>
      <c r="I415" s="73"/>
      <c r="J415" s="73"/>
      <c r="K415" s="73"/>
      <c r="L415" s="73"/>
      <c r="M415" s="73"/>
      <c r="N415" s="73"/>
      <c r="O415" s="73"/>
      <c r="P415" s="73"/>
      <c r="Q415" s="73"/>
      <c r="R415" s="73"/>
      <c r="S415" s="73"/>
      <c r="T415" s="73"/>
      <c r="U415" s="73"/>
      <c r="V415" s="73"/>
      <c r="W415" s="73"/>
      <c r="X415" s="73"/>
      <c r="Y415" s="73"/>
      <c r="Z415" s="73"/>
      <c r="AA415" s="75"/>
      <c r="AB415" s="75"/>
      <c r="AC415" s="55"/>
      <c r="AD415" s="89"/>
      <c r="AE415" s="89"/>
      <c r="AF415" s="89"/>
      <c r="AG415" s="57"/>
      <c r="AH415" s="58"/>
      <c r="AI415" s="49"/>
      <c r="AK415" s="41"/>
    </row>
    <row r="416" spans="1:37" ht="21">
      <c r="A416" s="32" t="s">
        <v>2115</v>
      </c>
      <c r="B416" s="92" t="s">
        <v>248</v>
      </c>
      <c r="C416" s="93" t="s">
        <v>249</v>
      </c>
      <c r="D416" s="88" t="s">
        <v>33</v>
      </c>
      <c r="E416" s="73"/>
      <c r="F416" s="73"/>
      <c r="G416" s="73"/>
      <c r="H416" s="73"/>
      <c r="I416" s="73"/>
      <c r="J416" s="73"/>
      <c r="K416" s="73"/>
      <c r="L416" s="73"/>
      <c r="M416" s="73"/>
      <c r="N416" s="73"/>
      <c r="O416" s="73"/>
      <c r="P416" s="73"/>
      <c r="Q416" s="73"/>
      <c r="R416" s="73"/>
      <c r="S416" s="73"/>
      <c r="T416" s="73"/>
      <c r="U416" s="73"/>
      <c r="V416" s="73"/>
      <c r="W416" s="73"/>
      <c r="X416" s="73"/>
      <c r="Y416" s="73"/>
      <c r="Z416" s="73"/>
      <c r="AA416" s="75"/>
      <c r="AB416" s="75"/>
      <c r="AC416" s="55"/>
      <c r="AD416" s="89"/>
      <c r="AE416" s="89"/>
      <c r="AF416" s="89"/>
      <c r="AG416" s="57"/>
      <c r="AH416" s="58"/>
      <c r="AI416" s="49"/>
      <c r="AK416" s="41"/>
    </row>
    <row r="417" spans="1:37" ht="21">
      <c r="A417" s="32" t="s">
        <v>2116</v>
      </c>
      <c r="B417" s="92" t="s">
        <v>250</v>
      </c>
      <c r="C417" s="93" t="s">
        <v>761</v>
      </c>
      <c r="D417" s="88" t="s">
        <v>33</v>
      </c>
      <c r="E417" s="73"/>
      <c r="F417" s="73"/>
      <c r="G417" s="73"/>
      <c r="H417" s="73"/>
      <c r="I417" s="73"/>
      <c r="J417" s="73"/>
      <c r="K417" s="73"/>
      <c r="L417" s="73"/>
      <c r="M417" s="73"/>
      <c r="N417" s="73"/>
      <c r="O417" s="73"/>
      <c r="P417" s="73"/>
      <c r="Q417" s="73"/>
      <c r="R417" s="73"/>
      <c r="S417" s="73"/>
      <c r="T417" s="73"/>
      <c r="U417" s="73"/>
      <c r="V417" s="73"/>
      <c r="W417" s="73"/>
      <c r="X417" s="73"/>
      <c r="Y417" s="73"/>
      <c r="Z417" s="73"/>
      <c r="AA417" s="75"/>
      <c r="AB417" s="75"/>
      <c r="AC417" s="55"/>
      <c r="AD417" s="89"/>
      <c r="AE417" s="89"/>
      <c r="AF417" s="89"/>
      <c r="AG417" s="57"/>
      <c r="AH417" s="58"/>
      <c r="AI417" s="49"/>
      <c r="AK417" s="41"/>
    </row>
    <row r="418" spans="1:37" ht="21">
      <c r="A418" s="32" t="s">
        <v>2117</v>
      </c>
      <c r="B418" s="92" t="s">
        <v>251</v>
      </c>
      <c r="C418" s="93" t="s">
        <v>762</v>
      </c>
      <c r="D418" s="88" t="s">
        <v>33</v>
      </c>
      <c r="E418" s="73"/>
      <c r="F418" s="73"/>
      <c r="G418" s="73"/>
      <c r="H418" s="73"/>
      <c r="I418" s="73"/>
      <c r="J418" s="73"/>
      <c r="K418" s="73"/>
      <c r="L418" s="73"/>
      <c r="M418" s="73"/>
      <c r="N418" s="73"/>
      <c r="O418" s="73"/>
      <c r="P418" s="73"/>
      <c r="Q418" s="73"/>
      <c r="R418" s="73"/>
      <c r="S418" s="73"/>
      <c r="T418" s="73"/>
      <c r="U418" s="73"/>
      <c r="V418" s="73"/>
      <c r="W418" s="73"/>
      <c r="X418" s="73"/>
      <c r="Y418" s="73"/>
      <c r="Z418" s="73"/>
      <c r="AA418" s="75"/>
      <c r="AB418" s="75"/>
      <c r="AC418" s="55"/>
      <c r="AD418" s="89"/>
      <c r="AE418" s="89"/>
      <c r="AF418" s="89"/>
      <c r="AG418" s="57"/>
      <c r="AH418" s="58"/>
      <c r="AI418" s="49"/>
      <c r="AK418" s="41"/>
    </row>
    <row r="419" spans="1:37" ht="21">
      <c r="A419" s="32" t="s">
        <v>2118</v>
      </c>
      <c r="B419" s="92" t="s">
        <v>252</v>
      </c>
      <c r="C419" s="93" t="s">
        <v>763</v>
      </c>
      <c r="D419" s="88" t="s">
        <v>33</v>
      </c>
      <c r="E419" s="73"/>
      <c r="F419" s="73"/>
      <c r="G419" s="73"/>
      <c r="H419" s="73"/>
      <c r="I419" s="73"/>
      <c r="J419" s="73"/>
      <c r="K419" s="73"/>
      <c r="L419" s="73"/>
      <c r="M419" s="73"/>
      <c r="N419" s="73"/>
      <c r="O419" s="73"/>
      <c r="P419" s="73"/>
      <c r="Q419" s="73"/>
      <c r="R419" s="73"/>
      <c r="S419" s="73"/>
      <c r="T419" s="73"/>
      <c r="U419" s="73"/>
      <c r="V419" s="73"/>
      <c r="W419" s="73"/>
      <c r="X419" s="73"/>
      <c r="Y419" s="73"/>
      <c r="Z419" s="73"/>
      <c r="AA419" s="75"/>
      <c r="AB419" s="75"/>
      <c r="AC419" s="55"/>
      <c r="AD419" s="89"/>
      <c r="AE419" s="89"/>
      <c r="AF419" s="89"/>
      <c r="AG419" s="57"/>
      <c r="AH419" s="58"/>
      <c r="AI419" s="49"/>
      <c r="AK419" s="41"/>
    </row>
    <row r="420" spans="1:37" ht="21">
      <c r="A420" s="32" t="s">
        <v>2119</v>
      </c>
      <c r="B420" s="92" t="s">
        <v>253</v>
      </c>
      <c r="C420" s="93" t="s">
        <v>6</v>
      </c>
      <c r="D420" s="88" t="s">
        <v>33</v>
      </c>
      <c r="E420" s="73"/>
      <c r="F420" s="73"/>
      <c r="G420" s="73"/>
      <c r="H420" s="73"/>
      <c r="I420" s="73"/>
      <c r="J420" s="73"/>
      <c r="K420" s="73"/>
      <c r="L420" s="73"/>
      <c r="M420" s="73"/>
      <c r="N420" s="73"/>
      <c r="O420" s="73"/>
      <c r="P420" s="73"/>
      <c r="Q420" s="73"/>
      <c r="R420" s="73"/>
      <c r="S420" s="73"/>
      <c r="T420" s="73"/>
      <c r="U420" s="73"/>
      <c r="V420" s="73"/>
      <c r="W420" s="73"/>
      <c r="X420" s="73"/>
      <c r="Y420" s="73"/>
      <c r="Z420" s="73"/>
      <c r="AA420" s="75"/>
      <c r="AB420" s="75"/>
      <c r="AC420" s="55"/>
      <c r="AD420" s="89"/>
      <c r="AE420" s="89"/>
      <c r="AF420" s="89"/>
      <c r="AG420" s="57"/>
      <c r="AH420" s="58"/>
      <c r="AI420" s="49"/>
      <c r="AK420" s="41"/>
    </row>
    <row r="421" spans="1:37" ht="21">
      <c r="A421" s="32" t="s">
        <v>2120</v>
      </c>
      <c r="B421" s="92" t="s">
        <v>254</v>
      </c>
      <c r="C421" s="93" t="s">
        <v>764</v>
      </c>
      <c r="D421" s="88" t="s">
        <v>33</v>
      </c>
      <c r="E421" s="73"/>
      <c r="F421" s="73"/>
      <c r="G421" s="73"/>
      <c r="H421" s="73"/>
      <c r="I421" s="73"/>
      <c r="J421" s="73"/>
      <c r="K421" s="73"/>
      <c r="L421" s="73"/>
      <c r="M421" s="73"/>
      <c r="N421" s="73"/>
      <c r="O421" s="73"/>
      <c r="P421" s="73"/>
      <c r="Q421" s="73"/>
      <c r="R421" s="73"/>
      <c r="S421" s="73"/>
      <c r="T421" s="73"/>
      <c r="U421" s="73"/>
      <c r="V421" s="73"/>
      <c r="W421" s="73"/>
      <c r="X421" s="73"/>
      <c r="Y421" s="73"/>
      <c r="Z421" s="73"/>
      <c r="AA421" s="75"/>
      <c r="AB421" s="75"/>
      <c r="AC421" s="55"/>
      <c r="AD421" s="89"/>
      <c r="AE421" s="89"/>
      <c r="AF421" s="89"/>
      <c r="AG421" s="57"/>
      <c r="AH421" s="58"/>
      <c r="AI421" s="49"/>
      <c r="AK421" s="41"/>
    </row>
    <row r="422" spans="1:37" ht="21">
      <c r="A422" s="32" t="s">
        <v>2121</v>
      </c>
      <c r="B422" s="92" t="s">
        <v>255</v>
      </c>
      <c r="C422" s="93" t="s">
        <v>256</v>
      </c>
      <c r="D422" s="88" t="s">
        <v>33</v>
      </c>
      <c r="E422" s="73"/>
      <c r="F422" s="73"/>
      <c r="G422" s="73"/>
      <c r="H422" s="73"/>
      <c r="I422" s="73"/>
      <c r="J422" s="73"/>
      <c r="K422" s="73"/>
      <c r="L422" s="73"/>
      <c r="M422" s="73"/>
      <c r="N422" s="73"/>
      <c r="O422" s="73"/>
      <c r="P422" s="73"/>
      <c r="Q422" s="73"/>
      <c r="R422" s="73"/>
      <c r="S422" s="73"/>
      <c r="T422" s="73"/>
      <c r="U422" s="73"/>
      <c r="V422" s="73"/>
      <c r="W422" s="73"/>
      <c r="X422" s="73"/>
      <c r="Y422" s="73"/>
      <c r="Z422" s="73"/>
      <c r="AA422" s="75"/>
      <c r="AB422" s="75"/>
      <c r="AC422" s="55"/>
      <c r="AD422" s="89"/>
      <c r="AE422" s="89"/>
      <c r="AF422" s="89"/>
      <c r="AG422" s="57"/>
      <c r="AH422" s="58"/>
      <c r="AI422" s="49"/>
      <c r="AK422" s="41"/>
    </row>
    <row r="423" spans="1:37" ht="21">
      <c r="A423" s="32" t="s">
        <v>2122</v>
      </c>
      <c r="B423" s="92" t="s">
        <v>257</v>
      </c>
      <c r="C423" s="93" t="s">
        <v>765</v>
      </c>
      <c r="D423" s="88" t="s">
        <v>33</v>
      </c>
      <c r="E423" s="73"/>
      <c r="F423" s="73"/>
      <c r="G423" s="73"/>
      <c r="H423" s="73"/>
      <c r="I423" s="73"/>
      <c r="J423" s="73"/>
      <c r="K423" s="73"/>
      <c r="L423" s="73"/>
      <c r="M423" s="73"/>
      <c r="N423" s="73"/>
      <c r="O423" s="73"/>
      <c r="P423" s="73"/>
      <c r="Q423" s="73"/>
      <c r="R423" s="73"/>
      <c r="S423" s="73"/>
      <c r="T423" s="73"/>
      <c r="U423" s="73"/>
      <c r="V423" s="73"/>
      <c r="W423" s="73"/>
      <c r="X423" s="73"/>
      <c r="Y423" s="73"/>
      <c r="Z423" s="73"/>
      <c r="AA423" s="75"/>
      <c r="AB423" s="75"/>
      <c r="AC423" s="55"/>
      <c r="AD423" s="89"/>
      <c r="AE423" s="89"/>
      <c r="AF423" s="89"/>
      <c r="AG423" s="57"/>
      <c r="AH423" s="58"/>
      <c r="AI423" s="49"/>
      <c r="AK423" s="41"/>
    </row>
    <row r="424" spans="1:37" ht="21">
      <c r="A424" s="32" t="s">
        <v>2123</v>
      </c>
      <c r="B424" s="92" t="s">
        <v>258</v>
      </c>
      <c r="C424" s="93" t="s">
        <v>259</v>
      </c>
      <c r="D424" s="88" t="s">
        <v>33</v>
      </c>
      <c r="E424" s="73"/>
      <c r="F424" s="73"/>
      <c r="G424" s="73"/>
      <c r="H424" s="73"/>
      <c r="I424" s="73"/>
      <c r="J424" s="73"/>
      <c r="K424" s="73"/>
      <c r="L424" s="73"/>
      <c r="M424" s="73"/>
      <c r="N424" s="73"/>
      <c r="O424" s="73"/>
      <c r="P424" s="73"/>
      <c r="Q424" s="73"/>
      <c r="R424" s="73"/>
      <c r="S424" s="73"/>
      <c r="T424" s="73"/>
      <c r="U424" s="73"/>
      <c r="V424" s="73"/>
      <c r="W424" s="73"/>
      <c r="X424" s="73"/>
      <c r="Y424" s="73"/>
      <c r="Z424" s="73"/>
      <c r="AA424" s="75"/>
      <c r="AB424" s="75"/>
      <c r="AC424" s="55"/>
      <c r="AD424" s="89"/>
      <c r="AE424" s="89"/>
      <c r="AF424" s="89"/>
      <c r="AG424" s="57"/>
      <c r="AH424" s="58"/>
      <c r="AI424" s="49"/>
      <c r="AK424" s="41"/>
    </row>
    <row r="425" spans="1:37" ht="21">
      <c r="A425" s="32" t="s">
        <v>2124</v>
      </c>
      <c r="B425" s="92" t="s">
        <v>260</v>
      </c>
      <c r="C425" s="93" t="s">
        <v>261</v>
      </c>
      <c r="D425" s="88" t="s">
        <v>33</v>
      </c>
      <c r="E425" s="73"/>
      <c r="F425" s="73"/>
      <c r="G425" s="73"/>
      <c r="H425" s="73"/>
      <c r="I425" s="73"/>
      <c r="J425" s="73"/>
      <c r="K425" s="73"/>
      <c r="L425" s="73"/>
      <c r="M425" s="73"/>
      <c r="N425" s="73"/>
      <c r="O425" s="73"/>
      <c r="P425" s="73"/>
      <c r="Q425" s="73"/>
      <c r="R425" s="73"/>
      <c r="S425" s="73"/>
      <c r="T425" s="73"/>
      <c r="U425" s="73"/>
      <c r="V425" s="73"/>
      <c r="W425" s="73"/>
      <c r="X425" s="73"/>
      <c r="Y425" s="73"/>
      <c r="Z425" s="73"/>
      <c r="AA425" s="75"/>
      <c r="AB425" s="75"/>
      <c r="AC425" s="55"/>
      <c r="AD425" s="89"/>
      <c r="AE425" s="89"/>
      <c r="AF425" s="89"/>
      <c r="AG425" s="57"/>
      <c r="AH425" s="58"/>
      <c r="AI425" s="49"/>
      <c r="AK425" s="41"/>
    </row>
    <row r="426" spans="1:37" ht="21">
      <c r="A426" s="32" t="s">
        <v>2125</v>
      </c>
      <c r="B426" s="92" t="s">
        <v>262</v>
      </c>
      <c r="C426" s="93" t="s">
        <v>766</v>
      </c>
      <c r="D426" s="88" t="s">
        <v>33</v>
      </c>
      <c r="E426" s="73"/>
      <c r="F426" s="73"/>
      <c r="G426" s="73"/>
      <c r="H426" s="73"/>
      <c r="I426" s="73"/>
      <c r="J426" s="73"/>
      <c r="K426" s="73"/>
      <c r="L426" s="73"/>
      <c r="M426" s="73"/>
      <c r="N426" s="73"/>
      <c r="O426" s="73"/>
      <c r="P426" s="73"/>
      <c r="Q426" s="73"/>
      <c r="R426" s="73"/>
      <c r="S426" s="73"/>
      <c r="T426" s="73"/>
      <c r="U426" s="73"/>
      <c r="V426" s="73"/>
      <c r="W426" s="73"/>
      <c r="X426" s="73"/>
      <c r="Y426" s="73"/>
      <c r="Z426" s="73"/>
      <c r="AA426" s="75"/>
      <c r="AB426" s="75"/>
      <c r="AC426" s="55"/>
      <c r="AD426" s="89"/>
      <c r="AE426" s="89"/>
      <c r="AF426" s="89"/>
      <c r="AG426" s="57"/>
      <c r="AH426" s="58"/>
      <c r="AI426" s="49"/>
      <c r="AK426" s="41"/>
    </row>
    <row r="427" spans="1:37" ht="21">
      <c r="A427" s="32" t="s">
        <v>2126</v>
      </c>
      <c r="B427" s="92" t="s">
        <v>263</v>
      </c>
      <c r="C427" s="93" t="s">
        <v>264</v>
      </c>
      <c r="D427" s="88" t="s">
        <v>33</v>
      </c>
      <c r="E427" s="73"/>
      <c r="F427" s="73"/>
      <c r="G427" s="73"/>
      <c r="H427" s="73"/>
      <c r="I427" s="73"/>
      <c r="J427" s="73"/>
      <c r="K427" s="73"/>
      <c r="L427" s="73"/>
      <c r="M427" s="73"/>
      <c r="N427" s="73"/>
      <c r="O427" s="73"/>
      <c r="P427" s="73"/>
      <c r="Q427" s="73"/>
      <c r="R427" s="73"/>
      <c r="S427" s="73"/>
      <c r="T427" s="73"/>
      <c r="U427" s="73"/>
      <c r="V427" s="73"/>
      <c r="W427" s="73"/>
      <c r="X427" s="73"/>
      <c r="Y427" s="73"/>
      <c r="Z427" s="73"/>
      <c r="AA427" s="75"/>
      <c r="AB427" s="75"/>
      <c r="AC427" s="55"/>
      <c r="AD427" s="89"/>
      <c r="AE427" s="89"/>
      <c r="AF427" s="89"/>
      <c r="AG427" s="57"/>
      <c r="AH427" s="58"/>
      <c r="AI427" s="49"/>
      <c r="AK427" s="41"/>
    </row>
    <row r="428" spans="1:37" ht="21">
      <c r="A428" s="32" t="s">
        <v>2127</v>
      </c>
      <c r="B428" s="92" t="s">
        <v>265</v>
      </c>
      <c r="C428" s="93" t="s">
        <v>767</v>
      </c>
      <c r="D428" s="88" t="s">
        <v>33</v>
      </c>
      <c r="E428" s="73"/>
      <c r="F428" s="73"/>
      <c r="G428" s="73"/>
      <c r="H428" s="73"/>
      <c r="I428" s="73"/>
      <c r="J428" s="73"/>
      <c r="K428" s="73"/>
      <c r="L428" s="73"/>
      <c r="M428" s="73"/>
      <c r="N428" s="73"/>
      <c r="O428" s="73"/>
      <c r="P428" s="73"/>
      <c r="Q428" s="73"/>
      <c r="R428" s="73"/>
      <c r="S428" s="73"/>
      <c r="T428" s="73"/>
      <c r="U428" s="73"/>
      <c r="V428" s="73"/>
      <c r="W428" s="73"/>
      <c r="X428" s="73"/>
      <c r="Y428" s="73"/>
      <c r="Z428" s="73"/>
      <c r="AA428" s="75"/>
      <c r="AB428" s="75"/>
      <c r="AC428" s="55"/>
      <c r="AD428" s="89"/>
      <c r="AE428" s="89"/>
      <c r="AF428" s="89"/>
      <c r="AG428" s="57"/>
      <c r="AH428" s="58"/>
      <c r="AI428" s="49"/>
      <c r="AK428" s="41"/>
    </row>
    <row r="429" spans="1:37" ht="91.5">
      <c r="B429" s="86" t="s">
        <v>2101</v>
      </c>
      <c r="C429" s="87" t="s">
        <v>2099</v>
      </c>
      <c r="D429" s="88"/>
      <c r="E429" s="73"/>
      <c r="F429" s="73"/>
      <c r="G429" s="73"/>
      <c r="H429" s="73"/>
      <c r="I429" s="73"/>
      <c r="J429" s="73"/>
      <c r="K429" s="73"/>
      <c r="L429" s="73"/>
      <c r="M429" s="73"/>
      <c r="N429" s="73"/>
      <c r="O429" s="73"/>
      <c r="P429" s="73"/>
      <c r="Q429" s="73"/>
      <c r="R429" s="73"/>
      <c r="S429" s="73"/>
      <c r="T429" s="73"/>
      <c r="U429" s="73"/>
      <c r="V429" s="73"/>
      <c r="W429" s="73"/>
      <c r="X429" s="73"/>
      <c r="Y429" s="73"/>
      <c r="Z429" s="73"/>
      <c r="AA429" s="75"/>
      <c r="AB429" s="75"/>
      <c r="AC429" s="55"/>
      <c r="AD429" s="89"/>
      <c r="AE429" s="89"/>
      <c r="AF429" s="89"/>
      <c r="AG429" s="57"/>
      <c r="AH429" s="58"/>
      <c r="AI429" s="49"/>
      <c r="AK429" s="41"/>
    </row>
    <row r="430" spans="1:37" ht="21">
      <c r="A430" s="32" t="s">
        <v>2128</v>
      </c>
      <c r="B430" s="92" t="s">
        <v>245</v>
      </c>
      <c r="C430" s="93" t="s">
        <v>759</v>
      </c>
      <c r="D430" s="88" t="s">
        <v>33</v>
      </c>
      <c r="E430" s="73"/>
      <c r="F430" s="73"/>
      <c r="G430" s="73"/>
      <c r="H430" s="73"/>
      <c r="I430" s="73"/>
      <c r="J430" s="73"/>
      <c r="K430" s="73"/>
      <c r="L430" s="73"/>
      <c r="M430" s="73"/>
      <c r="N430" s="73"/>
      <c r="O430" s="73"/>
      <c r="P430" s="73"/>
      <c r="Q430" s="73"/>
      <c r="R430" s="73"/>
      <c r="S430" s="73"/>
      <c r="T430" s="73"/>
      <c r="U430" s="73"/>
      <c r="V430" s="73"/>
      <c r="W430" s="73"/>
      <c r="X430" s="73"/>
      <c r="Y430" s="73"/>
      <c r="Z430" s="73"/>
      <c r="AA430" s="75"/>
      <c r="AB430" s="75"/>
      <c r="AC430" s="55"/>
      <c r="AD430" s="89"/>
      <c r="AE430" s="89"/>
      <c r="AF430" s="89"/>
      <c r="AG430" s="57"/>
      <c r="AH430" s="58"/>
      <c r="AI430" s="49"/>
      <c r="AK430" s="41"/>
    </row>
    <row r="431" spans="1:37" ht="21">
      <c r="A431" s="32" t="s">
        <v>2129</v>
      </c>
      <c r="B431" s="92" t="s">
        <v>246</v>
      </c>
      <c r="C431" s="93" t="s">
        <v>5</v>
      </c>
      <c r="D431" s="88" t="s">
        <v>33</v>
      </c>
      <c r="E431" s="73"/>
      <c r="F431" s="73"/>
      <c r="G431" s="73"/>
      <c r="H431" s="73"/>
      <c r="I431" s="73"/>
      <c r="J431" s="73"/>
      <c r="K431" s="73"/>
      <c r="L431" s="73"/>
      <c r="M431" s="73"/>
      <c r="N431" s="73"/>
      <c r="O431" s="73"/>
      <c r="P431" s="73"/>
      <c r="Q431" s="73"/>
      <c r="R431" s="73"/>
      <c r="S431" s="73"/>
      <c r="T431" s="73"/>
      <c r="U431" s="73"/>
      <c r="V431" s="73"/>
      <c r="W431" s="73"/>
      <c r="X431" s="73"/>
      <c r="Y431" s="73"/>
      <c r="Z431" s="73"/>
      <c r="AA431" s="75"/>
      <c r="AB431" s="75"/>
      <c r="AC431" s="55"/>
      <c r="AD431" s="89"/>
      <c r="AE431" s="89"/>
      <c r="AF431" s="89"/>
      <c r="AG431" s="57"/>
      <c r="AH431" s="58"/>
      <c r="AI431" s="49"/>
      <c r="AK431" s="41"/>
    </row>
    <row r="432" spans="1:37" ht="21">
      <c r="A432" s="32" t="s">
        <v>2130</v>
      </c>
      <c r="B432" s="92" t="s">
        <v>247</v>
      </c>
      <c r="C432" s="93" t="s">
        <v>760</v>
      </c>
      <c r="D432" s="88" t="s">
        <v>33</v>
      </c>
      <c r="E432" s="73"/>
      <c r="F432" s="73"/>
      <c r="G432" s="73"/>
      <c r="H432" s="73"/>
      <c r="I432" s="73"/>
      <c r="J432" s="73"/>
      <c r="K432" s="73"/>
      <c r="L432" s="73"/>
      <c r="M432" s="73"/>
      <c r="N432" s="73"/>
      <c r="O432" s="73"/>
      <c r="P432" s="73"/>
      <c r="Q432" s="73"/>
      <c r="R432" s="73"/>
      <c r="S432" s="73"/>
      <c r="T432" s="73"/>
      <c r="U432" s="73"/>
      <c r="V432" s="73"/>
      <c r="W432" s="73"/>
      <c r="X432" s="73"/>
      <c r="Y432" s="73"/>
      <c r="Z432" s="73"/>
      <c r="AA432" s="75"/>
      <c r="AB432" s="75"/>
      <c r="AC432" s="55"/>
      <c r="AD432" s="89"/>
      <c r="AE432" s="89"/>
      <c r="AF432" s="89"/>
      <c r="AG432" s="57"/>
      <c r="AH432" s="58"/>
      <c r="AI432" s="49"/>
      <c r="AK432" s="41"/>
    </row>
    <row r="433" spans="1:37" ht="21">
      <c r="A433" s="32" t="s">
        <v>2131</v>
      </c>
      <c r="B433" s="92" t="s">
        <v>248</v>
      </c>
      <c r="C433" s="93" t="s">
        <v>249</v>
      </c>
      <c r="D433" s="88" t="s">
        <v>33</v>
      </c>
      <c r="E433" s="73"/>
      <c r="F433" s="73"/>
      <c r="G433" s="73"/>
      <c r="H433" s="73"/>
      <c r="I433" s="73"/>
      <c r="J433" s="73"/>
      <c r="K433" s="73"/>
      <c r="L433" s="73"/>
      <c r="M433" s="73"/>
      <c r="N433" s="73"/>
      <c r="O433" s="73"/>
      <c r="P433" s="73"/>
      <c r="Q433" s="73"/>
      <c r="R433" s="73"/>
      <c r="S433" s="73"/>
      <c r="T433" s="73"/>
      <c r="U433" s="73"/>
      <c r="V433" s="73"/>
      <c r="W433" s="73"/>
      <c r="X433" s="73"/>
      <c r="Y433" s="73"/>
      <c r="Z433" s="73"/>
      <c r="AA433" s="75"/>
      <c r="AB433" s="75"/>
      <c r="AC433" s="55"/>
      <c r="AD433" s="89"/>
      <c r="AE433" s="89"/>
      <c r="AF433" s="89"/>
      <c r="AG433" s="57"/>
      <c r="AH433" s="58"/>
      <c r="AI433" s="49"/>
      <c r="AK433" s="41"/>
    </row>
    <row r="434" spans="1:37" ht="21">
      <c r="A434" s="32" t="s">
        <v>2132</v>
      </c>
      <c r="B434" s="92" t="s">
        <v>250</v>
      </c>
      <c r="C434" s="93" t="s">
        <v>761</v>
      </c>
      <c r="D434" s="88" t="s">
        <v>33</v>
      </c>
      <c r="E434" s="73"/>
      <c r="F434" s="73"/>
      <c r="G434" s="73"/>
      <c r="H434" s="73"/>
      <c r="I434" s="73"/>
      <c r="J434" s="73"/>
      <c r="K434" s="73"/>
      <c r="L434" s="73"/>
      <c r="M434" s="73"/>
      <c r="N434" s="73"/>
      <c r="O434" s="73"/>
      <c r="P434" s="73"/>
      <c r="Q434" s="73"/>
      <c r="R434" s="73"/>
      <c r="S434" s="73"/>
      <c r="T434" s="73"/>
      <c r="U434" s="73"/>
      <c r="V434" s="73"/>
      <c r="W434" s="73"/>
      <c r="X434" s="73"/>
      <c r="Y434" s="73"/>
      <c r="Z434" s="73"/>
      <c r="AA434" s="75"/>
      <c r="AB434" s="75"/>
      <c r="AC434" s="55"/>
      <c r="AD434" s="89"/>
      <c r="AE434" s="89"/>
      <c r="AF434" s="89"/>
      <c r="AG434" s="57"/>
      <c r="AH434" s="58"/>
      <c r="AI434" s="49"/>
      <c r="AK434" s="41"/>
    </row>
    <row r="435" spans="1:37" ht="21">
      <c r="A435" s="32" t="s">
        <v>2133</v>
      </c>
      <c r="B435" s="92" t="s">
        <v>251</v>
      </c>
      <c r="C435" s="93" t="s">
        <v>762</v>
      </c>
      <c r="D435" s="88" t="s">
        <v>33</v>
      </c>
      <c r="E435" s="73"/>
      <c r="F435" s="73"/>
      <c r="G435" s="73"/>
      <c r="H435" s="73"/>
      <c r="I435" s="73"/>
      <c r="J435" s="73"/>
      <c r="K435" s="73"/>
      <c r="L435" s="73"/>
      <c r="M435" s="73"/>
      <c r="N435" s="73"/>
      <c r="O435" s="73"/>
      <c r="P435" s="73"/>
      <c r="Q435" s="73"/>
      <c r="R435" s="73"/>
      <c r="S435" s="73"/>
      <c r="T435" s="73"/>
      <c r="U435" s="73"/>
      <c r="V435" s="73"/>
      <c r="W435" s="73"/>
      <c r="X435" s="73"/>
      <c r="Y435" s="73"/>
      <c r="Z435" s="73"/>
      <c r="AA435" s="75"/>
      <c r="AB435" s="75"/>
      <c r="AC435" s="55"/>
      <c r="AD435" s="89"/>
      <c r="AE435" s="89"/>
      <c r="AF435" s="89"/>
      <c r="AG435" s="57"/>
      <c r="AH435" s="58"/>
      <c r="AI435" s="49"/>
      <c r="AK435" s="41"/>
    </row>
    <row r="436" spans="1:37" ht="21">
      <c r="A436" s="32" t="s">
        <v>2134</v>
      </c>
      <c r="B436" s="92" t="s">
        <v>252</v>
      </c>
      <c r="C436" s="93" t="s">
        <v>763</v>
      </c>
      <c r="D436" s="88" t="s">
        <v>33</v>
      </c>
      <c r="E436" s="73"/>
      <c r="F436" s="73"/>
      <c r="G436" s="73"/>
      <c r="H436" s="73"/>
      <c r="I436" s="73"/>
      <c r="J436" s="73"/>
      <c r="K436" s="73"/>
      <c r="L436" s="73"/>
      <c r="M436" s="73"/>
      <c r="N436" s="73"/>
      <c r="O436" s="73"/>
      <c r="P436" s="73"/>
      <c r="Q436" s="73"/>
      <c r="R436" s="73"/>
      <c r="S436" s="73"/>
      <c r="T436" s="73"/>
      <c r="U436" s="73"/>
      <c r="V436" s="73"/>
      <c r="W436" s="73"/>
      <c r="X436" s="73"/>
      <c r="Y436" s="73"/>
      <c r="Z436" s="73"/>
      <c r="AA436" s="75"/>
      <c r="AB436" s="75"/>
      <c r="AC436" s="55"/>
      <c r="AD436" s="89"/>
      <c r="AE436" s="89"/>
      <c r="AF436" s="89"/>
      <c r="AG436" s="57"/>
      <c r="AH436" s="58"/>
      <c r="AI436" s="49"/>
      <c r="AK436" s="41"/>
    </row>
    <row r="437" spans="1:37" ht="21">
      <c r="A437" s="32" t="s">
        <v>2135</v>
      </c>
      <c r="B437" s="92" t="s">
        <v>253</v>
      </c>
      <c r="C437" s="93" t="s">
        <v>6</v>
      </c>
      <c r="D437" s="88" t="s">
        <v>33</v>
      </c>
      <c r="E437" s="73"/>
      <c r="F437" s="73"/>
      <c r="G437" s="73"/>
      <c r="H437" s="73"/>
      <c r="I437" s="73"/>
      <c r="J437" s="73"/>
      <c r="K437" s="73"/>
      <c r="L437" s="73"/>
      <c r="M437" s="73"/>
      <c r="N437" s="73"/>
      <c r="O437" s="73"/>
      <c r="P437" s="73"/>
      <c r="Q437" s="73"/>
      <c r="R437" s="73"/>
      <c r="S437" s="73"/>
      <c r="T437" s="73"/>
      <c r="U437" s="73"/>
      <c r="V437" s="73"/>
      <c r="W437" s="73"/>
      <c r="X437" s="73"/>
      <c r="Y437" s="73"/>
      <c r="Z437" s="73"/>
      <c r="AA437" s="75"/>
      <c r="AB437" s="75"/>
      <c r="AC437" s="55"/>
      <c r="AD437" s="89"/>
      <c r="AE437" s="89"/>
      <c r="AF437" s="89"/>
      <c r="AG437" s="57"/>
      <c r="AH437" s="58"/>
      <c r="AI437" s="49"/>
      <c r="AK437" s="41"/>
    </row>
    <row r="438" spans="1:37" ht="21">
      <c r="A438" s="32" t="s">
        <v>2136</v>
      </c>
      <c r="B438" s="92" t="s">
        <v>254</v>
      </c>
      <c r="C438" s="93" t="s">
        <v>764</v>
      </c>
      <c r="D438" s="88" t="s">
        <v>33</v>
      </c>
      <c r="E438" s="73"/>
      <c r="F438" s="73"/>
      <c r="G438" s="73"/>
      <c r="H438" s="73"/>
      <c r="I438" s="73"/>
      <c r="J438" s="73"/>
      <c r="K438" s="73"/>
      <c r="L438" s="73"/>
      <c r="M438" s="73"/>
      <c r="N438" s="73"/>
      <c r="O438" s="73"/>
      <c r="P438" s="73"/>
      <c r="Q438" s="73"/>
      <c r="R438" s="73"/>
      <c r="S438" s="73"/>
      <c r="T438" s="73"/>
      <c r="U438" s="73"/>
      <c r="V438" s="73"/>
      <c r="W438" s="73"/>
      <c r="X438" s="73"/>
      <c r="Y438" s="73"/>
      <c r="Z438" s="73"/>
      <c r="AA438" s="75"/>
      <c r="AB438" s="75"/>
      <c r="AC438" s="55"/>
      <c r="AD438" s="89"/>
      <c r="AE438" s="89"/>
      <c r="AF438" s="89"/>
      <c r="AG438" s="57"/>
      <c r="AH438" s="58"/>
      <c r="AI438" s="49"/>
      <c r="AK438" s="41"/>
    </row>
    <row r="439" spans="1:37" ht="21">
      <c r="A439" s="32" t="s">
        <v>2137</v>
      </c>
      <c r="B439" s="92" t="s">
        <v>255</v>
      </c>
      <c r="C439" s="93" t="s">
        <v>256</v>
      </c>
      <c r="D439" s="88" t="s">
        <v>33</v>
      </c>
      <c r="E439" s="73"/>
      <c r="F439" s="73"/>
      <c r="G439" s="73"/>
      <c r="H439" s="73"/>
      <c r="I439" s="73"/>
      <c r="J439" s="73"/>
      <c r="K439" s="73"/>
      <c r="L439" s="73"/>
      <c r="M439" s="73"/>
      <c r="N439" s="73"/>
      <c r="O439" s="73"/>
      <c r="P439" s="73"/>
      <c r="Q439" s="73"/>
      <c r="R439" s="73"/>
      <c r="S439" s="73"/>
      <c r="T439" s="73"/>
      <c r="U439" s="73"/>
      <c r="V439" s="73"/>
      <c r="W439" s="73"/>
      <c r="X439" s="73"/>
      <c r="Y439" s="73"/>
      <c r="Z439" s="73"/>
      <c r="AA439" s="75"/>
      <c r="AB439" s="75"/>
      <c r="AC439" s="55"/>
      <c r="AD439" s="89"/>
      <c r="AE439" s="89"/>
      <c r="AF439" s="89"/>
      <c r="AG439" s="57"/>
      <c r="AH439" s="58"/>
      <c r="AI439" s="49"/>
      <c r="AK439" s="41"/>
    </row>
    <row r="440" spans="1:37" ht="21">
      <c r="A440" s="32" t="s">
        <v>2138</v>
      </c>
      <c r="B440" s="92" t="s">
        <v>257</v>
      </c>
      <c r="C440" s="93" t="s">
        <v>765</v>
      </c>
      <c r="D440" s="88" t="s">
        <v>33</v>
      </c>
      <c r="E440" s="73"/>
      <c r="F440" s="73"/>
      <c r="G440" s="73"/>
      <c r="H440" s="73"/>
      <c r="I440" s="73"/>
      <c r="J440" s="73"/>
      <c r="K440" s="73"/>
      <c r="L440" s="73"/>
      <c r="M440" s="73"/>
      <c r="N440" s="73"/>
      <c r="O440" s="73"/>
      <c r="P440" s="73"/>
      <c r="Q440" s="73"/>
      <c r="R440" s="73"/>
      <c r="S440" s="73"/>
      <c r="T440" s="73"/>
      <c r="U440" s="73"/>
      <c r="V440" s="73"/>
      <c r="W440" s="73"/>
      <c r="X440" s="73"/>
      <c r="Y440" s="73"/>
      <c r="Z440" s="73"/>
      <c r="AA440" s="75"/>
      <c r="AB440" s="75"/>
      <c r="AC440" s="55"/>
      <c r="AD440" s="89"/>
      <c r="AE440" s="89"/>
      <c r="AF440" s="89"/>
      <c r="AG440" s="57"/>
      <c r="AH440" s="58"/>
      <c r="AI440" s="49"/>
      <c r="AK440" s="41"/>
    </row>
    <row r="441" spans="1:37" ht="21">
      <c r="A441" s="32" t="s">
        <v>2139</v>
      </c>
      <c r="B441" s="92" t="s">
        <v>258</v>
      </c>
      <c r="C441" s="93" t="s">
        <v>259</v>
      </c>
      <c r="D441" s="88" t="s">
        <v>33</v>
      </c>
      <c r="E441" s="73"/>
      <c r="F441" s="73"/>
      <c r="G441" s="73"/>
      <c r="H441" s="73"/>
      <c r="I441" s="73"/>
      <c r="J441" s="73"/>
      <c r="K441" s="73"/>
      <c r="L441" s="73"/>
      <c r="M441" s="73"/>
      <c r="N441" s="73"/>
      <c r="O441" s="73"/>
      <c r="P441" s="73"/>
      <c r="Q441" s="73"/>
      <c r="R441" s="73"/>
      <c r="S441" s="73"/>
      <c r="T441" s="73"/>
      <c r="U441" s="73"/>
      <c r="V441" s="73"/>
      <c r="W441" s="73"/>
      <c r="X441" s="73"/>
      <c r="Y441" s="73"/>
      <c r="Z441" s="73"/>
      <c r="AA441" s="75"/>
      <c r="AB441" s="75"/>
      <c r="AC441" s="55"/>
      <c r="AD441" s="89"/>
      <c r="AE441" s="89"/>
      <c r="AF441" s="89"/>
      <c r="AG441" s="57"/>
      <c r="AH441" s="58"/>
      <c r="AI441" s="49"/>
      <c r="AK441" s="41"/>
    </row>
    <row r="442" spans="1:37" ht="21">
      <c r="A442" s="32" t="s">
        <v>2140</v>
      </c>
      <c r="B442" s="92" t="s">
        <v>260</v>
      </c>
      <c r="C442" s="93" t="s">
        <v>261</v>
      </c>
      <c r="D442" s="88" t="s">
        <v>33</v>
      </c>
      <c r="E442" s="73"/>
      <c r="F442" s="73"/>
      <c r="G442" s="73"/>
      <c r="H442" s="73"/>
      <c r="I442" s="73"/>
      <c r="J442" s="73"/>
      <c r="K442" s="73"/>
      <c r="L442" s="73"/>
      <c r="M442" s="73"/>
      <c r="N442" s="73"/>
      <c r="O442" s="73"/>
      <c r="P442" s="73"/>
      <c r="Q442" s="73"/>
      <c r="R442" s="73"/>
      <c r="S442" s="73"/>
      <c r="T442" s="73"/>
      <c r="U442" s="73"/>
      <c r="V442" s="73"/>
      <c r="W442" s="73"/>
      <c r="X442" s="73"/>
      <c r="Y442" s="73"/>
      <c r="Z442" s="73"/>
      <c r="AA442" s="75"/>
      <c r="AB442" s="75"/>
      <c r="AC442" s="55"/>
      <c r="AD442" s="89"/>
      <c r="AE442" s="89"/>
      <c r="AF442" s="89"/>
      <c r="AG442" s="57"/>
      <c r="AH442" s="58"/>
      <c r="AI442" s="49"/>
      <c r="AK442" s="41"/>
    </row>
    <row r="443" spans="1:37" ht="21">
      <c r="A443" s="32" t="s">
        <v>2141</v>
      </c>
      <c r="B443" s="92" t="s">
        <v>262</v>
      </c>
      <c r="C443" s="93" t="s">
        <v>766</v>
      </c>
      <c r="D443" s="88" t="s">
        <v>33</v>
      </c>
      <c r="E443" s="73"/>
      <c r="F443" s="73"/>
      <c r="G443" s="73"/>
      <c r="H443" s="73"/>
      <c r="I443" s="73"/>
      <c r="J443" s="73"/>
      <c r="K443" s="73"/>
      <c r="L443" s="73"/>
      <c r="M443" s="73"/>
      <c r="N443" s="73"/>
      <c r="O443" s="73"/>
      <c r="P443" s="73"/>
      <c r="Q443" s="73"/>
      <c r="R443" s="73"/>
      <c r="S443" s="73"/>
      <c r="T443" s="73"/>
      <c r="U443" s="73"/>
      <c r="V443" s="73"/>
      <c r="W443" s="73"/>
      <c r="X443" s="73"/>
      <c r="Y443" s="73"/>
      <c r="Z443" s="73"/>
      <c r="AA443" s="75"/>
      <c r="AB443" s="75"/>
      <c r="AC443" s="55"/>
      <c r="AD443" s="89"/>
      <c r="AE443" s="89"/>
      <c r="AF443" s="89"/>
      <c r="AG443" s="57"/>
      <c r="AH443" s="58"/>
      <c r="AI443" s="49"/>
      <c r="AK443" s="41"/>
    </row>
    <row r="444" spans="1:37" ht="21">
      <c r="A444" s="32" t="s">
        <v>2142</v>
      </c>
      <c r="B444" s="92" t="s">
        <v>263</v>
      </c>
      <c r="C444" s="93" t="s">
        <v>264</v>
      </c>
      <c r="D444" s="88" t="s">
        <v>33</v>
      </c>
      <c r="E444" s="73"/>
      <c r="F444" s="73"/>
      <c r="G444" s="73"/>
      <c r="H444" s="73"/>
      <c r="I444" s="73"/>
      <c r="J444" s="73"/>
      <c r="K444" s="73"/>
      <c r="L444" s="73"/>
      <c r="M444" s="73"/>
      <c r="N444" s="73"/>
      <c r="O444" s="73"/>
      <c r="P444" s="73"/>
      <c r="Q444" s="73"/>
      <c r="R444" s="73"/>
      <c r="S444" s="73"/>
      <c r="T444" s="73"/>
      <c r="U444" s="73"/>
      <c r="V444" s="73"/>
      <c r="W444" s="73"/>
      <c r="X444" s="73"/>
      <c r="Y444" s="73"/>
      <c r="Z444" s="73"/>
      <c r="AA444" s="75"/>
      <c r="AB444" s="75"/>
      <c r="AC444" s="55"/>
      <c r="AD444" s="89"/>
      <c r="AE444" s="89"/>
      <c r="AF444" s="89"/>
      <c r="AG444" s="57"/>
      <c r="AH444" s="58"/>
      <c r="AI444" s="49"/>
      <c r="AK444" s="41"/>
    </row>
    <row r="445" spans="1:37" ht="21">
      <c r="A445" s="32" t="s">
        <v>2143</v>
      </c>
      <c r="B445" s="92" t="s">
        <v>265</v>
      </c>
      <c r="C445" s="93" t="s">
        <v>767</v>
      </c>
      <c r="D445" s="88" t="s">
        <v>33</v>
      </c>
      <c r="E445" s="73"/>
      <c r="F445" s="73"/>
      <c r="G445" s="73"/>
      <c r="H445" s="73"/>
      <c r="I445" s="73"/>
      <c r="J445" s="73"/>
      <c r="K445" s="73"/>
      <c r="L445" s="73"/>
      <c r="M445" s="73"/>
      <c r="N445" s="73"/>
      <c r="O445" s="73"/>
      <c r="P445" s="73"/>
      <c r="Q445" s="73"/>
      <c r="R445" s="73"/>
      <c r="S445" s="73"/>
      <c r="T445" s="73"/>
      <c r="U445" s="73"/>
      <c r="V445" s="73"/>
      <c r="W445" s="73"/>
      <c r="X445" s="73"/>
      <c r="Y445" s="73"/>
      <c r="Z445" s="73"/>
      <c r="AA445" s="75"/>
      <c r="AB445" s="75"/>
      <c r="AC445" s="55"/>
      <c r="AD445" s="89"/>
      <c r="AE445" s="89"/>
      <c r="AF445" s="89"/>
      <c r="AG445" s="57"/>
      <c r="AH445" s="58"/>
      <c r="AI445" s="49"/>
      <c r="AK445" s="41"/>
    </row>
    <row r="446" spans="1:37" ht="78.75">
      <c r="A446" s="32" t="s">
        <v>1905</v>
      </c>
      <c r="B446" s="86">
        <v>8.0500000000000007</v>
      </c>
      <c r="C446" s="87" t="s">
        <v>780</v>
      </c>
      <c r="D446" s="88" t="s">
        <v>77</v>
      </c>
      <c r="E446" s="73"/>
      <c r="F446" s="73"/>
      <c r="G446" s="73"/>
      <c r="H446" s="73"/>
      <c r="I446" s="73"/>
      <c r="J446" s="73"/>
      <c r="K446" s="73"/>
      <c r="L446" s="73"/>
      <c r="M446" s="73"/>
      <c r="N446" s="73"/>
      <c r="O446" s="73"/>
      <c r="P446" s="73"/>
      <c r="Q446" s="73"/>
      <c r="R446" s="73"/>
      <c r="S446" s="73"/>
      <c r="T446" s="73"/>
      <c r="U446" s="73"/>
      <c r="V446" s="73"/>
      <c r="W446" s="73"/>
      <c r="X446" s="73"/>
      <c r="Y446" s="73"/>
      <c r="Z446" s="73"/>
      <c r="AA446" s="75"/>
      <c r="AB446" s="75"/>
      <c r="AC446" s="55"/>
      <c r="AD446" s="89"/>
      <c r="AE446" s="89"/>
      <c r="AF446" s="89"/>
      <c r="AG446" s="57"/>
      <c r="AH446" s="58"/>
      <c r="AI446" s="49"/>
      <c r="AK446" s="41"/>
    </row>
    <row r="447" spans="1:37" ht="78.75">
      <c r="A447" s="32" t="s">
        <v>1906</v>
      </c>
      <c r="B447" s="86">
        <v>8.06</v>
      </c>
      <c r="C447" s="87" t="s">
        <v>781</v>
      </c>
      <c r="D447" s="88" t="s">
        <v>77</v>
      </c>
      <c r="E447" s="73"/>
      <c r="F447" s="73"/>
      <c r="G447" s="73"/>
      <c r="H447" s="73"/>
      <c r="I447" s="73"/>
      <c r="J447" s="73"/>
      <c r="K447" s="73"/>
      <c r="L447" s="73"/>
      <c r="M447" s="73"/>
      <c r="N447" s="73"/>
      <c r="O447" s="73"/>
      <c r="P447" s="73"/>
      <c r="Q447" s="73"/>
      <c r="R447" s="73"/>
      <c r="S447" s="73"/>
      <c r="T447" s="73"/>
      <c r="U447" s="73"/>
      <c r="V447" s="73"/>
      <c r="W447" s="73"/>
      <c r="X447" s="73"/>
      <c r="Y447" s="73"/>
      <c r="Z447" s="73"/>
      <c r="AA447" s="75"/>
      <c r="AB447" s="75"/>
      <c r="AC447" s="55"/>
      <c r="AD447" s="89"/>
      <c r="AE447" s="89"/>
      <c r="AF447" s="89"/>
      <c r="AG447" s="57"/>
      <c r="AH447" s="58"/>
      <c r="AI447" s="49"/>
      <c r="AK447" s="41"/>
    </row>
    <row r="448" spans="1:37" ht="66">
      <c r="A448" s="32" t="s">
        <v>1900</v>
      </c>
      <c r="B448" s="86">
        <v>8.07</v>
      </c>
      <c r="C448" s="87" t="s">
        <v>782</v>
      </c>
      <c r="D448" s="128"/>
      <c r="E448" s="90"/>
      <c r="F448" s="90"/>
      <c r="G448" s="90"/>
      <c r="H448" s="90"/>
      <c r="I448" s="90"/>
      <c r="J448" s="90"/>
      <c r="K448" s="90"/>
      <c r="L448" s="90"/>
      <c r="M448" s="90"/>
      <c r="N448" s="90"/>
      <c r="O448" s="90"/>
      <c r="P448" s="90"/>
      <c r="Q448" s="90"/>
      <c r="R448" s="90"/>
      <c r="S448" s="90"/>
      <c r="T448" s="90"/>
      <c r="U448" s="90"/>
      <c r="V448" s="90"/>
      <c r="W448" s="90"/>
      <c r="X448" s="90"/>
      <c r="Y448" s="90"/>
      <c r="Z448" s="90"/>
      <c r="AA448" s="129"/>
      <c r="AB448" s="129"/>
      <c r="AC448" s="55"/>
      <c r="AD448" s="89"/>
      <c r="AE448" s="89"/>
      <c r="AF448" s="89"/>
      <c r="AG448" s="91"/>
      <c r="AH448" s="48"/>
      <c r="AI448" s="49"/>
      <c r="AK448" s="41"/>
    </row>
    <row r="449" spans="1:37" ht="21">
      <c r="A449" s="32" t="s">
        <v>1901</v>
      </c>
      <c r="B449" s="92" t="s">
        <v>14</v>
      </c>
      <c r="C449" s="93" t="s">
        <v>266</v>
      </c>
      <c r="D449" s="88" t="s">
        <v>13</v>
      </c>
      <c r="E449" s="73"/>
      <c r="F449" s="73"/>
      <c r="G449" s="73"/>
      <c r="H449" s="73"/>
      <c r="I449" s="73"/>
      <c r="J449" s="73"/>
      <c r="K449" s="73"/>
      <c r="L449" s="73"/>
      <c r="M449" s="73"/>
      <c r="N449" s="73"/>
      <c r="O449" s="73"/>
      <c r="P449" s="73"/>
      <c r="Q449" s="73"/>
      <c r="R449" s="73"/>
      <c r="S449" s="73"/>
      <c r="T449" s="73"/>
      <c r="U449" s="73"/>
      <c r="V449" s="73"/>
      <c r="W449" s="73"/>
      <c r="X449" s="73"/>
      <c r="Y449" s="73"/>
      <c r="Z449" s="73"/>
      <c r="AA449" s="75"/>
      <c r="AB449" s="75"/>
      <c r="AC449" s="55"/>
      <c r="AD449" s="89"/>
      <c r="AE449" s="89"/>
      <c r="AF449" s="89"/>
      <c r="AG449" s="57"/>
      <c r="AH449" s="58"/>
      <c r="AI449" s="49"/>
      <c r="AK449" s="41"/>
    </row>
    <row r="450" spans="1:37" ht="21">
      <c r="A450" s="32" t="s">
        <v>1902</v>
      </c>
      <c r="B450" s="92" t="s">
        <v>15</v>
      </c>
      <c r="C450" s="93" t="s">
        <v>267</v>
      </c>
      <c r="D450" s="88" t="s">
        <v>204</v>
      </c>
      <c r="E450" s="73"/>
      <c r="F450" s="73"/>
      <c r="G450" s="73"/>
      <c r="H450" s="73"/>
      <c r="I450" s="73"/>
      <c r="J450" s="73"/>
      <c r="K450" s="73"/>
      <c r="L450" s="73"/>
      <c r="M450" s="73"/>
      <c r="N450" s="73"/>
      <c r="O450" s="73"/>
      <c r="P450" s="73"/>
      <c r="Q450" s="73"/>
      <c r="R450" s="73"/>
      <c r="S450" s="73"/>
      <c r="T450" s="73"/>
      <c r="U450" s="73"/>
      <c r="V450" s="73"/>
      <c r="W450" s="73"/>
      <c r="X450" s="73"/>
      <c r="Y450" s="73"/>
      <c r="Z450" s="73"/>
      <c r="AA450" s="75"/>
      <c r="AB450" s="75"/>
      <c r="AC450" s="55"/>
      <c r="AD450" s="89"/>
      <c r="AE450" s="89"/>
      <c r="AF450" s="89"/>
      <c r="AG450" s="57"/>
      <c r="AH450" s="58"/>
      <c r="AI450" s="49"/>
      <c r="AK450" s="41"/>
    </row>
    <row r="451" spans="1:37" ht="27.75">
      <c r="A451" s="32" t="s">
        <v>1903</v>
      </c>
      <c r="B451" s="86">
        <v>8.08</v>
      </c>
      <c r="C451" s="87" t="s">
        <v>783</v>
      </c>
      <c r="D451" s="88" t="s">
        <v>77</v>
      </c>
      <c r="E451" s="73"/>
      <c r="F451" s="73"/>
      <c r="G451" s="73"/>
      <c r="H451" s="73"/>
      <c r="I451" s="73"/>
      <c r="J451" s="73"/>
      <c r="K451" s="73"/>
      <c r="L451" s="73"/>
      <c r="M451" s="73"/>
      <c r="N451" s="73"/>
      <c r="O451" s="73"/>
      <c r="P451" s="73"/>
      <c r="Q451" s="73"/>
      <c r="R451" s="73"/>
      <c r="S451" s="73"/>
      <c r="T451" s="73"/>
      <c r="U451" s="73"/>
      <c r="V451" s="73"/>
      <c r="W451" s="73"/>
      <c r="X451" s="73"/>
      <c r="Y451" s="73"/>
      <c r="Z451" s="73"/>
      <c r="AA451" s="75"/>
      <c r="AB451" s="75"/>
      <c r="AC451" s="55"/>
      <c r="AD451" s="89"/>
      <c r="AE451" s="89"/>
      <c r="AF451" s="89"/>
      <c r="AG451" s="57"/>
      <c r="AH451" s="58"/>
      <c r="AI451" s="49"/>
      <c r="AK451" s="41"/>
    </row>
    <row r="452" spans="1:37" ht="27.75">
      <c r="A452" s="32" t="s">
        <v>1904</v>
      </c>
      <c r="B452" s="86">
        <v>8.09</v>
      </c>
      <c r="C452" s="87" t="s">
        <v>784</v>
      </c>
      <c r="D452" s="88" t="s">
        <v>77</v>
      </c>
      <c r="E452" s="73"/>
      <c r="F452" s="73"/>
      <c r="G452" s="73"/>
      <c r="H452" s="73"/>
      <c r="I452" s="73"/>
      <c r="J452" s="73"/>
      <c r="K452" s="73"/>
      <c r="L452" s="73"/>
      <c r="M452" s="73"/>
      <c r="N452" s="73"/>
      <c r="O452" s="73"/>
      <c r="P452" s="73"/>
      <c r="Q452" s="73"/>
      <c r="R452" s="73"/>
      <c r="S452" s="73"/>
      <c r="T452" s="73"/>
      <c r="U452" s="73"/>
      <c r="V452" s="73"/>
      <c r="W452" s="73"/>
      <c r="X452" s="73"/>
      <c r="Y452" s="73"/>
      <c r="Z452" s="73"/>
      <c r="AA452" s="75"/>
      <c r="AB452" s="75"/>
      <c r="AC452" s="55"/>
      <c r="AD452" s="89"/>
      <c r="AE452" s="89"/>
      <c r="AF452" s="89"/>
      <c r="AG452" s="57"/>
      <c r="AH452" s="58"/>
      <c r="AI452" s="49"/>
      <c r="AK452" s="41"/>
    </row>
    <row r="453" spans="1:37" ht="27.75">
      <c r="A453" s="32" t="s">
        <v>268</v>
      </c>
      <c r="B453" s="101">
        <v>8.1</v>
      </c>
      <c r="C453" s="87" t="s">
        <v>785</v>
      </c>
      <c r="D453" s="88" t="s">
        <v>77</v>
      </c>
      <c r="E453" s="73"/>
      <c r="F453" s="73"/>
      <c r="G453" s="73"/>
      <c r="H453" s="73"/>
      <c r="I453" s="73"/>
      <c r="J453" s="73"/>
      <c r="K453" s="73"/>
      <c r="L453" s="73"/>
      <c r="M453" s="73"/>
      <c r="N453" s="73"/>
      <c r="O453" s="73"/>
      <c r="P453" s="73"/>
      <c r="Q453" s="73"/>
      <c r="R453" s="73"/>
      <c r="S453" s="73"/>
      <c r="T453" s="73"/>
      <c r="U453" s="73"/>
      <c r="V453" s="73"/>
      <c r="W453" s="73"/>
      <c r="X453" s="73"/>
      <c r="Y453" s="73"/>
      <c r="Z453" s="73"/>
      <c r="AA453" s="75"/>
      <c r="AB453" s="75"/>
      <c r="AC453" s="55"/>
      <c r="AD453" s="89"/>
      <c r="AE453" s="89"/>
      <c r="AF453" s="89"/>
      <c r="AG453" s="57"/>
      <c r="AH453" s="58"/>
      <c r="AI453" s="49"/>
      <c r="AK453" s="41"/>
    </row>
    <row r="454" spans="1:37" ht="53.25">
      <c r="A454" s="32" t="s">
        <v>269</v>
      </c>
      <c r="B454" s="86" t="s">
        <v>269</v>
      </c>
      <c r="C454" s="87" t="s">
        <v>786</v>
      </c>
      <c r="D454" s="88"/>
      <c r="E454" s="73"/>
      <c r="F454" s="73"/>
      <c r="G454" s="73"/>
      <c r="H454" s="73"/>
      <c r="I454" s="73"/>
      <c r="J454" s="73"/>
      <c r="K454" s="73"/>
      <c r="L454" s="73"/>
      <c r="M454" s="73"/>
      <c r="N454" s="73"/>
      <c r="O454" s="73"/>
      <c r="P454" s="73"/>
      <c r="Q454" s="73"/>
      <c r="R454" s="73"/>
      <c r="S454" s="73"/>
      <c r="T454" s="73"/>
      <c r="U454" s="73"/>
      <c r="V454" s="73"/>
      <c r="W454" s="73"/>
      <c r="X454" s="73"/>
      <c r="Y454" s="73"/>
      <c r="Z454" s="73"/>
      <c r="AA454" s="75"/>
      <c r="AB454" s="75"/>
      <c r="AC454" s="55"/>
      <c r="AD454" s="89"/>
      <c r="AE454" s="89"/>
      <c r="AF454" s="89"/>
      <c r="AG454" s="91"/>
      <c r="AH454" s="48"/>
      <c r="AI454" s="49"/>
      <c r="AK454" s="41"/>
    </row>
    <row r="455" spans="1:37" ht="21">
      <c r="A455" s="32" t="s">
        <v>983</v>
      </c>
      <c r="B455" s="92" t="s">
        <v>104</v>
      </c>
      <c r="C455" s="93" t="s">
        <v>270</v>
      </c>
      <c r="D455" s="88" t="s">
        <v>77</v>
      </c>
      <c r="E455" s="73"/>
      <c r="F455" s="73"/>
      <c r="G455" s="73"/>
      <c r="H455" s="73"/>
      <c r="I455" s="73"/>
      <c r="J455" s="73"/>
      <c r="K455" s="73"/>
      <c r="L455" s="73"/>
      <c r="M455" s="73"/>
      <c r="N455" s="73"/>
      <c r="O455" s="73"/>
      <c r="P455" s="73"/>
      <c r="Q455" s="73"/>
      <c r="R455" s="73"/>
      <c r="S455" s="73"/>
      <c r="T455" s="73"/>
      <c r="U455" s="73"/>
      <c r="V455" s="73"/>
      <c r="W455" s="73"/>
      <c r="X455" s="73"/>
      <c r="Y455" s="73"/>
      <c r="Z455" s="73"/>
      <c r="AA455" s="75"/>
      <c r="AB455" s="75"/>
      <c r="AC455" s="55"/>
      <c r="AD455" s="89"/>
      <c r="AE455" s="89"/>
      <c r="AF455" s="89"/>
      <c r="AG455" s="57"/>
      <c r="AH455" s="58"/>
      <c r="AI455" s="49"/>
      <c r="AK455" s="41"/>
    </row>
    <row r="456" spans="1:37" ht="21">
      <c r="A456" s="32" t="s">
        <v>984</v>
      </c>
      <c r="B456" s="92" t="s">
        <v>171</v>
      </c>
      <c r="C456" s="93" t="s">
        <v>271</v>
      </c>
      <c r="D456" s="88" t="s">
        <v>77</v>
      </c>
      <c r="E456" s="73"/>
      <c r="F456" s="73"/>
      <c r="G456" s="73"/>
      <c r="H456" s="73"/>
      <c r="I456" s="73"/>
      <c r="J456" s="73"/>
      <c r="K456" s="73"/>
      <c r="L456" s="73"/>
      <c r="M456" s="73"/>
      <c r="N456" s="73"/>
      <c r="O456" s="73"/>
      <c r="P456" s="73"/>
      <c r="Q456" s="73"/>
      <c r="R456" s="73"/>
      <c r="S456" s="73"/>
      <c r="T456" s="73"/>
      <c r="U456" s="73"/>
      <c r="V456" s="73"/>
      <c r="W456" s="73"/>
      <c r="X456" s="73"/>
      <c r="Y456" s="73"/>
      <c r="Z456" s="73"/>
      <c r="AA456" s="75"/>
      <c r="AB456" s="75"/>
      <c r="AC456" s="55"/>
      <c r="AD456" s="89"/>
      <c r="AE456" s="89"/>
      <c r="AF456" s="89"/>
      <c r="AG456" s="57"/>
      <c r="AH456" s="58"/>
      <c r="AI456" s="49"/>
      <c r="AK456" s="41"/>
    </row>
    <row r="457" spans="1:37" ht="53.25">
      <c r="A457" s="32" t="s">
        <v>272</v>
      </c>
      <c r="B457" s="86" t="s">
        <v>272</v>
      </c>
      <c r="C457" s="87" t="s">
        <v>787</v>
      </c>
      <c r="D457" s="88"/>
      <c r="E457" s="73"/>
      <c r="F457" s="73"/>
      <c r="G457" s="73"/>
      <c r="H457" s="73"/>
      <c r="I457" s="73"/>
      <c r="J457" s="73"/>
      <c r="K457" s="73"/>
      <c r="L457" s="73"/>
      <c r="M457" s="73"/>
      <c r="N457" s="73"/>
      <c r="O457" s="73"/>
      <c r="P457" s="73"/>
      <c r="Q457" s="73"/>
      <c r="R457" s="73"/>
      <c r="S457" s="73"/>
      <c r="T457" s="73"/>
      <c r="U457" s="73"/>
      <c r="V457" s="73"/>
      <c r="W457" s="73"/>
      <c r="X457" s="73"/>
      <c r="Y457" s="73"/>
      <c r="Z457" s="73"/>
      <c r="AA457" s="75"/>
      <c r="AB457" s="75"/>
      <c r="AC457" s="55"/>
      <c r="AD457" s="89"/>
      <c r="AE457" s="89"/>
      <c r="AF457" s="89"/>
      <c r="AG457" s="91"/>
      <c r="AH457" s="48"/>
      <c r="AI457" s="49"/>
      <c r="AK457" s="41"/>
    </row>
    <row r="458" spans="1:37" ht="21">
      <c r="A458" s="32" t="s">
        <v>985</v>
      </c>
      <c r="B458" s="92" t="s">
        <v>104</v>
      </c>
      <c r="C458" s="93" t="s">
        <v>273</v>
      </c>
      <c r="D458" s="88" t="s">
        <v>77</v>
      </c>
      <c r="E458" s="73"/>
      <c r="F458" s="73"/>
      <c r="G458" s="73"/>
      <c r="H458" s="73"/>
      <c r="I458" s="73"/>
      <c r="J458" s="73"/>
      <c r="K458" s="73"/>
      <c r="L458" s="73"/>
      <c r="M458" s="73"/>
      <c r="N458" s="73"/>
      <c r="O458" s="73"/>
      <c r="P458" s="73"/>
      <c r="Q458" s="73"/>
      <c r="R458" s="73"/>
      <c r="S458" s="73"/>
      <c r="T458" s="73"/>
      <c r="U458" s="73"/>
      <c r="V458" s="73"/>
      <c r="W458" s="73"/>
      <c r="X458" s="73"/>
      <c r="Y458" s="73"/>
      <c r="Z458" s="73"/>
      <c r="AA458" s="75"/>
      <c r="AB458" s="75"/>
      <c r="AC458" s="55"/>
      <c r="AD458" s="89"/>
      <c r="AE458" s="89"/>
      <c r="AF458" s="89"/>
      <c r="AG458" s="57"/>
      <c r="AH458" s="58"/>
      <c r="AI458" s="49"/>
      <c r="AK458" s="41"/>
    </row>
    <row r="459" spans="1:37" ht="21">
      <c r="A459" s="32" t="s">
        <v>986</v>
      </c>
      <c r="B459" s="92" t="s">
        <v>171</v>
      </c>
      <c r="C459" s="93" t="s">
        <v>271</v>
      </c>
      <c r="D459" s="88" t="s">
        <v>77</v>
      </c>
      <c r="E459" s="73"/>
      <c r="F459" s="73"/>
      <c r="G459" s="73"/>
      <c r="H459" s="73"/>
      <c r="I459" s="73"/>
      <c r="J459" s="73"/>
      <c r="K459" s="73"/>
      <c r="L459" s="73"/>
      <c r="M459" s="73"/>
      <c r="N459" s="73"/>
      <c r="O459" s="73"/>
      <c r="P459" s="73"/>
      <c r="Q459" s="73"/>
      <c r="R459" s="73"/>
      <c r="S459" s="73"/>
      <c r="T459" s="73"/>
      <c r="U459" s="73"/>
      <c r="V459" s="73"/>
      <c r="W459" s="73"/>
      <c r="X459" s="73"/>
      <c r="Y459" s="73"/>
      <c r="Z459" s="73"/>
      <c r="AA459" s="75"/>
      <c r="AB459" s="75"/>
      <c r="AC459" s="55"/>
      <c r="AD459" s="89"/>
      <c r="AE459" s="89"/>
      <c r="AF459" s="89"/>
      <c r="AG459" s="57"/>
      <c r="AH459" s="58"/>
      <c r="AI459" s="49"/>
      <c r="AK459" s="41"/>
    </row>
    <row r="460" spans="1:37" ht="66">
      <c r="A460" s="32" t="s">
        <v>274</v>
      </c>
      <c r="B460" s="86" t="s">
        <v>274</v>
      </c>
      <c r="C460" s="87" t="s">
        <v>788</v>
      </c>
      <c r="D460" s="88" t="s">
        <v>77</v>
      </c>
      <c r="E460" s="73"/>
      <c r="F460" s="73"/>
      <c r="G460" s="73"/>
      <c r="H460" s="73"/>
      <c r="I460" s="73"/>
      <c r="J460" s="73"/>
      <c r="K460" s="73"/>
      <c r="L460" s="73"/>
      <c r="M460" s="73"/>
      <c r="N460" s="73"/>
      <c r="O460" s="73"/>
      <c r="P460" s="73"/>
      <c r="Q460" s="73"/>
      <c r="R460" s="73"/>
      <c r="S460" s="73"/>
      <c r="T460" s="73"/>
      <c r="U460" s="73"/>
      <c r="V460" s="73"/>
      <c r="W460" s="73"/>
      <c r="X460" s="73"/>
      <c r="Y460" s="73"/>
      <c r="Z460" s="73"/>
      <c r="AA460" s="75"/>
      <c r="AB460" s="75"/>
      <c r="AC460" s="55"/>
      <c r="AD460" s="89"/>
      <c r="AE460" s="89"/>
      <c r="AF460" s="89"/>
      <c r="AG460" s="57"/>
      <c r="AH460" s="58"/>
      <c r="AI460" s="49"/>
      <c r="AK460" s="41"/>
    </row>
    <row r="461" spans="1:37" ht="27.75">
      <c r="A461" s="32" t="s">
        <v>275</v>
      </c>
      <c r="B461" s="86" t="s">
        <v>275</v>
      </c>
      <c r="C461" s="87" t="s">
        <v>789</v>
      </c>
      <c r="D461" s="88"/>
      <c r="E461" s="73"/>
      <c r="F461" s="73"/>
      <c r="G461" s="73"/>
      <c r="H461" s="73"/>
      <c r="I461" s="73"/>
      <c r="J461" s="73"/>
      <c r="K461" s="73"/>
      <c r="L461" s="73"/>
      <c r="M461" s="73"/>
      <c r="N461" s="73"/>
      <c r="O461" s="73"/>
      <c r="P461" s="73"/>
      <c r="Q461" s="73"/>
      <c r="R461" s="73"/>
      <c r="S461" s="73"/>
      <c r="T461" s="73"/>
      <c r="U461" s="73"/>
      <c r="V461" s="73"/>
      <c r="W461" s="73"/>
      <c r="X461" s="73"/>
      <c r="Y461" s="73"/>
      <c r="Z461" s="73"/>
      <c r="AA461" s="75"/>
      <c r="AB461" s="75"/>
      <c r="AC461" s="55"/>
      <c r="AD461" s="89"/>
      <c r="AE461" s="89"/>
      <c r="AF461" s="89"/>
      <c r="AG461" s="91"/>
      <c r="AH461" s="48"/>
      <c r="AI461" s="49"/>
      <c r="AK461" s="41"/>
    </row>
    <row r="462" spans="1:37" ht="21">
      <c r="A462" s="32" t="s">
        <v>987</v>
      </c>
      <c r="B462" s="92" t="s">
        <v>104</v>
      </c>
      <c r="C462" s="93" t="s">
        <v>7</v>
      </c>
      <c r="D462" s="88" t="s">
        <v>33</v>
      </c>
      <c r="E462" s="73"/>
      <c r="F462" s="73"/>
      <c r="G462" s="73"/>
      <c r="H462" s="73"/>
      <c r="I462" s="73"/>
      <c r="J462" s="73"/>
      <c r="K462" s="73"/>
      <c r="L462" s="73"/>
      <c r="M462" s="73"/>
      <c r="N462" s="73"/>
      <c r="O462" s="73"/>
      <c r="P462" s="73"/>
      <c r="Q462" s="73"/>
      <c r="R462" s="73"/>
      <c r="S462" s="73"/>
      <c r="T462" s="73"/>
      <c r="U462" s="73"/>
      <c r="V462" s="73"/>
      <c r="W462" s="73"/>
      <c r="X462" s="73"/>
      <c r="Y462" s="73"/>
      <c r="Z462" s="73"/>
      <c r="AA462" s="75"/>
      <c r="AB462" s="75"/>
      <c r="AC462" s="55"/>
      <c r="AD462" s="89"/>
      <c r="AE462" s="89"/>
      <c r="AF462" s="89"/>
      <c r="AG462" s="57"/>
      <c r="AH462" s="58"/>
      <c r="AI462" s="49"/>
      <c r="AK462" s="41"/>
    </row>
    <row r="463" spans="1:37" ht="21">
      <c r="A463" s="32" t="s">
        <v>988</v>
      </c>
      <c r="B463" s="92" t="s">
        <v>24</v>
      </c>
      <c r="C463" s="93" t="s">
        <v>276</v>
      </c>
      <c r="D463" s="88" t="s">
        <v>33</v>
      </c>
      <c r="E463" s="73"/>
      <c r="F463" s="73"/>
      <c r="G463" s="73"/>
      <c r="H463" s="73"/>
      <c r="I463" s="73"/>
      <c r="J463" s="73"/>
      <c r="K463" s="73"/>
      <c r="L463" s="73"/>
      <c r="M463" s="73"/>
      <c r="N463" s="73"/>
      <c r="O463" s="73"/>
      <c r="P463" s="73"/>
      <c r="Q463" s="73"/>
      <c r="R463" s="73"/>
      <c r="S463" s="73"/>
      <c r="T463" s="73"/>
      <c r="U463" s="73"/>
      <c r="V463" s="73"/>
      <c r="W463" s="73"/>
      <c r="X463" s="73"/>
      <c r="Y463" s="73"/>
      <c r="Z463" s="73"/>
      <c r="AA463" s="75"/>
      <c r="AB463" s="75"/>
      <c r="AC463" s="55"/>
      <c r="AD463" s="89"/>
      <c r="AE463" s="89"/>
      <c r="AF463" s="89"/>
      <c r="AG463" s="57"/>
      <c r="AH463" s="58"/>
      <c r="AI463" s="49"/>
      <c r="AK463" s="41"/>
    </row>
    <row r="464" spans="1:37" ht="21">
      <c r="A464" s="32" t="s">
        <v>989</v>
      </c>
      <c r="B464" s="92" t="s">
        <v>25</v>
      </c>
      <c r="C464" s="93" t="s">
        <v>277</v>
      </c>
      <c r="D464" s="88" t="s">
        <v>33</v>
      </c>
      <c r="E464" s="73"/>
      <c r="F464" s="73"/>
      <c r="G464" s="73"/>
      <c r="H464" s="73"/>
      <c r="I464" s="73"/>
      <c r="J464" s="73"/>
      <c r="K464" s="73"/>
      <c r="L464" s="73"/>
      <c r="M464" s="73"/>
      <c r="N464" s="73"/>
      <c r="O464" s="73"/>
      <c r="P464" s="73"/>
      <c r="Q464" s="73"/>
      <c r="R464" s="73"/>
      <c r="S464" s="73"/>
      <c r="T464" s="73"/>
      <c r="U464" s="73"/>
      <c r="V464" s="73"/>
      <c r="W464" s="73"/>
      <c r="X464" s="73"/>
      <c r="Y464" s="73"/>
      <c r="Z464" s="73"/>
      <c r="AA464" s="75"/>
      <c r="AB464" s="75"/>
      <c r="AC464" s="55"/>
      <c r="AD464" s="89"/>
      <c r="AE464" s="89"/>
      <c r="AF464" s="89"/>
      <c r="AG464" s="57"/>
      <c r="AH464" s="58"/>
      <c r="AI464" s="49"/>
      <c r="AK464" s="41"/>
    </row>
    <row r="465" spans="1:37" ht="53.25">
      <c r="A465" s="32" t="s">
        <v>278</v>
      </c>
      <c r="B465" s="86" t="s">
        <v>278</v>
      </c>
      <c r="C465" s="87" t="s">
        <v>790</v>
      </c>
      <c r="D465" s="88" t="s">
        <v>33</v>
      </c>
      <c r="E465" s="73"/>
      <c r="F465" s="73"/>
      <c r="G465" s="73"/>
      <c r="H465" s="73"/>
      <c r="I465" s="73"/>
      <c r="J465" s="73"/>
      <c r="K465" s="73"/>
      <c r="L465" s="73"/>
      <c r="M465" s="73"/>
      <c r="N465" s="73"/>
      <c r="O465" s="73"/>
      <c r="P465" s="73"/>
      <c r="Q465" s="73"/>
      <c r="R465" s="73"/>
      <c r="S465" s="73"/>
      <c r="T465" s="73"/>
      <c r="U465" s="73"/>
      <c r="V465" s="73"/>
      <c r="W465" s="73"/>
      <c r="X465" s="73"/>
      <c r="Y465" s="73"/>
      <c r="Z465" s="73"/>
      <c r="AA465" s="75"/>
      <c r="AB465" s="75"/>
      <c r="AC465" s="55"/>
      <c r="AD465" s="89"/>
      <c r="AE465" s="89"/>
      <c r="AF465" s="89"/>
      <c r="AG465" s="57"/>
      <c r="AH465" s="58"/>
      <c r="AI465" s="49"/>
      <c r="AK465" s="41"/>
    </row>
    <row r="466" spans="1:37" ht="27.75">
      <c r="A466" s="32" t="s">
        <v>279</v>
      </c>
      <c r="B466" s="86" t="s">
        <v>279</v>
      </c>
      <c r="C466" s="87" t="s">
        <v>791</v>
      </c>
      <c r="D466" s="88" t="s">
        <v>33</v>
      </c>
      <c r="E466" s="73"/>
      <c r="F466" s="73"/>
      <c r="G466" s="73"/>
      <c r="H466" s="73"/>
      <c r="I466" s="73"/>
      <c r="J466" s="73"/>
      <c r="K466" s="73"/>
      <c r="L466" s="73"/>
      <c r="M466" s="73"/>
      <c r="N466" s="73"/>
      <c r="O466" s="73"/>
      <c r="P466" s="73"/>
      <c r="Q466" s="73"/>
      <c r="R466" s="73"/>
      <c r="S466" s="73"/>
      <c r="T466" s="73"/>
      <c r="U466" s="73"/>
      <c r="V466" s="73"/>
      <c r="W466" s="73"/>
      <c r="X466" s="73"/>
      <c r="Y466" s="73"/>
      <c r="Z466" s="73"/>
      <c r="AA466" s="75"/>
      <c r="AB466" s="75"/>
      <c r="AC466" s="55"/>
      <c r="AD466" s="89"/>
      <c r="AE466" s="89"/>
      <c r="AF466" s="89"/>
      <c r="AG466" s="57"/>
      <c r="AH466" s="58"/>
      <c r="AI466" s="49"/>
      <c r="AK466" s="41"/>
    </row>
    <row r="467" spans="1:37" ht="78.75">
      <c r="A467" s="32" t="s">
        <v>280</v>
      </c>
      <c r="B467" s="86" t="s">
        <v>280</v>
      </c>
      <c r="C467" s="87" t="s">
        <v>792</v>
      </c>
      <c r="D467" s="88" t="s">
        <v>81</v>
      </c>
      <c r="E467" s="73"/>
      <c r="F467" s="73"/>
      <c r="G467" s="73"/>
      <c r="H467" s="73"/>
      <c r="I467" s="73"/>
      <c r="J467" s="73"/>
      <c r="K467" s="73"/>
      <c r="L467" s="73"/>
      <c r="M467" s="73"/>
      <c r="N467" s="73"/>
      <c r="O467" s="73"/>
      <c r="P467" s="73"/>
      <c r="Q467" s="73"/>
      <c r="R467" s="73"/>
      <c r="S467" s="73"/>
      <c r="T467" s="73"/>
      <c r="U467" s="73"/>
      <c r="V467" s="73"/>
      <c r="W467" s="73"/>
      <c r="X467" s="73"/>
      <c r="Y467" s="73"/>
      <c r="Z467" s="73"/>
      <c r="AA467" s="75"/>
      <c r="AB467" s="75"/>
      <c r="AC467" s="55"/>
      <c r="AD467" s="89"/>
      <c r="AE467" s="89"/>
      <c r="AF467" s="89"/>
      <c r="AG467" s="57"/>
      <c r="AH467" s="58"/>
      <c r="AI467" s="49"/>
      <c r="AK467" s="41"/>
    </row>
    <row r="468" spans="1:37" ht="78.75">
      <c r="A468" s="32" t="s">
        <v>281</v>
      </c>
      <c r="B468" s="86" t="s">
        <v>281</v>
      </c>
      <c r="C468" s="87" t="s">
        <v>793</v>
      </c>
      <c r="D468" s="88" t="s">
        <v>81</v>
      </c>
      <c r="E468" s="73"/>
      <c r="F468" s="73"/>
      <c r="G468" s="73"/>
      <c r="H468" s="73"/>
      <c r="I468" s="73"/>
      <c r="J468" s="73"/>
      <c r="K468" s="73"/>
      <c r="L468" s="73"/>
      <c r="M468" s="73"/>
      <c r="N468" s="73"/>
      <c r="O468" s="73"/>
      <c r="P468" s="73"/>
      <c r="Q468" s="73"/>
      <c r="R468" s="73"/>
      <c r="S468" s="73"/>
      <c r="T468" s="73"/>
      <c r="U468" s="73"/>
      <c r="V468" s="73"/>
      <c r="W468" s="73"/>
      <c r="X468" s="73"/>
      <c r="Y468" s="73"/>
      <c r="Z468" s="73"/>
      <c r="AA468" s="75"/>
      <c r="AB468" s="75"/>
      <c r="AC468" s="55"/>
      <c r="AD468" s="89"/>
      <c r="AE468" s="89"/>
      <c r="AF468" s="89"/>
      <c r="AG468" s="57"/>
      <c r="AH468" s="58"/>
      <c r="AI468" s="49"/>
      <c r="AK468" s="41"/>
    </row>
    <row r="469" spans="1:37" ht="66">
      <c r="A469" s="32" t="s">
        <v>282</v>
      </c>
      <c r="B469" s="86" t="s">
        <v>282</v>
      </c>
      <c r="C469" s="87" t="s">
        <v>794</v>
      </c>
      <c r="D469" s="88" t="s">
        <v>81</v>
      </c>
      <c r="E469" s="73"/>
      <c r="F469" s="73"/>
      <c r="G469" s="73"/>
      <c r="H469" s="73"/>
      <c r="I469" s="73"/>
      <c r="J469" s="73"/>
      <c r="K469" s="73"/>
      <c r="L469" s="73"/>
      <c r="M469" s="73"/>
      <c r="N469" s="73"/>
      <c r="O469" s="73"/>
      <c r="P469" s="73"/>
      <c r="Q469" s="73"/>
      <c r="R469" s="73"/>
      <c r="S469" s="73"/>
      <c r="T469" s="73"/>
      <c r="U469" s="73"/>
      <c r="V469" s="73"/>
      <c r="W469" s="73"/>
      <c r="X469" s="73"/>
      <c r="Y469" s="73"/>
      <c r="Z469" s="73"/>
      <c r="AA469" s="75"/>
      <c r="AB469" s="75"/>
      <c r="AC469" s="55"/>
      <c r="AD469" s="89"/>
      <c r="AE469" s="89"/>
      <c r="AF469" s="89"/>
      <c r="AG469" s="57"/>
      <c r="AH469" s="58"/>
      <c r="AI469" s="49"/>
      <c r="AK469" s="41"/>
    </row>
    <row r="470" spans="1:37" ht="53.25">
      <c r="A470" s="32" t="s">
        <v>283</v>
      </c>
      <c r="B470" s="86" t="s">
        <v>283</v>
      </c>
      <c r="C470" s="87" t="s">
        <v>795</v>
      </c>
      <c r="D470" s="88" t="s">
        <v>81</v>
      </c>
      <c r="E470" s="73"/>
      <c r="F470" s="73"/>
      <c r="G470" s="73"/>
      <c r="H470" s="73"/>
      <c r="I470" s="73"/>
      <c r="J470" s="73"/>
      <c r="K470" s="73"/>
      <c r="L470" s="73"/>
      <c r="M470" s="73"/>
      <c r="N470" s="73"/>
      <c r="O470" s="73"/>
      <c r="P470" s="73"/>
      <c r="Q470" s="73"/>
      <c r="R470" s="73"/>
      <c r="S470" s="73"/>
      <c r="T470" s="73"/>
      <c r="U470" s="73"/>
      <c r="V470" s="73"/>
      <c r="W470" s="73"/>
      <c r="X470" s="73"/>
      <c r="Y470" s="73"/>
      <c r="Z470" s="73"/>
      <c r="AA470" s="75"/>
      <c r="AB470" s="75"/>
      <c r="AC470" s="55"/>
      <c r="AD470" s="89"/>
      <c r="AE470" s="89"/>
      <c r="AF470" s="89"/>
      <c r="AG470" s="57"/>
      <c r="AH470" s="58"/>
      <c r="AI470" s="49"/>
      <c r="AK470" s="41"/>
    </row>
    <row r="471" spans="1:37" ht="53.25">
      <c r="A471" s="32" t="s">
        <v>284</v>
      </c>
      <c r="B471" s="86" t="s">
        <v>284</v>
      </c>
      <c r="C471" s="87" t="s">
        <v>796</v>
      </c>
      <c r="D471" s="88" t="s">
        <v>81</v>
      </c>
      <c r="E471" s="73"/>
      <c r="F471" s="73"/>
      <c r="G471" s="73"/>
      <c r="H471" s="73"/>
      <c r="I471" s="73"/>
      <c r="J471" s="73"/>
      <c r="K471" s="73"/>
      <c r="L471" s="73"/>
      <c r="M471" s="73"/>
      <c r="N471" s="73"/>
      <c r="O471" s="73"/>
      <c r="P471" s="73"/>
      <c r="Q471" s="73"/>
      <c r="R471" s="73"/>
      <c r="S471" s="73"/>
      <c r="T471" s="73"/>
      <c r="U471" s="73"/>
      <c r="V471" s="73"/>
      <c r="W471" s="73"/>
      <c r="X471" s="73"/>
      <c r="Y471" s="73"/>
      <c r="Z471" s="73"/>
      <c r="AA471" s="75"/>
      <c r="AB471" s="75"/>
      <c r="AC471" s="55"/>
      <c r="AD471" s="89"/>
      <c r="AE471" s="89"/>
      <c r="AF471" s="89"/>
      <c r="AG471" s="57"/>
      <c r="AH471" s="58"/>
      <c r="AI471" s="49"/>
      <c r="AK471" s="41"/>
    </row>
    <row r="472" spans="1:37" ht="21">
      <c r="A472" s="32" t="s">
        <v>285</v>
      </c>
      <c r="B472" s="86" t="s">
        <v>285</v>
      </c>
      <c r="C472" s="87" t="s">
        <v>2145</v>
      </c>
      <c r="D472" s="88"/>
      <c r="E472" s="73"/>
      <c r="F472" s="73"/>
      <c r="G472" s="73"/>
      <c r="H472" s="73"/>
      <c r="I472" s="73"/>
      <c r="J472" s="73"/>
      <c r="K472" s="73"/>
      <c r="L472" s="73"/>
      <c r="M472" s="73"/>
      <c r="N472" s="73"/>
      <c r="O472" s="73"/>
      <c r="P472" s="73"/>
      <c r="Q472" s="73"/>
      <c r="R472" s="73"/>
      <c r="S472" s="73"/>
      <c r="T472" s="73"/>
      <c r="U472" s="73"/>
      <c r="V472" s="73"/>
      <c r="W472" s="73"/>
      <c r="X472" s="73"/>
      <c r="Y472" s="73"/>
      <c r="Z472" s="73"/>
      <c r="AA472" s="75"/>
      <c r="AB472" s="75"/>
      <c r="AC472" s="55"/>
      <c r="AD472" s="89"/>
      <c r="AE472" s="89"/>
      <c r="AF472" s="89"/>
      <c r="AG472" s="91"/>
      <c r="AH472" s="48"/>
      <c r="AI472" s="49"/>
      <c r="AK472" s="41"/>
    </row>
    <row r="473" spans="1:37" ht="91.5">
      <c r="A473" s="32" t="s">
        <v>2150</v>
      </c>
      <c r="B473" s="86" t="s">
        <v>14</v>
      </c>
      <c r="C473" s="87" t="s">
        <v>2146</v>
      </c>
      <c r="D473" s="88"/>
      <c r="E473" s="73"/>
      <c r="F473" s="73"/>
      <c r="G473" s="73"/>
      <c r="H473" s="73"/>
      <c r="I473" s="73"/>
      <c r="J473" s="73"/>
      <c r="K473" s="73"/>
      <c r="L473" s="73"/>
      <c r="M473" s="73"/>
      <c r="N473" s="73"/>
      <c r="O473" s="73"/>
      <c r="P473" s="73"/>
      <c r="Q473" s="73"/>
      <c r="R473" s="73"/>
      <c r="S473" s="73"/>
      <c r="T473" s="73"/>
      <c r="U473" s="73"/>
      <c r="V473" s="73"/>
      <c r="W473" s="73"/>
      <c r="X473" s="73"/>
      <c r="Y473" s="73"/>
      <c r="Z473" s="73"/>
      <c r="AA473" s="75"/>
      <c r="AB473" s="75"/>
      <c r="AC473" s="55"/>
      <c r="AD473" s="89"/>
      <c r="AE473" s="89"/>
      <c r="AF473" s="89"/>
      <c r="AG473" s="91"/>
      <c r="AH473" s="48"/>
      <c r="AI473" s="49"/>
      <c r="AK473" s="41"/>
    </row>
    <row r="474" spans="1:37" ht="21">
      <c r="A474" s="32" t="s">
        <v>2148</v>
      </c>
      <c r="B474" s="92" t="s">
        <v>104</v>
      </c>
      <c r="C474" s="93" t="s">
        <v>2147</v>
      </c>
      <c r="D474" s="88" t="s">
        <v>81</v>
      </c>
      <c r="E474" s="73"/>
      <c r="F474" s="73"/>
      <c r="G474" s="73"/>
      <c r="H474" s="73"/>
      <c r="I474" s="73"/>
      <c r="J474" s="73"/>
      <c r="K474" s="73"/>
      <c r="L474" s="73"/>
      <c r="M474" s="73"/>
      <c r="N474" s="73"/>
      <c r="O474" s="73"/>
      <c r="P474" s="73"/>
      <c r="Q474" s="130"/>
      <c r="R474" s="130"/>
      <c r="S474" s="130"/>
      <c r="T474" s="73"/>
      <c r="U474" s="130"/>
      <c r="V474" s="130"/>
      <c r="W474" s="73"/>
      <c r="X474" s="73"/>
      <c r="Y474" s="73"/>
      <c r="Z474" s="73"/>
      <c r="AA474" s="75"/>
      <c r="AB474" s="75"/>
      <c r="AC474" s="55"/>
      <c r="AD474" s="89"/>
      <c r="AE474" s="89"/>
      <c r="AF474" s="89"/>
      <c r="AG474" s="57"/>
      <c r="AH474" s="58"/>
      <c r="AI474" s="49"/>
      <c r="AK474" s="41"/>
    </row>
    <row r="475" spans="1:37" ht="21">
      <c r="A475" s="32" t="s">
        <v>2149</v>
      </c>
      <c r="B475" s="92" t="s">
        <v>24</v>
      </c>
      <c r="C475" s="93" t="s">
        <v>2144</v>
      </c>
      <c r="D475" s="88" t="s">
        <v>81</v>
      </c>
      <c r="E475" s="73"/>
      <c r="F475" s="73"/>
      <c r="G475" s="73"/>
      <c r="H475" s="73"/>
      <c r="I475" s="73"/>
      <c r="J475" s="73"/>
      <c r="K475" s="73"/>
      <c r="L475" s="73"/>
      <c r="M475" s="73"/>
      <c r="N475" s="73"/>
      <c r="O475" s="73"/>
      <c r="P475" s="73"/>
      <c r="Q475" s="73"/>
      <c r="R475" s="73"/>
      <c r="S475" s="73"/>
      <c r="T475" s="73"/>
      <c r="U475" s="73"/>
      <c r="V475" s="73"/>
      <c r="W475" s="73"/>
      <c r="X475" s="73"/>
      <c r="Y475" s="73"/>
      <c r="Z475" s="73"/>
      <c r="AA475" s="75"/>
      <c r="AB475" s="75"/>
      <c r="AC475" s="55"/>
      <c r="AD475" s="89"/>
      <c r="AE475" s="89"/>
      <c r="AF475" s="89"/>
      <c r="AG475" s="57"/>
      <c r="AH475" s="58"/>
      <c r="AI475" s="49"/>
      <c r="AK475" s="41"/>
    </row>
    <row r="476" spans="1:37" ht="78.75">
      <c r="A476" s="32" t="s">
        <v>2152</v>
      </c>
      <c r="B476" s="86" t="s">
        <v>15</v>
      </c>
      <c r="C476" s="60" t="s">
        <v>2151</v>
      </c>
      <c r="D476" s="52"/>
      <c r="E476" s="73"/>
      <c r="F476" s="73"/>
      <c r="G476" s="73"/>
      <c r="H476" s="73"/>
      <c r="I476" s="73"/>
      <c r="J476" s="73"/>
      <c r="K476" s="73"/>
      <c r="L476" s="73"/>
      <c r="M476" s="73"/>
      <c r="N476" s="73"/>
      <c r="O476" s="73"/>
      <c r="P476" s="73"/>
      <c r="Q476" s="73"/>
      <c r="R476" s="73"/>
      <c r="S476" s="73"/>
      <c r="T476" s="73"/>
      <c r="U476" s="73"/>
      <c r="V476" s="73"/>
      <c r="W476" s="73"/>
      <c r="X476" s="73"/>
      <c r="Y476" s="73"/>
      <c r="Z476" s="73"/>
      <c r="AA476" s="75"/>
      <c r="AB476" s="75"/>
      <c r="AC476" s="55"/>
      <c r="AD476" s="89"/>
      <c r="AE476" s="89"/>
      <c r="AF476" s="89"/>
      <c r="AG476" s="57"/>
      <c r="AH476" s="58"/>
      <c r="AI476" s="49"/>
      <c r="AK476" s="41"/>
    </row>
    <row r="477" spans="1:37" ht="21">
      <c r="A477" s="32" t="s">
        <v>2153</v>
      </c>
      <c r="B477" s="50" t="s">
        <v>104</v>
      </c>
      <c r="C477" s="51" t="s">
        <v>2147</v>
      </c>
      <c r="D477" s="52" t="s">
        <v>2090</v>
      </c>
      <c r="E477" s="73"/>
      <c r="F477" s="73"/>
      <c r="G477" s="73"/>
      <c r="H477" s="73"/>
      <c r="I477" s="73"/>
      <c r="J477" s="73"/>
      <c r="K477" s="73"/>
      <c r="L477" s="73"/>
      <c r="M477" s="73"/>
      <c r="N477" s="73"/>
      <c r="O477" s="73"/>
      <c r="P477" s="73"/>
      <c r="Q477" s="73"/>
      <c r="R477" s="73"/>
      <c r="S477" s="73"/>
      <c r="T477" s="73"/>
      <c r="U477" s="73"/>
      <c r="V477" s="73"/>
      <c r="W477" s="73"/>
      <c r="X477" s="73"/>
      <c r="Y477" s="73"/>
      <c r="Z477" s="73"/>
      <c r="AA477" s="75"/>
      <c r="AB477" s="75"/>
      <c r="AC477" s="55"/>
      <c r="AD477" s="89"/>
      <c r="AE477" s="89"/>
      <c r="AF477" s="89"/>
      <c r="AG477" s="57"/>
      <c r="AH477" s="58"/>
      <c r="AI477" s="49"/>
      <c r="AK477" s="41"/>
    </row>
    <row r="478" spans="1:37" ht="21">
      <c r="A478" s="32" t="s">
        <v>2154</v>
      </c>
      <c r="B478" s="50" t="s">
        <v>24</v>
      </c>
      <c r="C478" s="51" t="s">
        <v>2144</v>
      </c>
      <c r="D478" s="52" t="s">
        <v>2090</v>
      </c>
      <c r="E478" s="73"/>
      <c r="F478" s="73"/>
      <c r="G478" s="73"/>
      <c r="H478" s="73"/>
      <c r="I478" s="73"/>
      <c r="J478" s="73"/>
      <c r="K478" s="73"/>
      <c r="L478" s="73"/>
      <c r="M478" s="73"/>
      <c r="N478" s="73"/>
      <c r="O478" s="73"/>
      <c r="P478" s="73"/>
      <c r="Q478" s="73"/>
      <c r="R478" s="73"/>
      <c r="S478" s="73"/>
      <c r="T478" s="73"/>
      <c r="U478" s="73"/>
      <c r="V478" s="73"/>
      <c r="W478" s="73"/>
      <c r="X478" s="73"/>
      <c r="Y478" s="73"/>
      <c r="Z478" s="73"/>
      <c r="AA478" s="75"/>
      <c r="AB478" s="75"/>
      <c r="AC478" s="55"/>
      <c r="AD478" s="89"/>
      <c r="AE478" s="89"/>
      <c r="AF478" s="89"/>
      <c r="AG478" s="57"/>
      <c r="AH478" s="58"/>
      <c r="AI478" s="49"/>
      <c r="AK478" s="41"/>
    </row>
    <row r="479" spans="1:37" ht="21">
      <c r="A479" s="32" t="s">
        <v>286</v>
      </c>
      <c r="B479" s="86" t="s">
        <v>286</v>
      </c>
      <c r="C479" s="87" t="s">
        <v>287</v>
      </c>
      <c r="D479" s="88"/>
      <c r="E479" s="73"/>
      <c r="F479" s="73"/>
      <c r="G479" s="73"/>
      <c r="H479" s="73"/>
      <c r="I479" s="73"/>
      <c r="J479" s="73"/>
      <c r="K479" s="73"/>
      <c r="L479" s="73"/>
      <c r="M479" s="73"/>
      <c r="N479" s="73"/>
      <c r="O479" s="73"/>
      <c r="P479" s="73"/>
      <c r="Q479" s="73"/>
      <c r="R479" s="73"/>
      <c r="S479" s="73"/>
      <c r="T479" s="73"/>
      <c r="U479" s="73"/>
      <c r="V479" s="73"/>
      <c r="W479" s="73"/>
      <c r="X479" s="73"/>
      <c r="Y479" s="73"/>
      <c r="Z479" s="73"/>
      <c r="AA479" s="75"/>
      <c r="AB479" s="75"/>
      <c r="AC479" s="55"/>
      <c r="AD479" s="89"/>
      <c r="AE479" s="89"/>
      <c r="AF479" s="89"/>
      <c r="AG479" s="91"/>
      <c r="AH479" s="48"/>
      <c r="AI479" s="49"/>
      <c r="AK479" s="41"/>
    </row>
    <row r="480" spans="1:37" ht="78.75">
      <c r="A480" s="32" t="s">
        <v>990</v>
      </c>
      <c r="B480" s="92" t="s">
        <v>14</v>
      </c>
      <c r="C480" s="93" t="s">
        <v>797</v>
      </c>
      <c r="D480" s="88" t="s">
        <v>81</v>
      </c>
      <c r="E480" s="73"/>
      <c r="F480" s="73"/>
      <c r="G480" s="73"/>
      <c r="H480" s="73"/>
      <c r="I480" s="73"/>
      <c r="J480" s="73"/>
      <c r="K480" s="73"/>
      <c r="L480" s="73"/>
      <c r="M480" s="73"/>
      <c r="N480" s="73"/>
      <c r="O480" s="73"/>
      <c r="P480" s="73"/>
      <c r="Q480" s="73"/>
      <c r="R480" s="73"/>
      <c r="S480" s="73"/>
      <c r="T480" s="73"/>
      <c r="U480" s="73"/>
      <c r="V480" s="73"/>
      <c r="W480" s="73"/>
      <c r="X480" s="73"/>
      <c r="Y480" s="73"/>
      <c r="Z480" s="73"/>
      <c r="AA480" s="75"/>
      <c r="AB480" s="75"/>
      <c r="AC480" s="55"/>
      <c r="AD480" s="89"/>
      <c r="AE480" s="89"/>
      <c r="AF480" s="89"/>
      <c r="AG480" s="57"/>
      <c r="AH480" s="58"/>
      <c r="AI480" s="49"/>
      <c r="AK480" s="41"/>
    </row>
    <row r="481" spans="1:37" ht="78.75">
      <c r="A481" s="32" t="s">
        <v>991</v>
      </c>
      <c r="B481" s="92" t="s">
        <v>15</v>
      </c>
      <c r="C481" s="93" t="s">
        <v>798</v>
      </c>
      <c r="D481" s="88" t="s">
        <v>81</v>
      </c>
      <c r="E481" s="73"/>
      <c r="F481" s="73"/>
      <c r="G481" s="73"/>
      <c r="H481" s="73"/>
      <c r="I481" s="73"/>
      <c r="J481" s="73"/>
      <c r="K481" s="73"/>
      <c r="L481" s="73"/>
      <c r="M481" s="73"/>
      <c r="N481" s="73"/>
      <c r="O481" s="73"/>
      <c r="P481" s="73"/>
      <c r="Q481" s="73"/>
      <c r="R481" s="73"/>
      <c r="S481" s="73"/>
      <c r="T481" s="73"/>
      <c r="U481" s="73"/>
      <c r="V481" s="73"/>
      <c r="W481" s="73"/>
      <c r="X481" s="73"/>
      <c r="Y481" s="73"/>
      <c r="Z481" s="73"/>
      <c r="AA481" s="75"/>
      <c r="AB481" s="75"/>
      <c r="AC481" s="55"/>
      <c r="AD481" s="89"/>
      <c r="AE481" s="89"/>
      <c r="AF481" s="89"/>
      <c r="AG481" s="57"/>
      <c r="AH481" s="58"/>
      <c r="AI481" s="49"/>
      <c r="AK481" s="41"/>
    </row>
    <row r="482" spans="1:37" ht="40.5">
      <c r="A482" s="32" t="s">
        <v>288</v>
      </c>
      <c r="B482" s="86" t="s">
        <v>288</v>
      </c>
      <c r="C482" s="87" t="s">
        <v>799</v>
      </c>
      <c r="D482" s="88"/>
      <c r="E482" s="73"/>
      <c r="F482" s="73"/>
      <c r="G482" s="73"/>
      <c r="H482" s="73"/>
      <c r="I482" s="73"/>
      <c r="J482" s="73"/>
      <c r="K482" s="73"/>
      <c r="L482" s="73"/>
      <c r="M482" s="73"/>
      <c r="N482" s="73"/>
      <c r="O482" s="73"/>
      <c r="P482" s="73"/>
      <c r="Q482" s="73"/>
      <c r="R482" s="73"/>
      <c r="S482" s="73"/>
      <c r="T482" s="73"/>
      <c r="U482" s="73"/>
      <c r="V482" s="73"/>
      <c r="W482" s="73"/>
      <c r="X482" s="73"/>
      <c r="Y482" s="73"/>
      <c r="Z482" s="73"/>
      <c r="AA482" s="75"/>
      <c r="AB482" s="75"/>
      <c r="AC482" s="55"/>
      <c r="AD482" s="89"/>
      <c r="AE482" s="89"/>
      <c r="AF482" s="89"/>
      <c r="AG482" s="57"/>
      <c r="AH482" s="58"/>
      <c r="AI482" s="49"/>
      <c r="AK482" s="41"/>
    </row>
    <row r="483" spans="1:37" ht="117">
      <c r="A483" s="32" t="s">
        <v>289</v>
      </c>
      <c r="B483" s="86" t="s">
        <v>289</v>
      </c>
      <c r="C483" s="87" t="s">
        <v>800</v>
      </c>
      <c r="D483" s="88" t="s">
        <v>81</v>
      </c>
      <c r="E483" s="73"/>
      <c r="F483" s="73"/>
      <c r="G483" s="73"/>
      <c r="H483" s="73"/>
      <c r="I483" s="73"/>
      <c r="J483" s="73"/>
      <c r="K483" s="73"/>
      <c r="L483" s="73"/>
      <c r="M483" s="73"/>
      <c r="N483" s="73"/>
      <c r="O483" s="73"/>
      <c r="P483" s="73"/>
      <c r="Q483" s="73"/>
      <c r="R483" s="73"/>
      <c r="S483" s="73"/>
      <c r="T483" s="73"/>
      <c r="U483" s="73"/>
      <c r="V483" s="73"/>
      <c r="W483" s="73"/>
      <c r="X483" s="73"/>
      <c r="Y483" s="73"/>
      <c r="Z483" s="73"/>
      <c r="AA483" s="75"/>
      <c r="AB483" s="75"/>
      <c r="AC483" s="55"/>
      <c r="AD483" s="89"/>
      <c r="AE483" s="89"/>
      <c r="AF483" s="89"/>
      <c r="AG483" s="57"/>
      <c r="AH483" s="58"/>
      <c r="AI483" s="49"/>
      <c r="AK483" s="41"/>
    </row>
    <row r="484" spans="1:37" ht="21">
      <c r="A484" s="32" t="s">
        <v>290</v>
      </c>
      <c r="B484" s="86" t="s">
        <v>290</v>
      </c>
      <c r="C484" s="87" t="s">
        <v>291</v>
      </c>
      <c r="D484" s="88"/>
      <c r="E484" s="73"/>
      <c r="F484" s="73"/>
      <c r="G484" s="73"/>
      <c r="H484" s="73"/>
      <c r="I484" s="73"/>
      <c r="J484" s="73"/>
      <c r="K484" s="73"/>
      <c r="L484" s="73"/>
      <c r="M484" s="73"/>
      <c r="N484" s="73"/>
      <c r="O484" s="73"/>
      <c r="P484" s="73"/>
      <c r="Q484" s="73"/>
      <c r="R484" s="73"/>
      <c r="S484" s="73"/>
      <c r="T484" s="73"/>
      <c r="U484" s="73"/>
      <c r="V484" s="73"/>
      <c r="W484" s="73"/>
      <c r="X484" s="73"/>
      <c r="Y484" s="73"/>
      <c r="Z484" s="73"/>
      <c r="AA484" s="75"/>
      <c r="AB484" s="75"/>
      <c r="AC484" s="55"/>
      <c r="AD484" s="89"/>
      <c r="AE484" s="89"/>
      <c r="AF484" s="89"/>
      <c r="AG484" s="91"/>
      <c r="AH484" s="48"/>
      <c r="AI484" s="49"/>
      <c r="AK484" s="41"/>
    </row>
    <row r="485" spans="1:37" ht="40.5">
      <c r="A485" s="32" t="s">
        <v>992</v>
      </c>
      <c r="B485" s="94" t="s">
        <v>14</v>
      </c>
      <c r="C485" s="95" t="s">
        <v>801</v>
      </c>
      <c r="D485" s="88"/>
      <c r="E485" s="73"/>
      <c r="F485" s="73"/>
      <c r="G485" s="73"/>
      <c r="H485" s="73"/>
      <c r="I485" s="73"/>
      <c r="J485" s="73"/>
      <c r="K485" s="73"/>
      <c r="L485" s="73"/>
      <c r="M485" s="73"/>
      <c r="N485" s="73"/>
      <c r="O485" s="73"/>
      <c r="P485" s="73"/>
      <c r="Q485" s="73"/>
      <c r="R485" s="73"/>
      <c r="S485" s="73"/>
      <c r="T485" s="73"/>
      <c r="U485" s="73"/>
      <c r="V485" s="73"/>
      <c r="W485" s="73"/>
      <c r="X485" s="73"/>
      <c r="Y485" s="73"/>
      <c r="Z485" s="73"/>
      <c r="AA485" s="75"/>
      <c r="AB485" s="75"/>
      <c r="AC485" s="55"/>
      <c r="AD485" s="89"/>
      <c r="AE485" s="89"/>
      <c r="AF485" s="89"/>
      <c r="AG485" s="91"/>
      <c r="AH485" s="48"/>
      <c r="AI485" s="49"/>
      <c r="AK485" s="41"/>
    </row>
    <row r="486" spans="1:37" ht="78.75">
      <c r="A486" s="32" t="s">
        <v>993</v>
      </c>
      <c r="B486" s="92" t="s">
        <v>15</v>
      </c>
      <c r="C486" s="93" t="s">
        <v>802</v>
      </c>
      <c r="D486" s="88" t="s">
        <v>81</v>
      </c>
      <c r="E486" s="73"/>
      <c r="F486" s="73"/>
      <c r="G486" s="73"/>
      <c r="H486" s="73"/>
      <c r="I486" s="73"/>
      <c r="J486" s="73"/>
      <c r="K486" s="73"/>
      <c r="L486" s="73"/>
      <c r="M486" s="73"/>
      <c r="N486" s="73"/>
      <c r="O486" s="73"/>
      <c r="P486" s="73"/>
      <c r="Q486" s="73"/>
      <c r="R486" s="73"/>
      <c r="S486" s="73"/>
      <c r="T486" s="73"/>
      <c r="U486" s="73"/>
      <c r="V486" s="73"/>
      <c r="W486" s="73"/>
      <c r="X486" s="73"/>
      <c r="Y486" s="73"/>
      <c r="Z486" s="73"/>
      <c r="AA486" s="75"/>
      <c r="AB486" s="75"/>
      <c r="AC486" s="55"/>
      <c r="AD486" s="89"/>
      <c r="AE486" s="89"/>
      <c r="AF486" s="89"/>
      <c r="AG486" s="57"/>
      <c r="AH486" s="58"/>
      <c r="AI486" s="49"/>
      <c r="AK486" s="41"/>
    </row>
    <row r="487" spans="1:37" ht="78.75">
      <c r="A487" s="32" t="s">
        <v>994</v>
      </c>
      <c r="B487" s="92" t="s">
        <v>40</v>
      </c>
      <c r="C487" s="93" t="s">
        <v>803</v>
      </c>
      <c r="D487" s="88" t="s">
        <v>81</v>
      </c>
      <c r="E487" s="73"/>
      <c r="F487" s="73"/>
      <c r="G487" s="73"/>
      <c r="H487" s="73"/>
      <c r="I487" s="73"/>
      <c r="J487" s="73"/>
      <c r="K487" s="73"/>
      <c r="L487" s="73"/>
      <c r="M487" s="73"/>
      <c r="N487" s="73"/>
      <c r="O487" s="73"/>
      <c r="P487" s="73"/>
      <c r="Q487" s="73"/>
      <c r="R487" s="73"/>
      <c r="S487" s="73"/>
      <c r="T487" s="73"/>
      <c r="U487" s="73"/>
      <c r="V487" s="73"/>
      <c r="W487" s="73"/>
      <c r="X487" s="73"/>
      <c r="Y487" s="73"/>
      <c r="Z487" s="73"/>
      <c r="AA487" s="75"/>
      <c r="AB487" s="75"/>
      <c r="AC487" s="55"/>
      <c r="AD487" s="89"/>
      <c r="AE487" s="89"/>
      <c r="AF487" s="89"/>
      <c r="AG487" s="57"/>
      <c r="AH487" s="58"/>
      <c r="AI487" s="49"/>
      <c r="AK487" s="41"/>
    </row>
    <row r="488" spans="1:37" ht="53.25">
      <c r="A488" s="32" t="s">
        <v>292</v>
      </c>
      <c r="B488" s="86" t="s">
        <v>292</v>
      </c>
      <c r="C488" s="87" t="s">
        <v>804</v>
      </c>
      <c r="D488" s="88"/>
      <c r="E488" s="73"/>
      <c r="F488" s="73"/>
      <c r="G488" s="73"/>
      <c r="H488" s="73"/>
      <c r="I488" s="73"/>
      <c r="J488" s="73"/>
      <c r="K488" s="73"/>
      <c r="L488" s="73"/>
      <c r="M488" s="73"/>
      <c r="N488" s="73"/>
      <c r="O488" s="73"/>
      <c r="P488" s="73"/>
      <c r="Q488" s="73"/>
      <c r="R488" s="73"/>
      <c r="S488" s="73"/>
      <c r="T488" s="73"/>
      <c r="U488" s="73"/>
      <c r="V488" s="73"/>
      <c r="W488" s="73"/>
      <c r="X488" s="73"/>
      <c r="Y488" s="73"/>
      <c r="Z488" s="73"/>
      <c r="AA488" s="75"/>
      <c r="AB488" s="75"/>
      <c r="AC488" s="55"/>
      <c r="AD488" s="89"/>
      <c r="AE488" s="89"/>
      <c r="AF488" s="89"/>
      <c r="AG488" s="91"/>
      <c r="AH488" s="48"/>
      <c r="AI488" s="49"/>
      <c r="AK488" s="41"/>
    </row>
    <row r="489" spans="1:37" ht="21">
      <c r="A489" s="32" t="s">
        <v>995</v>
      </c>
      <c r="B489" s="92" t="s">
        <v>104</v>
      </c>
      <c r="C489" s="93" t="s">
        <v>293</v>
      </c>
      <c r="D489" s="88" t="s">
        <v>33</v>
      </c>
      <c r="E489" s="73"/>
      <c r="F489" s="73"/>
      <c r="G489" s="73"/>
      <c r="H489" s="73"/>
      <c r="I489" s="73"/>
      <c r="J489" s="73"/>
      <c r="K489" s="73"/>
      <c r="L489" s="73"/>
      <c r="M489" s="73"/>
      <c r="N489" s="73"/>
      <c r="O489" s="73"/>
      <c r="P489" s="73"/>
      <c r="Q489" s="73"/>
      <c r="R489" s="73"/>
      <c r="S489" s="73"/>
      <c r="T489" s="73"/>
      <c r="U489" s="73"/>
      <c r="V489" s="73"/>
      <c r="W489" s="73"/>
      <c r="X489" s="73"/>
      <c r="Y489" s="73"/>
      <c r="Z489" s="73"/>
      <c r="AA489" s="75"/>
      <c r="AB489" s="75"/>
      <c r="AC489" s="55"/>
      <c r="AD489" s="89"/>
      <c r="AE489" s="89"/>
      <c r="AF489" s="89"/>
      <c r="AG489" s="57"/>
      <c r="AH489" s="58"/>
      <c r="AI489" s="49"/>
      <c r="AK489" s="41"/>
    </row>
    <row r="490" spans="1:37" ht="21">
      <c r="A490" s="32" t="s">
        <v>996</v>
      </c>
      <c r="B490" s="92" t="s">
        <v>24</v>
      </c>
      <c r="C490" s="93" t="s">
        <v>294</v>
      </c>
      <c r="D490" s="88" t="s">
        <v>33</v>
      </c>
      <c r="E490" s="73"/>
      <c r="F490" s="73"/>
      <c r="G490" s="73"/>
      <c r="H490" s="73"/>
      <c r="I490" s="73"/>
      <c r="J490" s="73"/>
      <c r="K490" s="73"/>
      <c r="L490" s="73"/>
      <c r="M490" s="73"/>
      <c r="N490" s="73"/>
      <c r="O490" s="73"/>
      <c r="P490" s="73"/>
      <c r="Q490" s="73"/>
      <c r="R490" s="73"/>
      <c r="S490" s="73"/>
      <c r="T490" s="73"/>
      <c r="U490" s="73"/>
      <c r="V490" s="73"/>
      <c r="W490" s="73"/>
      <c r="X490" s="73"/>
      <c r="Y490" s="73"/>
      <c r="Z490" s="73"/>
      <c r="AA490" s="75"/>
      <c r="AB490" s="75"/>
      <c r="AC490" s="55"/>
      <c r="AD490" s="89"/>
      <c r="AE490" s="89"/>
      <c r="AF490" s="89"/>
      <c r="AG490" s="57"/>
      <c r="AH490" s="58"/>
      <c r="AI490" s="49"/>
      <c r="AK490" s="41"/>
    </row>
    <row r="491" spans="1:37" ht="40.5">
      <c r="A491" s="32" t="s">
        <v>295</v>
      </c>
      <c r="B491" s="86" t="s">
        <v>295</v>
      </c>
      <c r="C491" s="87" t="s">
        <v>805</v>
      </c>
      <c r="D491" s="88" t="s">
        <v>33</v>
      </c>
      <c r="E491" s="73"/>
      <c r="F491" s="73"/>
      <c r="G491" s="73"/>
      <c r="H491" s="73"/>
      <c r="I491" s="73"/>
      <c r="J491" s="73"/>
      <c r="K491" s="73"/>
      <c r="L491" s="73"/>
      <c r="M491" s="73"/>
      <c r="N491" s="73"/>
      <c r="O491" s="73"/>
      <c r="P491" s="73"/>
      <c r="Q491" s="73"/>
      <c r="R491" s="73"/>
      <c r="S491" s="73"/>
      <c r="T491" s="73"/>
      <c r="U491" s="73"/>
      <c r="V491" s="73"/>
      <c r="W491" s="73"/>
      <c r="X491" s="73"/>
      <c r="Y491" s="73"/>
      <c r="Z491" s="73"/>
      <c r="AA491" s="75"/>
      <c r="AB491" s="75"/>
      <c r="AC491" s="55"/>
      <c r="AD491" s="89"/>
      <c r="AE491" s="89"/>
      <c r="AF491" s="89"/>
      <c r="AG491" s="57"/>
      <c r="AH491" s="58"/>
      <c r="AI491" s="49"/>
      <c r="AK491" s="41"/>
    </row>
    <row r="492" spans="1:37" ht="104.25">
      <c r="A492" s="32" t="s">
        <v>296</v>
      </c>
      <c r="B492" s="86" t="s">
        <v>296</v>
      </c>
      <c r="C492" s="87" t="s">
        <v>806</v>
      </c>
      <c r="D492" s="88"/>
      <c r="E492" s="73"/>
      <c r="F492" s="73"/>
      <c r="G492" s="73"/>
      <c r="H492" s="73"/>
      <c r="I492" s="73"/>
      <c r="J492" s="73"/>
      <c r="K492" s="73"/>
      <c r="L492" s="73"/>
      <c r="M492" s="73"/>
      <c r="N492" s="73"/>
      <c r="O492" s="73"/>
      <c r="P492" s="73"/>
      <c r="Q492" s="73"/>
      <c r="R492" s="73"/>
      <c r="S492" s="73"/>
      <c r="T492" s="73"/>
      <c r="U492" s="73"/>
      <c r="V492" s="73"/>
      <c r="W492" s="73"/>
      <c r="X492" s="73"/>
      <c r="Y492" s="73"/>
      <c r="Z492" s="73"/>
      <c r="AA492" s="75"/>
      <c r="AB492" s="75"/>
      <c r="AC492" s="55"/>
      <c r="AD492" s="89"/>
      <c r="AE492" s="89"/>
      <c r="AF492" s="89"/>
      <c r="AG492" s="91"/>
      <c r="AH492" s="48"/>
      <c r="AI492" s="49"/>
      <c r="AK492" s="41"/>
    </row>
    <row r="493" spans="1:37" ht="21">
      <c r="A493" s="32" t="s">
        <v>997</v>
      </c>
      <c r="B493" s="92" t="s">
        <v>104</v>
      </c>
      <c r="C493" s="93" t="s">
        <v>297</v>
      </c>
      <c r="D493" s="88" t="s">
        <v>81</v>
      </c>
      <c r="E493" s="73"/>
      <c r="F493" s="73"/>
      <c r="G493" s="73"/>
      <c r="H493" s="73"/>
      <c r="I493" s="73"/>
      <c r="J493" s="73"/>
      <c r="K493" s="73"/>
      <c r="L493" s="73"/>
      <c r="M493" s="73"/>
      <c r="N493" s="73"/>
      <c r="O493" s="73"/>
      <c r="P493" s="73"/>
      <c r="Q493" s="73"/>
      <c r="R493" s="73"/>
      <c r="S493" s="73"/>
      <c r="T493" s="73"/>
      <c r="U493" s="73"/>
      <c r="V493" s="73"/>
      <c r="W493" s="73"/>
      <c r="X493" s="73"/>
      <c r="Y493" s="73"/>
      <c r="Z493" s="73"/>
      <c r="AA493" s="75"/>
      <c r="AB493" s="75"/>
      <c r="AC493" s="55"/>
      <c r="AD493" s="89"/>
      <c r="AE493" s="89"/>
      <c r="AF493" s="89"/>
      <c r="AG493" s="57"/>
      <c r="AH493" s="58"/>
      <c r="AI493" s="49"/>
      <c r="AK493" s="41"/>
    </row>
    <row r="494" spans="1:37" ht="21">
      <c r="A494" s="32" t="s">
        <v>998</v>
      </c>
      <c r="B494" s="92" t="s">
        <v>24</v>
      </c>
      <c r="C494" s="93" t="s">
        <v>298</v>
      </c>
      <c r="D494" s="88" t="s">
        <v>81</v>
      </c>
      <c r="E494" s="73"/>
      <c r="F494" s="73"/>
      <c r="G494" s="73"/>
      <c r="H494" s="73"/>
      <c r="I494" s="73"/>
      <c r="J494" s="73"/>
      <c r="K494" s="73"/>
      <c r="L494" s="73"/>
      <c r="M494" s="73"/>
      <c r="N494" s="73"/>
      <c r="O494" s="73"/>
      <c r="P494" s="73"/>
      <c r="Q494" s="73"/>
      <c r="R494" s="73"/>
      <c r="S494" s="73"/>
      <c r="T494" s="73"/>
      <c r="U494" s="73"/>
      <c r="V494" s="73"/>
      <c r="W494" s="73"/>
      <c r="X494" s="73"/>
      <c r="Y494" s="73"/>
      <c r="Z494" s="73"/>
      <c r="AA494" s="75"/>
      <c r="AB494" s="75"/>
      <c r="AC494" s="55"/>
      <c r="AD494" s="89"/>
      <c r="AE494" s="89"/>
      <c r="AF494" s="89"/>
      <c r="AG494" s="57"/>
      <c r="AH494" s="58"/>
      <c r="AI494" s="49"/>
      <c r="AK494" s="41"/>
    </row>
    <row r="495" spans="1:37" ht="21">
      <c r="A495" s="32" t="s">
        <v>999</v>
      </c>
      <c r="B495" s="92" t="s">
        <v>25</v>
      </c>
      <c r="C495" s="93" t="s">
        <v>299</v>
      </c>
      <c r="D495" s="88" t="s">
        <v>81</v>
      </c>
      <c r="E495" s="73"/>
      <c r="F495" s="73"/>
      <c r="G495" s="73"/>
      <c r="H495" s="73"/>
      <c r="I495" s="73"/>
      <c r="J495" s="73"/>
      <c r="K495" s="73"/>
      <c r="L495" s="73"/>
      <c r="M495" s="73"/>
      <c r="N495" s="73"/>
      <c r="O495" s="73"/>
      <c r="P495" s="73"/>
      <c r="Q495" s="73"/>
      <c r="R495" s="73"/>
      <c r="S495" s="73"/>
      <c r="T495" s="73"/>
      <c r="U495" s="73"/>
      <c r="V495" s="73"/>
      <c r="W495" s="73"/>
      <c r="X495" s="73"/>
      <c r="Y495" s="73"/>
      <c r="Z495" s="73"/>
      <c r="AA495" s="75"/>
      <c r="AB495" s="75"/>
      <c r="AC495" s="55"/>
      <c r="AD495" s="89"/>
      <c r="AE495" s="89"/>
      <c r="AF495" s="89"/>
      <c r="AG495" s="57"/>
      <c r="AH495" s="58"/>
      <c r="AI495" s="49"/>
      <c r="AK495" s="41"/>
    </row>
    <row r="496" spans="1:37" ht="27.75">
      <c r="A496" s="32" t="s">
        <v>300</v>
      </c>
      <c r="B496" s="86" t="s">
        <v>300</v>
      </c>
      <c r="C496" s="87" t="s">
        <v>807</v>
      </c>
      <c r="D496" s="88"/>
      <c r="E496" s="73"/>
      <c r="F496" s="73"/>
      <c r="G496" s="73"/>
      <c r="H496" s="73"/>
      <c r="I496" s="73"/>
      <c r="J496" s="73"/>
      <c r="K496" s="73"/>
      <c r="L496" s="73"/>
      <c r="M496" s="73"/>
      <c r="N496" s="73"/>
      <c r="O496" s="73"/>
      <c r="P496" s="73"/>
      <c r="Q496" s="73"/>
      <c r="R496" s="73"/>
      <c r="S496" s="73"/>
      <c r="T496" s="73"/>
      <c r="U496" s="73"/>
      <c r="V496" s="73"/>
      <c r="W496" s="73"/>
      <c r="X496" s="73"/>
      <c r="Y496" s="73"/>
      <c r="Z496" s="73"/>
      <c r="AA496" s="75"/>
      <c r="AB496" s="75"/>
      <c r="AC496" s="55"/>
      <c r="AD496" s="89"/>
      <c r="AE496" s="89"/>
      <c r="AF496" s="89"/>
      <c r="AG496" s="91"/>
      <c r="AH496" s="48"/>
      <c r="AI496" s="49"/>
      <c r="AK496" s="41"/>
    </row>
    <row r="497" spans="1:37" ht="53.25">
      <c r="A497" s="32" t="s">
        <v>301</v>
      </c>
      <c r="B497" s="86" t="s">
        <v>301</v>
      </c>
      <c r="C497" s="87" t="s">
        <v>808</v>
      </c>
      <c r="D497" s="88"/>
      <c r="E497" s="73"/>
      <c r="F497" s="73"/>
      <c r="G497" s="73"/>
      <c r="H497" s="73"/>
      <c r="I497" s="73"/>
      <c r="J497" s="73"/>
      <c r="K497" s="73"/>
      <c r="L497" s="73"/>
      <c r="M497" s="73"/>
      <c r="N497" s="73"/>
      <c r="O497" s="73"/>
      <c r="P497" s="73"/>
      <c r="Q497" s="73"/>
      <c r="R497" s="73"/>
      <c r="S497" s="73"/>
      <c r="T497" s="73"/>
      <c r="U497" s="73"/>
      <c r="V497" s="73"/>
      <c r="W497" s="73"/>
      <c r="X497" s="73"/>
      <c r="Y497" s="73"/>
      <c r="Z497" s="73"/>
      <c r="AA497" s="75"/>
      <c r="AB497" s="75"/>
      <c r="AC497" s="55"/>
      <c r="AD497" s="89"/>
      <c r="AE497" s="89"/>
      <c r="AF497" s="89"/>
      <c r="AG497" s="91"/>
      <c r="AH497" s="48"/>
      <c r="AI497" s="49"/>
      <c r="AK497" s="41"/>
    </row>
    <row r="498" spans="1:37" ht="78.75">
      <c r="A498" s="32" t="s">
        <v>302</v>
      </c>
      <c r="B498" s="86" t="s">
        <v>302</v>
      </c>
      <c r="C498" s="87" t="s">
        <v>809</v>
      </c>
      <c r="D498" s="88"/>
      <c r="E498" s="73"/>
      <c r="F498" s="73"/>
      <c r="G498" s="73"/>
      <c r="H498" s="73"/>
      <c r="I498" s="73"/>
      <c r="J498" s="73"/>
      <c r="K498" s="73"/>
      <c r="L498" s="73"/>
      <c r="M498" s="73"/>
      <c r="N498" s="73"/>
      <c r="O498" s="73"/>
      <c r="P498" s="73"/>
      <c r="Q498" s="73"/>
      <c r="R498" s="73"/>
      <c r="S498" s="73"/>
      <c r="T498" s="73"/>
      <c r="U498" s="73"/>
      <c r="V498" s="73"/>
      <c r="W498" s="73"/>
      <c r="X498" s="73"/>
      <c r="Y498" s="73"/>
      <c r="Z498" s="73"/>
      <c r="AA498" s="75"/>
      <c r="AB498" s="75"/>
      <c r="AC498" s="55"/>
      <c r="AD498" s="89"/>
      <c r="AE498" s="89"/>
      <c r="AF498" s="89"/>
      <c r="AG498" s="91"/>
      <c r="AH498" s="48"/>
      <c r="AI498" s="49"/>
      <c r="AK498" s="41"/>
    </row>
    <row r="499" spans="1:37" ht="53.25">
      <c r="A499" s="32" t="s">
        <v>303</v>
      </c>
      <c r="B499" s="86" t="s">
        <v>303</v>
      </c>
      <c r="C499" s="87" t="s">
        <v>810</v>
      </c>
      <c r="D499" s="88"/>
      <c r="E499" s="73"/>
      <c r="F499" s="73"/>
      <c r="G499" s="73"/>
      <c r="H499" s="73"/>
      <c r="I499" s="73"/>
      <c r="J499" s="73"/>
      <c r="K499" s="73"/>
      <c r="L499" s="73"/>
      <c r="M499" s="73"/>
      <c r="N499" s="73"/>
      <c r="O499" s="73"/>
      <c r="P499" s="73"/>
      <c r="Q499" s="73"/>
      <c r="R499" s="73"/>
      <c r="S499" s="73"/>
      <c r="T499" s="73"/>
      <c r="U499" s="73"/>
      <c r="V499" s="73"/>
      <c r="W499" s="73"/>
      <c r="X499" s="73"/>
      <c r="Y499" s="73"/>
      <c r="Z499" s="73"/>
      <c r="AA499" s="75"/>
      <c r="AB499" s="75"/>
      <c r="AC499" s="55"/>
      <c r="AD499" s="89"/>
      <c r="AE499" s="89"/>
      <c r="AF499" s="89"/>
      <c r="AG499" s="91"/>
      <c r="AH499" s="48"/>
      <c r="AI499" s="49"/>
      <c r="AK499" s="41"/>
    </row>
    <row r="500" spans="1:37" ht="21">
      <c r="A500" s="32" t="s">
        <v>1000</v>
      </c>
      <c r="B500" s="92" t="s">
        <v>104</v>
      </c>
      <c r="C500" s="93" t="s">
        <v>304</v>
      </c>
      <c r="D500" s="88" t="s">
        <v>13</v>
      </c>
      <c r="E500" s="73"/>
      <c r="F500" s="73"/>
      <c r="G500" s="73"/>
      <c r="H500" s="73"/>
      <c r="I500" s="73"/>
      <c r="J500" s="73"/>
      <c r="K500" s="73"/>
      <c r="L500" s="73"/>
      <c r="M500" s="73"/>
      <c r="N500" s="73"/>
      <c r="O500" s="73"/>
      <c r="P500" s="73"/>
      <c r="Q500" s="73"/>
      <c r="R500" s="73"/>
      <c r="S500" s="73"/>
      <c r="T500" s="73"/>
      <c r="U500" s="73"/>
      <c r="V500" s="73"/>
      <c r="W500" s="73"/>
      <c r="X500" s="73"/>
      <c r="Y500" s="73"/>
      <c r="Z500" s="73"/>
      <c r="AA500" s="75"/>
      <c r="AB500" s="75"/>
      <c r="AC500" s="55"/>
      <c r="AD500" s="89"/>
      <c r="AE500" s="89"/>
      <c r="AF500" s="89"/>
      <c r="AG500" s="57"/>
      <c r="AH500" s="58"/>
      <c r="AI500" s="49"/>
      <c r="AK500" s="41"/>
    </row>
    <row r="501" spans="1:37" ht="27.75">
      <c r="A501" s="32" t="s">
        <v>1001</v>
      </c>
      <c r="B501" s="92" t="s">
        <v>24</v>
      </c>
      <c r="C501" s="93" t="s">
        <v>811</v>
      </c>
      <c r="D501" s="88"/>
      <c r="E501" s="73"/>
      <c r="F501" s="73"/>
      <c r="G501" s="73"/>
      <c r="H501" s="73"/>
      <c r="I501" s="73"/>
      <c r="J501" s="73"/>
      <c r="K501" s="73"/>
      <c r="L501" s="73"/>
      <c r="M501" s="73"/>
      <c r="N501" s="73"/>
      <c r="O501" s="73"/>
      <c r="P501" s="73"/>
      <c r="Q501" s="73"/>
      <c r="R501" s="73"/>
      <c r="S501" s="73"/>
      <c r="T501" s="73"/>
      <c r="U501" s="73"/>
      <c r="V501" s="73"/>
      <c r="W501" s="73"/>
      <c r="X501" s="73"/>
      <c r="Y501" s="73"/>
      <c r="Z501" s="73"/>
      <c r="AA501" s="75"/>
      <c r="AB501" s="75"/>
      <c r="AC501" s="55"/>
      <c r="AD501" s="89"/>
      <c r="AE501" s="89"/>
      <c r="AF501" s="89"/>
      <c r="AG501" s="91"/>
      <c r="AH501" s="48"/>
      <c r="AI501" s="49"/>
      <c r="AK501" s="41"/>
    </row>
    <row r="502" spans="1:37" ht="21">
      <c r="A502" s="32" t="s">
        <v>305</v>
      </c>
      <c r="B502" s="86" t="s">
        <v>305</v>
      </c>
      <c r="C502" s="87" t="s">
        <v>306</v>
      </c>
      <c r="D502" s="88"/>
      <c r="E502" s="73"/>
      <c r="F502" s="73"/>
      <c r="G502" s="73"/>
      <c r="H502" s="73"/>
      <c r="I502" s="73"/>
      <c r="J502" s="73"/>
      <c r="K502" s="73"/>
      <c r="L502" s="73"/>
      <c r="M502" s="73"/>
      <c r="N502" s="73"/>
      <c r="O502" s="73"/>
      <c r="P502" s="73"/>
      <c r="Q502" s="73"/>
      <c r="R502" s="73"/>
      <c r="S502" s="73"/>
      <c r="T502" s="73"/>
      <c r="U502" s="73"/>
      <c r="V502" s="73"/>
      <c r="W502" s="73"/>
      <c r="X502" s="73"/>
      <c r="Y502" s="73"/>
      <c r="Z502" s="73"/>
      <c r="AA502" s="75"/>
      <c r="AB502" s="75"/>
      <c r="AC502" s="55"/>
      <c r="AD502" s="89"/>
      <c r="AE502" s="89"/>
      <c r="AF502" s="89"/>
      <c r="AG502" s="91"/>
      <c r="AH502" s="48"/>
      <c r="AI502" s="49"/>
      <c r="AK502" s="41"/>
    </row>
    <row r="503" spans="1:37" ht="40.5">
      <c r="A503" s="32" t="s">
        <v>1002</v>
      </c>
      <c r="B503" s="92" t="s">
        <v>14</v>
      </c>
      <c r="C503" s="93" t="s">
        <v>812</v>
      </c>
      <c r="D503" s="88" t="s">
        <v>77</v>
      </c>
      <c r="E503" s="73"/>
      <c r="F503" s="73"/>
      <c r="G503" s="73"/>
      <c r="H503" s="73"/>
      <c r="I503" s="73"/>
      <c r="J503" s="73"/>
      <c r="K503" s="73"/>
      <c r="L503" s="73"/>
      <c r="M503" s="73"/>
      <c r="N503" s="73"/>
      <c r="O503" s="73"/>
      <c r="P503" s="73"/>
      <c r="Q503" s="73"/>
      <c r="R503" s="73"/>
      <c r="S503" s="73"/>
      <c r="T503" s="73"/>
      <c r="U503" s="73"/>
      <c r="V503" s="73"/>
      <c r="W503" s="73"/>
      <c r="X503" s="73"/>
      <c r="Y503" s="73"/>
      <c r="Z503" s="73"/>
      <c r="AA503" s="75"/>
      <c r="AB503" s="75"/>
      <c r="AC503" s="55"/>
      <c r="AD503" s="89"/>
      <c r="AE503" s="89"/>
      <c r="AF503" s="89"/>
      <c r="AG503" s="57"/>
      <c r="AH503" s="58"/>
      <c r="AI503" s="49"/>
      <c r="AK503" s="41"/>
    </row>
    <row r="504" spans="1:37" ht="40.5">
      <c r="A504" s="32" t="s">
        <v>1003</v>
      </c>
      <c r="B504" s="92" t="s">
        <v>15</v>
      </c>
      <c r="C504" s="93" t="s">
        <v>813</v>
      </c>
      <c r="D504" s="88" t="s">
        <v>77</v>
      </c>
      <c r="E504" s="73"/>
      <c r="F504" s="73"/>
      <c r="G504" s="73"/>
      <c r="H504" s="73"/>
      <c r="I504" s="73"/>
      <c r="J504" s="73"/>
      <c r="K504" s="73"/>
      <c r="L504" s="73"/>
      <c r="M504" s="73"/>
      <c r="N504" s="73"/>
      <c r="O504" s="73"/>
      <c r="P504" s="73"/>
      <c r="Q504" s="73"/>
      <c r="R504" s="73"/>
      <c r="S504" s="73"/>
      <c r="T504" s="73"/>
      <c r="U504" s="73"/>
      <c r="V504" s="73"/>
      <c r="W504" s="73"/>
      <c r="X504" s="73"/>
      <c r="Y504" s="73"/>
      <c r="Z504" s="73"/>
      <c r="AA504" s="75"/>
      <c r="AB504" s="75"/>
      <c r="AC504" s="55"/>
      <c r="AD504" s="89"/>
      <c r="AE504" s="89"/>
      <c r="AF504" s="89"/>
      <c r="AG504" s="57"/>
      <c r="AH504" s="58"/>
      <c r="AI504" s="49"/>
      <c r="AK504" s="41"/>
    </row>
    <row r="505" spans="1:37" ht="27.75">
      <c r="A505" s="32" t="s">
        <v>1004</v>
      </c>
      <c r="B505" s="92" t="s">
        <v>40</v>
      </c>
      <c r="C505" s="93" t="s">
        <v>814</v>
      </c>
      <c r="D505" s="88" t="s">
        <v>77</v>
      </c>
      <c r="E505" s="73"/>
      <c r="F505" s="73"/>
      <c r="G505" s="73"/>
      <c r="H505" s="73"/>
      <c r="I505" s="73"/>
      <c r="J505" s="73"/>
      <c r="K505" s="73"/>
      <c r="L505" s="73"/>
      <c r="M505" s="73"/>
      <c r="N505" s="73"/>
      <c r="O505" s="73"/>
      <c r="P505" s="73"/>
      <c r="Q505" s="73"/>
      <c r="R505" s="73"/>
      <c r="S505" s="73"/>
      <c r="T505" s="73"/>
      <c r="U505" s="73"/>
      <c r="V505" s="73"/>
      <c r="W505" s="73"/>
      <c r="X505" s="73"/>
      <c r="Y505" s="73"/>
      <c r="Z505" s="73"/>
      <c r="AA505" s="75"/>
      <c r="AB505" s="75"/>
      <c r="AC505" s="55"/>
      <c r="AD505" s="89"/>
      <c r="AE505" s="89"/>
      <c r="AF505" s="89"/>
      <c r="AG505" s="57"/>
      <c r="AH505" s="58"/>
      <c r="AI505" s="49"/>
      <c r="AK505" s="41"/>
    </row>
    <row r="506" spans="1:37" ht="53.25">
      <c r="A506" s="32" t="s">
        <v>307</v>
      </c>
      <c r="B506" s="86" t="s">
        <v>307</v>
      </c>
      <c r="C506" s="87" t="s">
        <v>815</v>
      </c>
      <c r="D506" s="88" t="s">
        <v>33</v>
      </c>
      <c r="E506" s="73"/>
      <c r="F506" s="73"/>
      <c r="G506" s="73"/>
      <c r="H506" s="73"/>
      <c r="I506" s="73"/>
      <c r="J506" s="73"/>
      <c r="K506" s="73"/>
      <c r="L506" s="73"/>
      <c r="M506" s="73"/>
      <c r="N506" s="73"/>
      <c r="O506" s="73"/>
      <c r="P506" s="73"/>
      <c r="Q506" s="73"/>
      <c r="R506" s="73"/>
      <c r="S506" s="73"/>
      <c r="T506" s="73"/>
      <c r="U506" s="73"/>
      <c r="V506" s="73"/>
      <c r="W506" s="73"/>
      <c r="X506" s="73"/>
      <c r="Y506" s="73"/>
      <c r="Z506" s="73"/>
      <c r="AA506" s="75"/>
      <c r="AB506" s="75"/>
      <c r="AC506" s="55"/>
      <c r="AD506" s="89"/>
      <c r="AE506" s="89"/>
      <c r="AF506" s="89"/>
      <c r="AG506" s="57"/>
      <c r="AH506" s="58"/>
      <c r="AI506" s="49"/>
      <c r="AK506" s="41"/>
    </row>
    <row r="507" spans="1:37" ht="40.5">
      <c r="A507" s="32" t="s">
        <v>308</v>
      </c>
      <c r="B507" s="86" t="s">
        <v>308</v>
      </c>
      <c r="C507" s="87" t="s">
        <v>816</v>
      </c>
      <c r="D507" s="88" t="s">
        <v>33</v>
      </c>
      <c r="E507" s="73"/>
      <c r="F507" s="73"/>
      <c r="G507" s="73"/>
      <c r="H507" s="73"/>
      <c r="I507" s="73"/>
      <c r="J507" s="73"/>
      <c r="K507" s="73"/>
      <c r="L507" s="73"/>
      <c r="M507" s="73"/>
      <c r="N507" s="73"/>
      <c r="O507" s="73"/>
      <c r="P507" s="73"/>
      <c r="Q507" s="73"/>
      <c r="R507" s="73"/>
      <c r="S507" s="73"/>
      <c r="T507" s="73"/>
      <c r="U507" s="73"/>
      <c r="V507" s="73"/>
      <c r="W507" s="73"/>
      <c r="X507" s="73"/>
      <c r="Y507" s="73"/>
      <c r="Z507" s="73"/>
      <c r="AA507" s="75"/>
      <c r="AB507" s="75"/>
      <c r="AC507" s="55"/>
      <c r="AD507" s="89"/>
      <c r="AE507" s="89"/>
      <c r="AF507" s="89"/>
      <c r="AG507" s="57"/>
      <c r="AH507" s="58"/>
      <c r="AI507" s="49"/>
      <c r="AK507" s="41"/>
    </row>
    <row r="508" spans="1:37" ht="21">
      <c r="A508" s="32" t="s">
        <v>309</v>
      </c>
      <c r="B508" s="86" t="s">
        <v>309</v>
      </c>
      <c r="C508" s="87" t="s">
        <v>310</v>
      </c>
      <c r="D508" s="88"/>
      <c r="E508" s="73"/>
      <c r="F508" s="73"/>
      <c r="G508" s="73"/>
      <c r="H508" s="73"/>
      <c r="I508" s="73"/>
      <c r="J508" s="73"/>
      <c r="K508" s="73"/>
      <c r="L508" s="73"/>
      <c r="M508" s="73"/>
      <c r="N508" s="73"/>
      <c r="O508" s="73"/>
      <c r="P508" s="73"/>
      <c r="Q508" s="73"/>
      <c r="R508" s="73"/>
      <c r="S508" s="73"/>
      <c r="T508" s="73"/>
      <c r="U508" s="73"/>
      <c r="V508" s="73"/>
      <c r="W508" s="73"/>
      <c r="X508" s="73"/>
      <c r="Y508" s="73"/>
      <c r="Z508" s="73"/>
      <c r="AA508" s="75"/>
      <c r="AB508" s="75"/>
      <c r="AC508" s="55"/>
      <c r="AD508" s="89"/>
      <c r="AE508" s="89"/>
      <c r="AF508" s="89"/>
      <c r="AG508" s="91"/>
      <c r="AH508" s="48"/>
      <c r="AI508" s="49"/>
      <c r="AK508" s="41"/>
    </row>
    <row r="509" spans="1:37" ht="66">
      <c r="A509" s="32" t="s">
        <v>1005</v>
      </c>
      <c r="B509" s="94" t="s">
        <v>14</v>
      </c>
      <c r="C509" s="95" t="s">
        <v>817</v>
      </c>
      <c r="D509" s="88"/>
      <c r="E509" s="73"/>
      <c r="F509" s="73"/>
      <c r="G509" s="73"/>
      <c r="H509" s="73"/>
      <c r="I509" s="73"/>
      <c r="J509" s="73"/>
      <c r="K509" s="73"/>
      <c r="L509" s="73"/>
      <c r="M509" s="73"/>
      <c r="N509" s="73"/>
      <c r="O509" s="73"/>
      <c r="P509" s="73"/>
      <c r="Q509" s="73"/>
      <c r="R509" s="73"/>
      <c r="S509" s="73"/>
      <c r="T509" s="73"/>
      <c r="U509" s="73"/>
      <c r="V509" s="73"/>
      <c r="W509" s="73"/>
      <c r="X509" s="73"/>
      <c r="Y509" s="73"/>
      <c r="Z509" s="73"/>
      <c r="AA509" s="75"/>
      <c r="AB509" s="75"/>
      <c r="AC509" s="55"/>
      <c r="AD509" s="89"/>
      <c r="AE509" s="89"/>
      <c r="AF509" s="89"/>
      <c r="AG509" s="57"/>
      <c r="AH509" s="58"/>
      <c r="AI509" s="49"/>
      <c r="AK509" s="41"/>
    </row>
    <row r="510" spans="1:37" ht="40.5">
      <c r="A510" s="32" t="s">
        <v>1006</v>
      </c>
      <c r="B510" s="94" t="s">
        <v>15</v>
      </c>
      <c r="C510" s="95" t="s">
        <v>818</v>
      </c>
      <c r="D510" s="88"/>
      <c r="E510" s="73"/>
      <c r="F510" s="73"/>
      <c r="G510" s="73"/>
      <c r="H510" s="73"/>
      <c r="I510" s="73"/>
      <c r="J510" s="73"/>
      <c r="K510" s="73"/>
      <c r="L510" s="73"/>
      <c r="M510" s="73"/>
      <c r="N510" s="73"/>
      <c r="O510" s="73"/>
      <c r="P510" s="73"/>
      <c r="Q510" s="73"/>
      <c r="R510" s="73"/>
      <c r="S510" s="73"/>
      <c r="T510" s="73"/>
      <c r="U510" s="73"/>
      <c r="V510" s="73"/>
      <c r="W510" s="73"/>
      <c r="X510" s="73"/>
      <c r="Y510" s="73"/>
      <c r="Z510" s="73"/>
      <c r="AA510" s="75"/>
      <c r="AB510" s="75"/>
      <c r="AC510" s="55"/>
      <c r="AD510" s="89"/>
      <c r="AE510" s="89"/>
      <c r="AF510" s="89"/>
      <c r="AG510" s="57"/>
      <c r="AH510" s="58"/>
      <c r="AI510" s="49"/>
      <c r="AK510" s="41"/>
    </row>
    <row r="511" spans="1:37" ht="21">
      <c r="A511" s="32" t="s">
        <v>1007</v>
      </c>
      <c r="B511" s="94" t="s">
        <v>40</v>
      </c>
      <c r="C511" s="95" t="s">
        <v>819</v>
      </c>
      <c r="D511" s="88"/>
      <c r="E511" s="73"/>
      <c r="F511" s="73"/>
      <c r="G511" s="73"/>
      <c r="H511" s="73"/>
      <c r="I511" s="73"/>
      <c r="J511" s="73"/>
      <c r="K511" s="73"/>
      <c r="L511" s="73"/>
      <c r="M511" s="73"/>
      <c r="N511" s="73"/>
      <c r="O511" s="73"/>
      <c r="P511" s="73"/>
      <c r="Q511" s="73"/>
      <c r="R511" s="73"/>
      <c r="S511" s="73"/>
      <c r="T511" s="73"/>
      <c r="U511" s="73"/>
      <c r="V511" s="73"/>
      <c r="W511" s="73"/>
      <c r="X511" s="73"/>
      <c r="Y511" s="73"/>
      <c r="Z511" s="73"/>
      <c r="AA511" s="75"/>
      <c r="AB511" s="75"/>
      <c r="AC511" s="55"/>
      <c r="AD511" s="89"/>
      <c r="AE511" s="89"/>
      <c r="AF511" s="89"/>
      <c r="AG511" s="91"/>
      <c r="AH511" s="48"/>
      <c r="AI511" s="49"/>
      <c r="AK511" s="41"/>
    </row>
    <row r="512" spans="1:37" ht="40.5">
      <c r="A512" s="32" t="s">
        <v>311</v>
      </c>
      <c r="B512" s="86" t="s">
        <v>311</v>
      </c>
      <c r="C512" s="87" t="s">
        <v>820</v>
      </c>
      <c r="D512" s="88" t="s">
        <v>77</v>
      </c>
      <c r="E512" s="73"/>
      <c r="F512" s="73"/>
      <c r="G512" s="73"/>
      <c r="H512" s="73"/>
      <c r="I512" s="73"/>
      <c r="J512" s="73"/>
      <c r="K512" s="73"/>
      <c r="L512" s="73"/>
      <c r="M512" s="73"/>
      <c r="N512" s="73"/>
      <c r="O512" s="73"/>
      <c r="P512" s="73"/>
      <c r="Q512" s="73"/>
      <c r="R512" s="73"/>
      <c r="S512" s="73"/>
      <c r="T512" s="73"/>
      <c r="U512" s="73"/>
      <c r="V512" s="73"/>
      <c r="W512" s="73"/>
      <c r="X512" s="73"/>
      <c r="Y512" s="73"/>
      <c r="Z512" s="73"/>
      <c r="AA512" s="75"/>
      <c r="AB512" s="75"/>
      <c r="AC512" s="55"/>
      <c r="AD512" s="89"/>
      <c r="AE512" s="89"/>
      <c r="AF512" s="89"/>
      <c r="AG512" s="57"/>
      <c r="AH512" s="58"/>
      <c r="AI512" s="49"/>
      <c r="AK512" s="41"/>
    </row>
    <row r="513" spans="1:37" ht="53.25">
      <c r="A513" s="32" t="s">
        <v>312</v>
      </c>
      <c r="B513" s="86" t="s">
        <v>312</v>
      </c>
      <c r="C513" s="87" t="s">
        <v>821</v>
      </c>
      <c r="D513" s="88" t="s">
        <v>33</v>
      </c>
      <c r="E513" s="73"/>
      <c r="F513" s="73"/>
      <c r="G513" s="73"/>
      <c r="H513" s="73"/>
      <c r="I513" s="73"/>
      <c r="J513" s="73"/>
      <c r="K513" s="73"/>
      <c r="L513" s="73"/>
      <c r="M513" s="73"/>
      <c r="N513" s="73"/>
      <c r="O513" s="73"/>
      <c r="P513" s="73"/>
      <c r="Q513" s="73"/>
      <c r="R513" s="73"/>
      <c r="S513" s="73"/>
      <c r="T513" s="73"/>
      <c r="U513" s="73"/>
      <c r="V513" s="73"/>
      <c r="W513" s="73"/>
      <c r="X513" s="73"/>
      <c r="Y513" s="73"/>
      <c r="Z513" s="73"/>
      <c r="AA513" s="75"/>
      <c r="AB513" s="75"/>
      <c r="AC513" s="55"/>
      <c r="AD513" s="89"/>
      <c r="AE513" s="89"/>
      <c r="AF513" s="89"/>
      <c r="AG513" s="57"/>
      <c r="AH513" s="58"/>
      <c r="AI513" s="49"/>
      <c r="AK513" s="41"/>
    </row>
    <row r="514" spans="1:37" ht="155.25">
      <c r="A514" s="32" t="s">
        <v>313</v>
      </c>
      <c r="B514" s="86" t="s">
        <v>313</v>
      </c>
      <c r="C514" s="87" t="s">
        <v>822</v>
      </c>
      <c r="D514" s="88"/>
      <c r="E514" s="73"/>
      <c r="F514" s="73"/>
      <c r="G514" s="73"/>
      <c r="H514" s="73"/>
      <c r="I514" s="73"/>
      <c r="J514" s="73"/>
      <c r="K514" s="73"/>
      <c r="L514" s="73"/>
      <c r="M514" s="73"/>
      <c r="N514" s="73"/>
      <c r="O514" s="73"/>
      <c r="P514" s="73"/>
      <c r="Q514" s="73"/>
      <c r="R514" s="73"/>
      <c r="S514" s="73"/>
      <c r="T514" s="73"/>
      <c r="U514" s="73"/>
      <c r="V514" s="73"/>
      <c r="W514" s="73"/>
      <c r="X514" s="73"/>
      <c r="Y514" s="73"/>
      <c r="Z514" s="73"/>
      <c r="AA514" s="75"/>
      <c r="AB514" s="75"/>
      <c r="AC514" s="55"/>
      <c r="AD514" s="89"/>
      <c r="AE514" s="89"/>
      <c r="AF514" s="89"/>
      <c r="AG514" s="57"/>
      <c r="AH514" s="58"/>
      <c r="AI514" s="49"/>
      <c r="AK514" s="41"/>
    </row>
    <row r="515" spans="1:37" ht="27.75">
      <c r="A515" s="32" t="s">
        <v>314</v>
      </c>
      <c r="B515" s="86" t="s">
        <v>314</v>
      </c>
      <c r="C515" s="87" t="s">
        <v>823</v>
      </c>
      <c r="D515" s="88"/>
      <c r="E515" s="73"/>
      <c r="F515" s="73"/>
      <c r="G515" s="73"/>
      <c r="H515" s="73"/>
      <c r="I515" s="73"/>
      <c r="J515" s="73"/>
      <c r="K515" s="73"/>
      <c r="L515" s="73"/>
      <c r="M515" s="73"/>
      <c r="N515" s="73"/>
      <c r="O515" s="73"/>
      <c r="P515" s="73"/>
      <c r="Q515" s="73"/>
      <c r="R515" s="73"/>
      <c r="S515" s="73"/>
      <c r="T515" s="73"/>
      <c r="U515" s="73"/>
      <c r="V515" s="73"/>
      <c r="W515" s="73"/>
      <c r="X515" s="73"/>
      <c r="Y515" s="73"/>
      <c r="Z515" s="73"/>
      <c r="AA515" s="75"/>
      <c r="AB515" s="75"/>
      <c r="AC515" s="55"/>
      <c r="AD515" s="89"/>
      <c r="AE515" s="89"/>
      <c r="AF515" s="89"/>
      <c r="AG515" s="57"/>
      <c r="AH515" s="58"/>
      <c r="AI515" s="49"/>
      <c r="AK515" s="41"/>
    </row>
    <row r="516" spans="1:37" ht="91.5">
      <c r="A516" s="32" t="s">
        <v>315</v>
      </c>
      <c r="B516" s="86" t="s">
        <v>315</v>
      </c>
      <c r="C516" s="87" t="s">
        <v>824</v>
      </c>
      <c r="D516" s="88"/>
      <c r="E516" s="73"/>
      <c r="F516" s="73"/>
      <c r="G516" s="73"/>
      <c r="H516" s="73"/>
      <c r="I516" s="73"/>
      <c r="J516" s="73"/>
      <c r="K516" s="73"/>
      <c r="L516" s="73"/>
      <c r="M516" s="73"/>
      <c r="N516" s="73"/>
      <c r="O516" s="73"/>
      <c r="P516" s="73"/>
      <c r="Q516" s="73"/>
      <c r="R516" s="73"/>
      <c r="S516" s="73"/>
      <c r="T516" s="73"/>
      <c r="U516" s="73"/>
      <c r="V516" s="73"/>
      <c r="W516" s="73"/>
      <c r="X516" s="73"/>
      <c r="Y516" s="73"/>
      <c r="Z516" s="73"/>
      <c r="AA516" s="75"/>
      <c r="AB516" s="75"/>
      <c r="AC516" s="55"/>
      <c r="AD516" s="89"/>
      <c r="AE516" s="89"/>
      <c r="AF516" s="89"/>
      <c r="AG516" s="91"/>
      <c r="AH516" s="48"/>
      <c r="AI516" s="49"/>
      <c r="AK516" s="41"/>
    </row>
    <row r="517" spans="1:37" ht="53.25">
      <c r="A517" s="32" t="s">
        <v>316</v>
      </c>
      <c r="B517" s="86" t="s">
        <v>316</v>
      </c>
      <c r="C517" s="87" t="s">
        <v>825</v>
      </c>
      <c r="D517" s="88" t="s">
        <v>33</v>
      </c>
      <c r="E517" s="73"/>
      <c r="F517" s="73"/>
      <c r="G517" s="73"/>
      <c r="H517" s="73"/>
      <c r="I517" s="73"/>
      <c r="J517" s="73"/>
      <c r="K517" s="73"/>
      <c r="L517" s="73"/>
      <c r="M517" s="73"/>
      <c r="N517" s="73"/>
      <c r="O517" s="73"/>
      <c r="P517" s="73"/>
      <c r="Q517" s="73"/>
      <c r="R517" s="73"/>
      <c r="S517" s="73"/>
      <c r="T517" s="73"/>
      <c r="U517" s="73"/>
      <c r="V517" s="73"/>
      <c r="W517" s="73"/>
      <c r="X517" s="73"/>
      <c r="Y517" s="73"/>
      <c r="Z517" s="73"/>
      <c r="AA517" s="75"/>
      <c r="AB517" s="75"/>
      <c r="AC517" s="55"/>
      <c r="AD517" s="89"/>
      <c r="AE517" s="89"/>
      <c r="AF517" s="89"/>
      <c r="AG517" s="57"/>
      <c r="AH517" s="58"/>
      <c r="AI517" s="49"/>
      <c r="AK517" s="41"/>
    </row>
    <row r="518" spans="1:37" ht="21">
      <c r="A518" s="32" t="s">
        <v>317</v>
      </c>
      <c r="B518" s="86" t="s">
        <v>317</v>
      </c>
      <c r="C518" s="87" t="s">
        <v>318</v>
      </c>
      <c r="D518" s="88"/>
      <c r="E518" s="73"/>
      <c r="F518" s="73"/>
      <c r="G518" s="73"/>
      <c r="H518" s="73"/>
      <c r="I518" s="73"/>
      <c r="J518" s="73"/>
      <c r="K518" s="73"/>
      <c r="L518" s="73"/>
      <c r="M518" s="73"/>
      <c r="N518" s="73"/>
      <c r="O518" s="73"/>
      <c r="P518" s="73"/>
      <c r="Q518" s="73"/>
      <c r="R518" s="73"/>
      <c r="S518" s="73"/>
      <c r="T518" s="73"/>
      <c r="U518" s="73"/>
      <c r="V518" s="73"/>
      <c r="W518" s="73"/>
      <c r="X518" s="73"/>
      <c r="Y518" s="73"/>
      <c r="Z518" s="73"/>
      <c r="AA518" s="75"/>
      <c r="AB518" s="75"/>
      <c r="AC518" s="55"/>
      <c r="AD518" s="89"/>
      <c r="AE518" s="89"/>
      <c r="AF518" s="89"/>
      <c r="AG518" s="91"/>
      <c r="AH518" s="48"/>
      <c r="AI518" s="49"/>
      <c r="AK518" s="41"/>
    </row>
    <row r="519" spans="1:37" ht="53.25">
      <c r="A519" s="32" t="s">
        <v>1008</v>
      </c>
      <c r="B519" s="92" t="s">
        <v>14</v>
      </c>
      <c r="C519" s="93" t="s">
        <v>826</v>
      </c>
      <c r="D519" s="88" t="s">
        <v>33</v>
      </c>
      <c r="E519" s="73"/>
      <c r="F519" s="73"/>
      <c r="G519" s="73"/>
      <c r="H519" s="73"/>
      <c r="I519" s="73"/>
      <c r="J519" s="73"/>
      <c r="K519" s="73"/>
      <c r="L519" s="73"/>
      <c r="M519" s="73"/>
      <c r="N519" s="73"/>
      <c r="O519" s="73"/>
      <c r="P519" s="73"/>
      <c r="Q519" s="73"/>
      <c r="R519" s="73"/>
      <c r="S519" s="73"/>
      <c r="T519" s="73"/>
      <c r="U519" s="73"/>
      <c r="V519" s="73"/>
      <c r="W519" s="73"/>
      <c r="X519" s="73"/>
      <c r="Y519" s="73"/>
      <c r="Z519" s="73"/>
      <c r="AA519" s="75"/>
      <c r="AB519" s="75"/>
      <c r="AC519" s="55"/>
      <c r="AD519" s="89"/>
      <c r="AE519" s="89"/>
      <c r="AF519" s="89"/>
      <c r="AG519" s="57"/>
      <c r="AH519" s="58"/>
      <c r="AI519" s="49"/>
      <c r="AK519" s="41"/>
    </row>
    <row r="520" spans="1:37" ht="53.25">
      <c r="A520" s="32" t="s">
        <v>1009</v>
      </c>
      <c r="B520" s="92" t="s">
        <v>15</v>
      </c>
      <c r="C520" s="93" t="s">
        <v>827</v>
      </c>
      <c r="D520" s="88" t="s">
        <v>33</v>
      </c>
      <c r="E520" s="73"/>
      <c r="F520" s="73"/>
      <c r="G520" s="73"/>
      <c r="H520" s="73"/>
      <c r="I520" s="73"/>
      <c r="J520" s="73"/>
      <c r="K520" s="73"/>
      <c r="L520" s="73"/>
      <c r="M520" s="73"/>
      <c r="N520" s="73"/>
      <c r="O520" s="73"/>
      <c r="P520" s="73"/>
      <c r="Q520" s="73"/>
      <c r="R520" s="73"/>
      <c r="S520" s="73"/>
      <c r="T520" s="73"/>
      <c r="U520" s="73"/>
      <c r="V520" s="73"/>
      <c r="W520" s="73"/>
      <c r="X520" s="73"/>
      <c r="Y520" s="73"/>
      <c r="Z520" s="73"/>
      <c r="AA520" s="75"/>
      <c r="AB520" s="75"/>
      <c r="AC520" s="55"/>
      <c r="AD520" s="89"/>
      <c r="AE520" s="89"/>
      <c r="AF520" s="89"/>
      <c r="AG520" s="57"/>
      <c r="AH520" s="58"/>
      <c r="AI520" s="49"/>
      <c r="AK520" s="41"/>
    </row>
    <row r="521" spans="1:37" ht="40.5">
      <c r="A521" s="32" t="s">
        <v>1010</v>
      </c>
      <c r="B521" s="92" t="s">
        <v>40</v>
      </c>
      <c r="C521" s="93" t="s">
        <v>828</v>
      </c>
      <c r="D521" s="88" t="s">
        <v>33</v>
      </c>
      <c r="E521" s="73"/>
      <c r="F521" s="73"/>
      <c r="G521" s="73"/>
      <c r="H521" s="73"/>
      <c r="I521" s="73"/>
      <c r="J521" s="73"/>
      <c r="K521" s="73"/>
      <c r="L521" s="73"/>
      <c r="M521" s="73"/>
      <c r="N521" s="73"/>
      <c r="O521" s="73"/>
      <c r="P521" s="73"/>
      <c r="Q521" s="73"/>
      <c r="R521" s="73"/>
      <c r="S521" s="73"/>
      <c r="T521" s="73"/>
      <c r="U521" s="73"/>
      <c r="V521" s="73"/>
      <c r="W521" s="73"/>
      <c r="X521" s="73"/>
      <c r="Y521" s="73"/>
      <c r="Z521" s="73"/>
      <c r="AA521" s="75"/>
      <c r="AB521" s="75"/>
      <c r="AC521" s="55"/>
      <c r="AD521" s="89"/>
      <c r="AE521" s="89"/>
      <c r="AF521" s="89"/>
      <c r="AG521" s="57"/>
      <c r="AH521" s="58"/>
      <c r="AI521" s="49"/>
      <c r="AK521" s="41"/>
    </row>
    <row r="522" spans="1:37" ht="40.5">
      <c r="A522" s="32" t="s">
        <v>319</v>
      </c>
      <c r="B522" s="86" t="s">
        <v>319</v>
      </c>
      <c r="C522" s="87" t="s">
        <v>829</v>
      </c>
      <c r="D522" s="88" t="s">
        <v>33</v>
      </c>
      <c r="E522" s="73"/>
      <c r="F522" s="73"/>
      <c r="G522" s="73"/>
      <c r="H522" s="73"/>
      <c r="I522" s="73"/>
      <c r="J522" s="73"/>
      <c r="K522" s="73"/>
      <c r="L522" s="73"/>
      <c r="M522" s="73"/>
      <c r="N522" s="73"/>
      <c r="O522" s="73"/>
      <c r="P522" s="73"/>
      <c r="Q522" s="73"/>
      <c r="R522" s="73"/>
      <c r="S522" s="73"/>
      <c r="T522" s="73"/>
      <c r="U522" s="73"/>
      <c r="V522" s="73"/>
      <c r="W522" s="73"/>
      <c r="X522" s="73"/>
      <c r="Y522" s="73"/>
      <c r="Z522" s="73"/>
      <c r="AA522" s="75"/>
      <c r="AB522" s="75"/>
      <c r="AC522" s="55"/>
      <c r="AD522" s="89"/>
      <c r="AE522" s="89"/>
      <c r="AF522" s="89"/>
      <c r="AG522" s="57"/>
      <c r="AH522" s="58"/>
      <c r="AI522" s="49"/>
      <c r="AK522" s="41"/>
    </row>
    <row r="523" spans="1:37" ht="78.75">
      <c r="A523" s="32" t="s">
        <v>1011</v>
      </c>
      <c r="B523" s="86">
        <v>8.4600000000000009</v>
      </c>
      <c r="C523" s="87" t="s">
        <v>830</v>
      </c>
      <c r="D523" s="88" t="s">
        <v>33</v>
      </c>
      <c r="E523" s="73"/>
      <c r="F523" s="73"/>
      <c r="G523" s="73"/>
      <c r="H523" s="73"/>
      <c r="I523" s="73"/>
      <c r="J523" s="73"/>
      <c r="K523" s="73"/>
      <c r="L523" s="73"/>
      <c r="M523" s="73"/>
      <c r="N523" s="73"/>
      <c r="O523" s="73"/>
      <c r="P523" s="73"/>
      <c r="Q523" s="73"/>
      <c r="R523" s="73"/>
      <c r="S523" s="73"/>
      <c r="T523" s="73"/>
      <c r="U523" s="73"/>
      <c r="V523" s="73"/>
      <c r="W523" s="73"/>
      <c r="X523" s="73"/>
      <c r="Y523" s="73"/>
      <c r="Z523" s="73"/>
      <c r="AA523" s="75"/>
      <c r="AB523" s="75"/>
      <c r="AC523" s="55"/>
      <c r="AD523" s="89"/>
      <c r="AE523" s="89"/>
      <c r="AF523" s="89"/>
      <c r="AG523" s="57"/>
      <c r="AH523" s="58"/>
      <c r="AI523" s="49"/>
      <c r="AK523" s="41"/>
    </row>
    <row r="524" spans="1:37" ht="53.25">
      <c r="A524" s="32" t="s">
        <v>1012</v>
      </c>
      <c r="B524" s="86">
        <v>8.4700000000000006</v>
      </c>
      <c r="C524" s="87" t="s">
        <v>831</v>
      </c>
      <c r="D524" s="88" t="s">
        <v>33</v>
      </c>
      <c r="E524" s="73"/>
      <c r="F524" s="73"/>
      <c r="G524" s="73"/>
      <c r="H524" s="73"/>
      <c r="I524" s="73"/>
      <c r="J524" s="73"/>
      <c r="K524" s="73"/>
      <c r="L524" s="73"/>
      <c r="M524" s="73"/>
      <c r="N524" s="73"/>
      <c r="O524" s="73"/>
      <c r="P524" s="73"/>
      <c r="Q524" s="73"/>
      <c r="R524" s="73"/>
      <c r="S524" s="73"/>
      <c r="T524" s="73"/>
      <c r="U524" s="73"/>
      <c r="V524" s="73"/>
      <c r="W524" s="73"/>
      <c r="X524" s="73"/>
      <c r="Y524" s="73"/>
      <c r="Z524" s="73"/>
      <c r="AA524" s="75"/>
      <c r="AB524" s="75"/>
      <c r="AC524" s="55"/>
      <c r="AD524" s="89"/>
      <c r="AE524" s="89"/>
      <c r="AF524" s="89"/>
      <c r="AG524" s="57"/>
      <c r="AH524" s="58"/>
      <c r="AI524" s="49"/>
      <c r="AK524" s="41"/>
    </row>
    <row r="525" spans="1:37" ht="53.25">
      <c r="A525" s="32" t="s">
        <v>1013</v>
      </c>
      <c r="B525" s="86">
        <v>8.48</v>
      </c>
      <c r="C525" s="87" t="s">
        <v>832</v>
      </c>
      <c r="D525" s="88" t="s">
        <v>33</v>
      </c>
      <c r="E525" s="73"/>
      <c r="F525" s="73"/>
      <c r="G525" s="73"/>
      <c r="H525" s="73"/>
      <c r="I525" s="73"/>
      <c r="J525" s="73"/>
      <c r="K525" s="73"/>
      <c r="L525" s="73"/>
      <c r="M525" s="73"/>
      <c r="N525" s="73"/>
      <c r="O525" s="73"/>
      <c r="P525" s="73"/>
      <c r="Q525" s="73"/>
      <c r="R525" s="73"/>
      <c r="S525" s="73"/>
      <c r="T525" s="73"/>
      <c r="U525" s="73"/>
      <c r="V525" s="73"/>
      <c r="W525" s="73"/>
      <c r="X525" s="73"/>
      <c r="Y525" s="73"/>
      <c r="Z525" s="73"/>
      <c r="AA525" s="75"/>
      <c r="AB525" s="75"/>
      <c r="AC525" s="55"/>
      <c r="AD525" s="89"/>
      <c r="AE525" s="89"/>
      <c r="AF525" s="89"/>
      <c r="AG525" s="57"/>
      <c r="AH525" s="58"/>
      <c r="AI525" s="49"/>
      <c r="AK525" s="41"/>
    </row>
    <row r="526" spans="1:37" ht="27.75">
      <c r="A526" s="32" t="s">
        <v>1014</v>
      </c>
      <c r="B526" s="86">
        <v>8.49</v>
      </c>
      <c r="C526" s="87" t="s">
        <v>833</v>
      </c>
      <c r="D526" s="88" t="s">
        <v>33</v>
      </c>
      <c r="E526" s="73"/>
      <c r="F526" s="73"/>
      <c r="G526" s="73"/>
      <c r="H526" s="73"/>
      <c r="I526" s="73"/>
      <c r="J526" s="73"/>
      <c r="K526" s="73"/>
      <c r="L526" s="73"/>
      <c r="M526" s="73"/>
      <c r="N526" s="73"/>
      <c r="O526" s="73"/>
      <c r="P526" s="73"/>
      <c r="Q526" s="73"/>
      <c r="R526" s="73"/>
      <c r="S526" s="73"/>
      <c r="T526" s="73"/>
      <c r="U526" s="73"/>
      <c r="V526" s="73"/>
      <c r="W526" s="73"/>
      <c r="X526" s="73"/>
      <c r="Y526" s="73"/>
      <c r="Z526" s="73"/>
      <c r="AA526" s="75"/>
      <c r="AB526" s="75"/>
      <c r="AC526" s="55"/>
      <c r="AD526" s="89"/>
      <c r="AE526" s="89"/>
      <c r="AF526" s="89"/>
      <c r="AG526" s="57"/>
      <c r="AH526" s="58"/>
      <c r="AI526" s="49"/>
      <c r="AK526" s="41"/>
    </row>
    <row r="527" spans="1:37" ht="104.25">
      <c r="A527" s="32" t="s">
        <v>1015</v>
      </c>
      <c r="B527" s="101">
        <v>8.5</v>
      </c>
      <c r="C527" s="87" t="s">
        <v>834</v>
      </c>
      <c r="D527" s="88"/>
      <c r="E527" s="73"/>
      <c r="F527" s="73"/>
      <c r="G527" s="73"/>
      <c r="H527" s="73"/>
      <c r="I527" s="73"/>
      <c r="J527" s="73"/>
      <c r="K527" s="73"/>
      <c r="L527" s="73"/>
      <c r="M527" s="73"/>
      <c r="N527" s="73"/>
      <c r="O527" s="73"/>
      <c r="P527" s="73"/>
      <c r="Q527" s="73"/>
      <c r="R527" s="73"/>
      <c r="S527" s="73"/>
      <c r="T527" s="73"/>
      <c r="U527" s="73"/>
      <c r="V527" s="73"/>
      <c r="W527" s="73"/>
      <c r="X527" s="73"/>
      <c r="Y527" s="73"/>
      <c r="Z527" s="73"/>
      <c r="AA527" s="75"/>
      <c r="AB527" s="75"/>
      <c r="AC527" s="55"/>
      <c r="AD527" s="89"/>
      <c r="AE527" s="89"/>
      <c r="AF527" s="89"/>
      <c r="AG527" s="91"/>
      <c r="AH527" s="48"/>
      <c r="AI527" s="49"/>
      <c r="AK527" s="41"/>
    </row>
    <row r="528" spans="1:37" ht="21">
      <c r="A528" s="32" t="s">
        <v>1016</v>
      </c>
      <c r="B528" s="86" t="s">
        <v>14</v>
      </c>
      <c r="C528" s="87" t="s">
        <v>320</v>
      </c>
      <c r="D528" s="88"/>
      <c r="E528" s="73"/>
      <c r="F528" s="73"/>
      <c r="G528" s="73"/>
      <c r="H528" s="73"/>
      <c r="I528" s="73"/>
      <c r="J528" s="73"/>
      <c r="K528" s="73"/>
      <c r="L528" s="73"/>
      <c r="M528" s="73"/>
      <c r="N528" s="73"/>
      <c r="O528" s="73"/>
      <c r="P528" s="73"/>
      <c r="Q528" s="73"/>
      <c r="R528" s="73"/>
      <c r="S528" s="73"/>
      <c r="T528" s="73"/>
      <c r="U528" s="73"/>
      <c r="V528" s="73"/>
      <c r="W528" s="73"/>
      <c r="X528" s="73"/>
      <c r="Y528" s="73"/>
      <c r="Z528" s="73"/>
      <c r="AA528" s="75"/>
      <c r="AB528" s="75"/>
      <c r="AC528" s="55"/>
      <c r="AD528" s="89"/>
      <c r="AE528" s="89"/>
      <c r="AF528" s="89"/>
      <c r="AG528" s="91"/>
      <c r="AH528" s="48"/>
      <c r="AI528" s="49"/>
      <c r="AK528" s="41"/>
    </row>
    <row r="529" spans="1:37" ht="21">
      <c r="A529" s="32" t="s">
        <v>1429</v>
      </c>
      <c r="B529" s="86"/>
      <c r="C529" s="87" t="s">
        <v>321</v>
      </c>
      <c r="D529" s="88" t="s">
        <v>322</v>
      </c>
      <c r="E529" s="73"/>
      <c r="F529" s="73"/>
      <c r="G529" s="73"/>
      <c r="H529" s="73"/>
      <c r="I529" s="73"/>
      <c r="J529" s="73"/>
      <c r="K529" s="73"/>
      <c r="L529" s="73"/>
      <c r="M529" s="73"/>
      <c r="N529" s="73"/>
      <c r="O529" s="73"/>
      <c r="P529" s="73"/>
      <c r="Q529" s="73"/>
      <c r="R529" s="73"/>
      <c r="S529" s="73"/>
      <c r="T529" s="73"/>
      <c r="U529" s="73"/>
      <c r="V529" s="73"/>
      <c r="W529" s="73"/>
      <c r="X529" s="73"/>
      <c r="Y529" s="73"/>
      <c r="Z529" s="73"/>
      <c r="AA529" s="75"/>
      <c r="AB529" s="75"/>
      <c r="AC529" s="55"/>
      <c r="AD529" s="89"/>
      <c r="AE529" s="89"/>
      <c r="AF529" s="89"/>
      <c r="AG529" s="57"/>
      <c r="AH529" s="58"/>
      <c r="AI529" s="49"/>
      <c r="AK529" s="41"/>
    </row>
    <row r="530" spans="1:37" ht="21">
      <c r="A530" s="32" t="s">
        <v>1430</v>
      </c>
      <c r="B530" s="86"/>
      <c r="C530" s="87" t="s">
        <v>323</v>
      </c>
      <c r="D530" s="88" t="s">
        <v>322</v>
      </c>
      <c r="E530" s="73"/>
      <c r="F530" s="73"/>
      <c r="G530" s="73"/>
      <c r="H530" s="73"/>
      <c r="I530" s="73"/>
      <c r="J530" s="73"/>
      <c r="K530" s="73"/>
      <c r="L530" s="73"/>
      <c r="M530" s="73"/>
      <c r="N530" s="73"/>
      <c r="O530" s="73"/>
      <c r="P530" s="73"/>
      <c r="Q530" s="73"/>
      <c r="R530" s="73"/>
      <c r="S530" s="73"/>
      <c r="T530" s="73"/>
      <c r="U530" s="73"/>
      <c r="V530" s="73"/>
      <c r="W530" s="73"/>
      <c r="X530" s="73"/>
      <c r="Y530" s="73"/>
      <c r="Z530" s="73"/>
      <c r="AA530" s="75"/>
      <c r="AB530" s="75"/>
      <c r="AC530" s="55"/>
      <c r="AD530" s="89"/>
      <c r="AE530" s="89"/>
      <c r="AF530" s="89"/>
      <c r="AG530" s="57"/>
      <c r="AH530" s="58"/>
      <c r="AI530" s="49"/>
      <c r="AK530" s="41"/>
    </row>
    <row r="531" spans="1:37" ht="21">
      <c r="A531" s="32" t="s">
        <v>1431</v>
      </c>
      <c r="B531" s="86"/>
      <c r="C531" s="87" t="s">
        <v>324</v>
      </c>
      <c r="D531" s="88" t="s">
        <v>322</v>
      </c>
      <c r="E531" s="73"/>
      <c r="F531" s="73"/>
      <c r="G531" s="73"/>
      <c r="H531" s="73"/>
      <c r="I531" s="73"/>
      <c r="J531" s="73"/>
      <c r="K531" s="73"/>
      <c r="L531" s="73"/>
      <c r="M531" s="73"/>
      <c r="N531" s="73"/>
      <c r="O531" s="73"/>
      <c r="P531" s="73"/>
      <c r="Q531" s="73"/>
      <c r="R531" s="73"/>
      <c r="S531" s="73"/>
      <c r="T531" s="73"/>
      <c r="U531" s="73"/>
      <c r="V531" s="73"/>
      <c r="W531" s="73"/>
      <c r="X531" s="73"/>
      <c r="Y531" s="73"/>
      <c r="Z531" s="73"/>
      <c r="AA531" s="75"/>
      <c r="AB531" s="75"/>
      <c r="AC531" s="55"/>
      <c r="AD531" s="89"/>
      <c r="AE531" s="89"/>
      <c r="AF531" s="89"/>
      <c r="AG531" s="57"/>
      <c r="AH531" s="58"/>
      <c r="AI531" s="49"/>
      <c r="AK531" s="41"/>
    </row>
    <row r="532" spans="1:37" ht="21">
      <c r="A532" s="32" t="s">
        <v>1432</v>
      </c>
      <c r="B532" s="86"/>
      <c r="C532" s="87" t="s">
        <v>325</v>
      </c>
      <c r="D532" s="88" t="s">
        <v>322</v>
      </c>
      <c r="E532" s="73"/>
      <c r="F532" s="73"/>
      <c r="G532" s="73"/>
      <c r="H532" s="73"/>
      <c r="I532" s="73"/>
      <c r="J532" s="73"/>
      <c r="K532" s="73"/>
      <c r="L532" s="73"/>
      <c r="M532" s="73"/>
      <c r="N532" s="73"/>
      <c r="O532" s="73"/>
      <c r="P532" s="73"/>
      <c r="Q532" s="73"/>
      <c r="R532" s="73"/>
      <c r="S532" s="73"/>
      <c r="T532" s="73"/>
      <c r="U532" s="73"/>
      <c r="V532" s="73"/>
      <c r="W532" s="73"/>
      <c r="X532" s="73"/>
      <c r="Y532" s="73"/>
      <c r="Z532" s="73"/>
      <c r="AA532" s="75"/>
      <c r="AB532" s="75"/>
      <c r="AC532" s="55"/>
      <c r="AD532" s="89"/>
      <c r="AE532" s="89"/>
      <c r="AF532" s="89"/>
      <c r="AG532" s="57"/>
      <c r="AH532" s="58"/>
      <c r="AI532" s="49"/>
      <c r="AK532" s="41"/>
    </row>
    <row r="533" spans="1:37" ht="21">
      <c r="A533" s="32" t="s">
        <v>1433</v>
      </c>
      <c r="B533" s="86"/>
      <c r="C533" s="87" t="s">
        <v>326</v>
      </c>
      <c r="D533" s="88" t="s">
        <v>322</v>
      </c>
      <c r="E533" s="73"/>
      <c r="F533" s="73"/>
      <c r="G533" s="73"/>
      <c r="H533" s="73"/>
      <c r="I533" s="73"/>
      <c r="J533" s="73"/>
      <c r="K533" s="73"/>
      <c r="L533" s="73"/>
      <c r="M533" s="73"/>
      <c r="N533" s="73"/>
      <c r="O533" s="73"/>
      <c r="P533" s="73"/>
      <c r="Q533" s="73"/>
      <c r="R533" s="73"/>
      <c r="S533" s="73"/>
      <c r="T533" s="73"/>
      <c r="U533" s="73"/>
      <c r="V533" s="73"/>
      <c r="W533" s="73"/>
      <c r="X533" s="73"/>
      <c r="Y533" s="73"/>
      <c r="Z533" s="73"/>
      <c r="AA533" s="75"/>
      <c r="AB533" s="75"/>
      <c r="AC533" s="55"/>
      <c r="AD533" s="89"/>
      <c r="AE533" s="89"/>
      <c r="AF533" s="89"/>
      <c r="AG533" s="57"/>
      <c r="AH533" s="58"/>
      <c r="AI533" s="49"/>
      <c r="AK533" s="41"/>
    </row>
    <row r="534" spans="1:37" ht="21">
      <c r="A534" s="32" t="s">
        <v>1434</v>
      </c>
      <c r="B534" s="86"/>
      <c r="C534" s="87" t="s">
        <v>327</v>
      </c>
      <c r="D534" s="88" t="s">
        <v>322</v>
      </c>
      <c r="E534" s="73"/>
      <c r="F534" s="73"/>
      <c r="G534" s="73"/>
      <c r="H534" s="73"/>
      <c r="I534" s="73"/>
      <c r="J534" s="73"/>
      <c r="K534" s="73"/>
      <c r="L534" s="73"/>
      <c r="M534" s="73"/>
      <c r="N534" s="73"/>
      <c r="O534" s="73"/>
      <c r="P534" s="73"/>
      <c r="Q534" s="73"/>
      <c r="R534" s="73"/>
      <c r="S534" s="73"/>
      <c r="T534" s="73"/>
      <c r="U534" s="73"/>
      <c r="V534" s="73"/>
      <c r="W534" s="73"/>
      <c r="X534" s="73"/>
      <c r="Y534" s="73"/>
      <c r="Z534" s="73"/>
      <c r="AA534" s="75"/>
      <c r="AB534" s="75"/>
      <c r="AC534" s="55"/>
      <c r="AD534" s="89"/>
      <c r="AE534" s="89"/>
      <c r="AF534" s="89"/>
      <c r="AG534" s="57"/>
      <c r="AH534" s="58"/>
      <c r="AI534" s="49"/>
      <c r="AK534" s="41"/>
    </row>
    <row r="535" spans="1:37" ht="21">
      <c r="A535" s="32" t="s">
        <v>1435</v>
      </c>
      <c r="B535" s="86"/>
      <c r="C535" s="87" t="s">
        <v>328</v>
      </c>
      <c r="D535" s="88" t="s">
        <v>322</v>
      </c>
      <c r="E535" s="73"/>
      <c r="F535" s="73"/>
      <c r="G535" s="73"/>
      <c r="H535" s="73"/>
      <c r="I535" s="73"/>
      <c r="J535" s="73"/>
      <c r="K535" s="73"/>
      <c r="L535" s="73"/>
      <c r="M535" s="73"/>
      <c r="N535" s="73"/>
      <c r="O535" s="73"/>
      <c r="P535" s="73"/>
      <c r="Q535" s="73"/>
      <c r="R535" s="73"/>
      <c r="S535" s="73"/>
      <c r="T535" s="73"/>
      <c r="U535" s="73"/>
      <c r="V535" s="73"/>
      <c r="W535" s="73"/>
      <c r="X535" s="73"/>
      <c r="Y535" s="73"/>
      <c r="Z535" s="73"/>
      <c r="AA535" s="75"/>
      <c r="AB535" s="75"/>
      <c r="AC535" s="55"/>
      <c r="AD535" s="89"/>
      <c r="AE535" s="89"/>
      <c r="AF535" s="89"/>
      <c r="AG535" s="57"/>
      <c r="AH535" s="58"/>
      <c r="AI535" s="49"/>
      <c r="AK535" s="41"/>
    </row>
    <row r="536" spans="1:37" ht="21">
      <c r="A536" s="32" t="s">
        <v>1436</v>
      </c>
      <c r="B536" s="86"/>
      <c r="C536" s="87" t="s">
        <v>329</v>
      </c>
      <c r="D536" s="88" t="s">
        <v>322</v>
      </c>
      <c r="E536" s="73"/>
      <c r="F536" s="73"/>
      <c r="G536" s="73"/>
      <c r="H536" s="73"/>
      <c r="I536" s="73"/>
      <c r="J536" s="73"/>
      <c r="K536" s="73"/>
      <c r="L536" s="73"/>
      <c r="M536" s="73"/>
      <c r="N536" s="73"/>
      <c r="O536" s="73"/>
      <c r="P536" s="73"/>
      <c r="Q536" s="73"/>
      <c r="R536" s="73"/>
      <c r="S536" s="73"/>
      <c r="T536" s="73"/>
      <c r="U536" s="73"/>
      <c r="V536" s="73"/>
      <c r="W536" s="73"/>
      <c r="X536" s="73"/>
      <c r="Y536" s="73"/>
      <c r="Z536" s="73"/>
      <c r="AA536" s="75"/>
      <c r="AB536" s="75"/>
      <c r="AC536" s="55"/>
      <c r="AD536" s="89"/>
      <c r="AE536" s="89"/>
      <c r="AF536" s="89"/>
      <c r="AG536" s="57"/>
      <c r="AH536" s="58"/>
      <c r="AI536" s="49"/>
      <c r="AK536" s="41"/>
    </row>
    <row r="537" spans="1:37" ht="21">
      <c r="A537" s="32" t="s">
        <v>1437</v>
      </c>
      <c r="B537" s="86"/>
      <c r="C537" s="87" t="s">
        <v>330</v>
      </c>
      <c r="D537" s="88" t="s">
        <v>322</v>
      </c>
      <c r="E537" s="73"/>
      <c r="F537" s="73"/>
      <c r="G537" s="73"/>
      <c r="H537" s="73"/>
      <c r="I537" s="73"/>
      <c r="J537" s="73"/>
      <c r="K537" s="73"/>
      <c r="L537" s="73"/>
      <c r="M537" s="73"/>
      <c r="N537" s="73"/>
      <c r="O537" s="73"/>
      <c r="P537" s="73"/>
      <c r="Q537" s="73"/>
      <c r="R537" s="73"/>
      <c r="S537" s="73"/>
      <c r="T537" s="73"/>
      <c r="U537" s="73"/>
      <c r="V537" s="73"/>
      <c r="W537" s="73"/>
      <c r="X537" s="73"/>
      <c r="Y537" s="73"/>
      <c r="Z537" s="73"/>
      <c r="AA537" s="75"/>
      <c r="AB537" s="75"/>
      <c r="AC537" s="55"/>
      <c r="AD537" s="89"/>
      <c r="AE537" s="89"/>
      <c r="AF537" s="89"/>
      <c r="AG537" s="57"/>
      <c r="AH537" s="58"/>
      <c r="AI537" s="49"/>
      <c r="AK537" s="41"/>
    </row>
    <row r="538" spans="1:37" ht="21">
      <c r="A538" s="32" t="s">
        <v>1438</v>
      </c>
      <c r="B538" s="86"/>
      <c r="C538" s="87" t="s">
        <v>331</v>
      </c>
      <c r="D538" s="88" t="s">
        <v>322</v>
      </c>
      <c r="E538" s="73"/>
      <c r="F538" s="73"/>
      <c r="G538" s="73"/>
      <c r="H538" s="73"/>
      <c r="I538" s="73"/>
      <c r="J538" s="73"/>
      <c r="K538" s="73"/>
      <c r="L538" s="73"/>
      <c r="M538" s="73"/>
      <c r="N538" s="73"/>
      <c r="O538" s="73"/>
      <c r="P538" s="73"/>
      <c r="Q538" s="73"/>
      <c r="R538" s="73"/>
      <c r="S538" s="73"/>
      <c r="T538" s="73"/>
      <c r="U538" s="73"/>
      <c r="V538" s="73"/>
      <c r="W538" s="73"/>
      <c r="X538" s="73"/>
      <c r="Y538" s="73"/>
      <c r="Z538" s="73"/>
      <c r="AA538" s="75"/>
      <c r="AB538" s="75"/>
      <c r="AC538" s="55"/>
      <c r="AD538" s="89"/>
      <c r="AE538" s="89"/>
      <c r="AF538" s="89"/>
      <c r="AG538" s="57"/>
      <c r="AH538" s="58"/>
      <c r="AI538" s="49"/>
      <c r="AK538" s="41"/>
    </row>
    <row r="539" spans="1:37" ht="21">
      <c r="A539" s="32" t="s">
        <v>1439</v>
      </c>
      <c r="B539" s="86"/>
      <c r="C539" s="87" t="s">
        <v>332</v>
      </c>
      <c r="D539" s="88" t="s">
        <v>322</v>
      </c>
      <c r="E539" s="73"/>
      <c r="F539" s="73"/>
      <c r="G539" s="73"/>
      <c r="H539" s="73"/>
      <c r="I539" s="73"/>
      <c r="J539" s="73"/>
      <c r="K539" s="73"/>
      <c r="L539" s="73"/>
      <c r="M539" s="73"/>
      <c r="N539" s="73"/>
      <c r="O539" s="73"/>
      <c r="P539" s="73"/>
      <c r="Q539" s="73"/>
      <c r="R539" s="73"/>
      <c r="S539" s="73"/>
      <c r="T539" s="73"/>
      <c r="U539" s="73"/>
      <c r="V539" s="73"/>
      <c r="W539" s="73"/>
      <c r="X539" s="73"/>
      <c r="Y539" s="73"/>
      <c r="Z539" s="73"/>
      <c r="AA539" s="75"/>
      <c r="AB539" s="75"/>
      <c r="AC539" s="55"/>
      <c r="AD539" s="89"/>
      <c r="AE539" s="89"/>
      <c r="AF539" s="89"/>
      <c r="AG539" s="57"/>
      <c r="AH539" s="58"/>
      <c r="AI539" s="49"/>
      <c r="AK539" s="41"/>
    </row>
    <row r="540" spans="1:37" ht="21">
      <c r="A540" s="32" t="s">
        <v>1440</v>
      </c>
      <c r="B540" s="86"/>
      <c r="C540" s="87" t="s">
        <v>333</v>
      </c>
      <c r="D540" s="88" t="s">
        <v>322</v>
      </c>
      <c r="E540" s="73"/>
      <c r="F540" s="73"/>
      <c r="G540" s="73"/>
      <c r="H540" s="73"/>
      <c r="I540" s="73"/>
      <c r="J540" s="73"/>
      <c r="K540" s="73"/>
      <c r="L540" s="73"/>
      <c r="M540" s="73"/>
      <c r="N540" s="73"/>
      <c r="O540" s="73"/>
      <c r="P540" s="73"/>
      <c r="Q540" s="73"/>
      <c r="R540" s="73"/>
      <c r="S540" s="73"/>
      <c r="T540" s="73"/>
      <c r="U540" s="73"/>
      <c r="V540" s="73"/>
      <c r="W540" s="73"/>
      <c r="X540" s="73"/>
      <c r="Y540" s="73"/>
      <c r="Z540" s="73"/>
      <c r="AA540" s="75"/>
      <c r="AB540" s="75"/>
      <c r="AC540" s="55"/>
      <c r="AD540" s="89"/>
      <c r="AE540" s="89"/>
      <c r="AF540" s="89"/>
      <c r="AG540" s="57"/>
      <c r="AH540" s="58"/>
      <c r="AI540" s="49"/>
      <c r="AK540" s="41"/>
    </row>
    <row r="541" spans="1:37" ht="21">
      <c r="A541" s="32" t="s">
        <v>1441</v>
      </c>
      <c r="B541" s="86"/>
      <c r="C541" s="87" t="s">
        <v>334</v>
      </c>
      <c r="D541" s="88" t="s">
        <v>322</v>
      </c>
      <c r="E541" s="73"/>
      <c r="F541" s="73"/>
      <c r="G541" s="73"/>
      <c r="H541" s="73"/>
      <c r="I541" s="73"/>
      <c r="J541" s="73"/>
      <c r="K541" s="73"/>
      <c r="L541" s="73"/>
      <c r="M541" s="73"/>
      <c r="N541" s="73"/>
      <c r="O541" s="73"/>
      <c r="P541" s="73"/>
      <c r="Q541" s="73"/>
      <c r="R541" s="73"/>
      <c r="S541" s="73"/>
      <c r="T541" s="73"/>
      <c r="U541" s="73"/>
      <c r="V541" s="73"/>
      <c r="W541" s="73"/>
      <c r="X541" s="73"/>
      <c r="Y541" s="73"/>
      <c r="Z541" s="73"/>
      <c r="AA541" s="75"/>
      <c r="AB541" s="75"/>
      <c r="AC541" s="55"/>
      <c r="AD541" s="89"/>
      <c r="AE541" s="89"/>
      <c r="AF541" s="89"/>
      <c r="AG541" s="57"/>
      <c r="AH541" s="58"/>
      <c r="AI541" s="49"/>
      <c r="AK541" s="41"/>
    </row>
    <row r="542" spans="1:37" ht="21">
      <c r="A542" s="32" t="s">
        <v>1442</v>
      </c>
      <c r="B542" s="86"/>
      <c r="C542" s="87" t="s">
        <v>335</v>
      </c>
      <c r="D542" s="88" t="s">
        <v>322</v>
      </c>
      <c r="E542" s="73"/>
      <c r="F542" s="73"/>
      <c r="G542" s="73"/>
      <c r="H542" s="73"/>
      <c r="I542" s="73"/>
      <c r="J542" s="73"/>
      <c r="K542" s="73"/>
      <c r="L542" s="73"/>
      <c r="M542" s="73"/>
      <c r="N542" s="73"/>
      <c r="O542" s="73"/>
      <c r="P542" s="73"/>
      <c r="Q542" s="73"/>
      <c r="R542" s="73"/>
      <c r="S542" s="73"/>
      <c r="T542" s="73"/>
      <c r="U542" s="73"/>
      <c r="V542" s="73"/>
      <c r="W542" s="73"/>
      <c r="X542" s="73"/>
      <c r="Y542" s="73"/>
      <c r="Z542" s="73"/>
      <c r="AA542" s="75"/>
      <c r="AB542" s="75"/>
      <c r="AC542" s="55"/>
      <c r="AD542" s="89"/>
      <c r="AE542" s="89"/>
      <c r="AF542" s="89"/>
      <c r="AG542" s="57"/>
      <c r="AH542" s="58"/>
      <c r="AI542" s="49"/>
      <c r="AK542" s="41"/>
    </row>
    <row r="543" spans="1:37" ht="21">
      <c r="A543" s="32" t="s">
        <v>1443</v>
      </c>
      <c r="B543" s="86"/>
      <c r="C543" s="87" t="s">
        <v>336</v>
      </c>
      <c r="D543" s="88" t="s">
        <v>322</v>
      </c>
      <c r="E543" s="73"/>
      <c r="F543" s="73"/>
      <c r="G543" s="73"/>
      <c r="H543" s="73"/>
      <c r="I543" s="73"/>
      <c r="J543" s="73"/>
      <c r="K543" s="73"/>
      <c r="L543" s="73"/>
      <c r="M543" s="73"/>
      <c r="N543" s="73"/>
      <c r="O543" s="73"/>
      <c r="P543" s="73"/>
      <c r="Q543" s="73"/>
      <c r="R543" s="73"/>
      <c r="S543" s="73"/>
      <c r="T543" s="73"/>
      <c r="U543" s="73"/>
      <c r="V543" s="73"/>
      <c r="W543" s="73"/>
      <c r="X543" s="73"/>
      <c r="Y543" s="73"/>
      <c r="Z543" s="73"/>
      <c r="AA543" s="75"/>
      <c r="AB543" s="75"/>
      <c r="AC543" s="55"/>
      <c r="AD543" s="89"/>
      <c r="AE543" s="89"/>
      <c r="AF543" s="89"/>
      <c r="AG543" s="57"/>
      <c r="AH543" s="58"/>
      <c r="AI543" s="49"/>
      <c r="AK543" s="41"/>
    </row>
    <row r="544" spans="1:37" ht="21">
      <c r="A544" s="32" t="s">
        <v>1017</v>
      </c>
      <c r="B544" s="86" t="s">
        <v>15</v>
      </c>
      <c r="C544" s="87" t="s">
        <v>337</v>
      </c>
      <c r="D544" s="88"/>
      <c r="E544" s="73"/>
      <c r="F544" s="73"/>
      <c r="G544" s="73"/>
      <c r="H544" s="73"/>
      <c r="I544" s="73"/>
      <c r="J544" s="73"/>
      <c r="K544" s="73"/>
      <c r="L544" s="73"/>
      <c r="M544" s="73"/>
      <c r="N544" s="73"/>
      <c r="O544" s="73"/>
      <c r="P544" s="73"/>
      <c r="Q544" s="73"/>
      <c r="R544" s="73"/>
      <c r="S544" s="73"/>
      <c r="T544" s="73"/>
      <c r="U544" s="73"/>
      <c r="V544" s="73"/>
      <c r="W544" s="73"/>
      <c r="X544" s="73"/>
      <c r="Y544" s="73"/>
      <c r="Z544" s="73"/>
      <c r="AA544" s="75"/>
      <c r="AB544" s="75"/>
      <c r="AC544" s="55"/>
      <c r="AD544" s="89"/>
      <c r="AE544" s="89"/>
      <c r="AF544" s="89"/>
      <c r="AG544" s="91"/>
      <c r="AH544" s="48"/>
      <c r="AI544" s="49"/>
      <c r="AK544" s="41"/>
    </row>
    <row r="545" spans="1:37" ht="21">
      <c r="A545" s="32" t="s">
        <v>1444</v>
      </c>
      <c r="B545" s="86"/>
      <c r="C545" s="87" t="s">
        <v>338</v>
      </c>
      <c r="D545" s="88" t="s">
        <v>322</v>
      </c>
      <c r="E545" s="73"/>
      <c r="F545" s="73"/>
      <c r="G545" s="73"/>
      <c r="H545" s="73"/>
      <c r="I545" s="73"/>
      <c r="J545" s="73"/>
      <c r="K545" s="73"/>
      <c r="L545" s="73"/>
      <c r="M545" s="73"/>
      <c r="N545" s="73"/>
      <c r="O545" s="73"/>
      <c r="P545" s="73"/>
      <c r="Q545" s="73"/>
      <c r="R545" s="73"/>
      <c r="S545" s="73"/>
      <c r="T545" s="73"/>
      <c r="U545" s="73"/>
      <c r="V545" s="73"/>
      <c r="W545" s="73"/>
      <c r="X545" s="73"/>
      <c r="Y545" s="73"/>
      <c r="Z545" s="73"/>
      <c r="AA545" s="75"/>
      <c r="AB545" s="75"/>
      <c r="AC545" s="55"/>
      <c r="AD545" s="89"/>
      <c r="AE545" s="89"/>
      <c r="AF545" s="89"/>
      <c r="AG545" s="57"/>
      <c r="AH545" s="58"/>
      <c r="AI545" s="49"/>
      <c r="AK545" s="41"/>
    </row>
    <row r="546" spans="1:37" ht="21">
      <c r="A546" s="32" t="s">
        <v>1445</v>
      </c>
      <c r="B546" s="86"/>
      <c r="C546" s="87" t="s">
        <v>339</v>
      </c>
      <c r="D546" s="88" t="s">
        <v>322</v>
      </c>
      <c r="E546" s="73"/>
      <c r="F546" s="73"/>
      <c r="G546" s="73"/>
      <c r="H546" s="73"/>
      <c r="I546" s="73"/>
      <c r="J546" s="73"/>
      <c r="K546" s="73"/>
      <c r="L546" s="73"/>
      <c r="M546" s="73"/>
      <c r="N546" s="73"/>
      <c r="O546" s="73"/>
      <c r="P546" s="73"/>
      <c r="Q546" s="73"/>
      <c r="R546" s="73"/>
      <c r="S546" s="73"/>
      <c r="T546" s="73"/>
      <c r="U546" s="73"/>
      <c r="V546" s="73"/>
      <c r="W546" s="73"/>
      <c r="X546" s="73"/>
      <c r="Y546" s="73"/>
      <c r="Z546" s="73"/>
      <c r="AA546" s="75"/>
      <c r="AB546" s="75"/>
      <c r="AC546" s="55"/>
      <c r="AD546" s="89"/>
      <c r="AE546" s="89"/>
      <c r="AF546" s="89"/>
      <c r="AG546" s="57"/>
      <c r="AH546" s="58"/>
      <c r="AI546" s="49"/>
      <c r="AK546" s="41"/>
    </row>
    <row r="547" spans="1:37" ht="21">
      <c r="A547" s="32" t="s">
        <v>1446</v>
      </c>
      <c r="B547" s="86"/>
      <c r="C547" s="87" t="s">
        <v>340</v>
      </c>
      <c r="D547" s="88" t="s">
        <v>322</v>
      </c>
      <c r="E547" s="73"/>
      <c r="F547" s="73"/>
      <c r="G547" s="73"/>
      <c r="H547" s="73"/>
      <c r="I547" s="73"/>
      <c r="J547" s="73"/>
      <c r="K547" s="73"/>
      <c r="L547" s="73"/>
      <c r="M547" s="73"/>
      <c r="N547" s="73"/>
      <c r="O547" s="73"/>
      <c r="P547" s="73"/>
      <c r="Q547" s="73"/>
      <c r="R547" s="73"/>
      <c r="S547" s="73"/>
      <c r="T547" s="73"/>
      <c r="U547" s="73"/>
      <c r="V547" s="73"/>
      <c r="W547" s="73"/>
      <c r="X547" s="73"/>
      <c r="Y547" s="73"/>
      <c r="Z547" s="73"/>
      <c r="AA547" s="75"/>
      <c r="AB547" s="75"/>
      <c r="AC547" s="55"/>
      <c r="AD547" s="89"/>
      <c r="AE547" s="89"/>
      <c r="AF547" s="89"/>
      <c r="AG547" s="57"/>
      <c r="AH547" s="58"/>
      <c r="AI547" s="49"/>
      <c r="AK547" s="41"/>
    </row>
    <row r="548" spans="1:37" ht="21">
      <c r="A548" s="32" t="s">
        <v>1447</v>
      </c>
      <c r="B548" s="86"/>
      <c r="C548" s="87" t="s">
        <v>341</v>
      </c>
      <c r="D548" s="88" t="s">
        <v>322</v>
      </c>
      <c r="E548" s="73"/>
      <c r="F548" s="73"/>
      <c r="G548" s="73"/>
      <c r="H548" s="73"/>
      <c r="I548" s="73"/>
      <c r="J548" s="73"/>
      <c r="K548" s="73"/>
      <c r="L548" s="73"/>
      <c r="M548" s="73"/>
      <c r="N548" s="73"/>
      <c r="O548" s="73"/>
      <c r="P548" s="73"/>
      <c r="Q548" s="73"/>
      <c r="R548" s="73"/>
      <c r="S548" s="73"/>
      <c r="T548" s="73"/>
      <c r="U548" s="73"/>
      <c r="V548" s="73"/>
      <c r="W548" s="73"/>
      <c r="X548" s="73"/>
      <c r="Y548" s="73"/>
      <c r="Z548" s="73"/>
      <c r="AA548" s="75"/>
      <c r="AB548" s="75"/>
      <c r="AC548" s="55"/>
      <c r="AD548" s="89"/>
      <c r="AE548" s="89"/>
      <c r="AF548" s="89"/>
      <c r="AG548" s="57"/>
      <c r="AH548" s="58"/>
      <c r="AI548" s="49"/>
      <c r="AK548" s="41"/>
    </row>
    <row r="549" spans="1:37" ht="21">
      <c r="A549" s="32" t="s">
        <v>1448</v>
      </c>
      <c r="B549" s="86"/>
      <c r="C549" s="87" t="s">
        <v>342</v>
      </c>
      <c r="D549" s="88" t="s">
        <v>322</v>
      </c>
      <c r="E549" s="73"/>
      <c r="F549" s="73"/>
      <c r="G549" s="73"/>
      <c r="H549" s="73"/>
      <c r="I549" s="73"/>
      <c r="J549" s="73"/>
      <c r="K549" s="73"/>
      <c r="L549" s="73"/>
      <c r="M549" s="73"/>
      <c r="N549" s="73"/>
      <c r="O549" s="73"/>
      <c r="P549" s="73"/>
      <c r="Q549" s="73"/>
      <c r="R549" s="73"/>
      <c r="S549" s="73"/>
      <c r="T549" s="73"/>
      <c r="U549" s="73"/>
      <c r="V549" s="73"/>
      <c r="W549" s="73"/>
      <c r="X549" s="73"/>
      <c r="Y549" s="73"/>
      <c r="Z549" s="73"/>
      <c r="AA549" s="75"/>
      <c r="AB549" s="75"/>
      <c r="AC549" s="55"/>
      <c r="AD549" s="89"/>
      <c r="AE549" s="89"/>
      <c r="AF549" s="89"/>
      <c r="AG549" s="57"/>
      <c r="AH549" s="58"/>
      <c r="AI549" s="49"/>
      <c r="AK549" s="41"/>
    </row>
    <row r="550" spans="1:37" ht="21">
      <c r="A550" s="32" t="s">
        <v>1018</v>
      </c>
      <c r="B550" s="86" t="s">
        <v>40</v>
      </c>
      <c r="C550" s="87" t="s">
        <v>343</v>
      </c>
      <c r="D550" s="88"/>
      <c r="E550" s="73"/>
      <c r="F550" s="73"/>
      <c r="G550" s="73"/>
      <c r="H550" s="73"/>
      <c r="I550" s="73"/>
      <c r="J550" s="73"/>
      <c r="K550" s="73"/>
      <c r="L550" s="73"/>
      <c r="M550" s="73"/>
      <c r="N550" s="73"/>
      <c r="O550" s="73"/>
      <c r="P550" s="73"/>
      <c r="Q550" s="73"/>
      <c r="R550" s="73"/>
      <c r="S550" s="73"/>
      <c r="T550" s="73"/>
      <c r="U550" s="73"/>
      <c r="V550" s="73"/>
      <c r="W550" s="73"/>
      <c r="X550" s="73"/>
      <c r="Y550" s="73"/>
      <c r="Z550" s="73"/>
      <c r="AA550" s="75"/>
      <c r="AB550" s="75"/>
      <c r="AC550" s="55"/>
      <c r="AD550" s="89"/>
      <c r="AE550" s="89"/>
      <c r="AF550" s="89"/>
      <c r="AG550" s="91"/>
      <c r="AH550" s="48"/>
      <c r="AI550" s="49"/>
      <c r="AK550" s="41"/>
    </row>
    <row r="551" spans="1:37" ht="21">
      <c r="A551" s="32" t="s">
        <v>1449</v>
      </c>
      <c r="B551" s="86"/>
      <c r="C551" s="87" t="s">
        <v>344</v>
      </c>
      <c r="D551" s="88" t="s">
        <v>345</v>
      </c>
      <c r="E551" s="73"/>
      <c r="F551" s="73"/>
      <c r="G551" s="73"/>
      <c r="H551" s="73"/>
      <c r="I551" s="73"/>
      <c r="J551" s="73"/>
      <c r="K551" s="73"/>
      <c r="L551" s="73"/>
      <c r="M551" s="73"/>
      <c r="N551" s="73"/>
      <c r="O551" s="73"/>
      <c r="P551" s="73"/>
      <c r="Q551" s="73"/>
      <c r="R551" s="73"/>
      <c r="S551" s="73"/>
      <c r="T551" s="73"/>
      <c r="U551" s="73"/>
      <c r="V551" s="73"/>
      <c r="W551" s="73"/>
      <c r="X551" s="73"/>
      <c r="Y551" s="73"/>
      <c r="Z551" s="73"/>
      <c r="AA551" s="75"/>
      <c r="AB551" s="75"/>
      <c r="AC551" s="55"/>
      <c r="AD551" s="89"/>
      <c r="AE551" s="89"/>
      <c r="AF551" s="89"/>
      <c r="AG551" s="57"/>
      <c r="AH551" s="58"/>
      <c r="AI551" s="49"/>
      <c r="AK551" s="41"/>
    </row>
    <row r="552" spans="1:37" ht="21">
      <c r="A552" s="32" t="s">
        <v>1450</v>
      </c>
      <c r="B552" s="86"/>
      <c r="C552" s="87" t="s">
        <v>346</v>
      </c>
      <c r="D552" s="88" t="s">
        <v>345</v>
      </c>
      <c r="E552" s="73"/>
      <c r="F552" s="73"/>
      <c r="G552" s="73"/>
      <c r="H552" s="73"/>
      <c r="I552" s="73"/>
      <c r="J552" s="73"/>
      <c r="K552" s="73"/>
      <c r="L552" s="73"/>
      <c r="M552" s="73"/>
      <c r="N552" s="73"/>
      <c r="O552" s="73"/>
      <c r="P552" s="73"/>
      <c r="Q552" s="73"/>
      <c r="R552" s="73"/>
      <c r="S552" s="73"/>
      <c r="T552" s="73"/>
      <c r="U552" s="73"/>
      <c r="V552" s="73"/>
      <c r="W552" s="73"/>
      <c r="X552" s="73"/>
      <c r="Y552" s="73"/>
      <c r="Z552" s="73"/>
      <c r="AA552" s="75"/>
      <c r="AB552" s="75"/>
      <c r="AC552" s="55"/>
      <c r="AD552" s="89"/>
      <c r="AE552" s="89"/>
      <c r="AF552" s="89"/>
      <c r="AG552" s="57"/>
      <c r="AH552" s="58"/>
      <c r="AI552" s="49"/>
      <c r="AK552" s="41"/>
    </row>
    <row r="553" spans="1:37" ht="21">
      <c r="A553" s="32" t="s">
        <v>1019</v>
      </c>
      <c r="B553" s="86" t="s">
        <v>48</v>
      </c>
      <c r="C553" s="87" t="s">
        <v>347</v>
      </c>
      <c r="D553" s="88"/>
      <c r="E553" s="73"/>
      <c r="F553" s="73"/>
      <c r="G553" s="73"/>
      <c r="H553" s="73"/>
      <c r="I553" s="73"/>
      <c r="J553" s="73"/>
      <c r="K553" s="73"/>
      <c r="L553" s="73"/>
      <c r="M553" s="73"/>
      <c r="N553" s="73"/>
      <c r="O553" s="73"/>
      <c r="P553" s="73"/>
      <c r="Q553" s="73"/>
      <c r="R553" s="73"/>
      <c r="S553" s="73"/>
      <c r="T553" s="73"/>
      <c r="U553" s="73"/>
      <c r="V553" s="73"/>
      <c r="W553" s="73"/>
      <c r="X553" s="73"/>
      <c r="Y553" s="73"/>
      <c r="Z553" s="73"/>
      <c r="AA553" s="75"/>
      <c r="AB553" s="75"/>
      <c r="AC553" s="55"/>
      <c r="AD553" s="89"/>
      <c r="AE553" s="89"/>
      <c r="AF553" s="89"/>
      <c r="AG553" s="91"/>
      <c r="AH553" s="48"/>
      <c r="AI553" s="49"/>
      <c r="AK553" s="41"/>
    </row>
    <row r="554" spans="1:37" ht="21">
      <c r="A554" s="32" t="s">
        <v>1451</v>
      </c>
      <c r="B554" s="86"/>
      <c r="C554" s="87" t="s">
        <v>348</v>
      </c>
      <c r="D554" s="88" t="s">
        <v>345</v>
      </c>
      <c r="E554" s="73"/>
      <c r="F554" s="73"/>
      <c r="G554" s="73"/>
      <c r="H554" s="73"/>
      <c r="I554" s="73"/>
      <c r="J554" s="73"/>
      <c r="K554" s="73"/>
      <c r="L554" s="73"/>
      <c r="M554" s="73"/>
      <c r="N554" s="73"/>
      <c r="O554" s="73"/>
      <c r="P554" s="73"/>
      <c r="Q554" s="73"/>
      <c r="R554" s="73"/>
      <c r="S554" s="73"/>
      <c r="T554" s="73"/>
      <c r="U554" s="73"/>
      <c r="V554" s="73"/>
      <c r="W554" s="73"/>
      <c r="X554" s="73"/>
      <c r="Y554" s="73"/>
      <c r="Z554" s="73"/>
      <c r="AA554" s="75"/>
      <c r="AB554" s="75"/>
      <c r="AC554" s="55"/>
      <c r="AD554" s="89"/>
      <c r="AE554" s="89"/>
      <c r="AF554" s="89"/>
      <c r="AG554" s="57"/>
      <c r="AH554" s="58"/>
      <c r="AI554" s="49"/>
      <c r="AK554" s="41"/>
    </row>
    <row r="555" spans="1:37" ht="21">
      <c r="A555" s="32" t="s">
        <v>1452</v>
      </c>
      <c r="B555" s="86"/>
      <c r="C555" s="87" t="s">
        <v>349</v>
      </c>
      <c r="D555" s="88" t="s">
        <v>345</v>
      </c>
      <c r="E555" s="73"/>
      <c r="F555" s="73"/>
      <c r="G555" s="73"/>
      <c r="H555" s="73"/>
      <c r="I555" s="73"/>
      <c r="J555" s="73"/>
      <c r="K555" s="73"/>
      <c r="L555" s="73"/>
      <c r="M555" s="73"/>
      <c r="N555" s="73"/>
      <c r="O555" s="73"/>
      <c r="P555" s="73"/>
      <c r="Q555" s="73"/>
      <c r="R555" s="73"/>
      <c r="S555" s="73"/>
      <c r="T555" s="73"/>
      <c r="U555" s="73"/>
      <c r="V555" s="73"/>
      <c r="W555" s="73"/>
      <c r="X555" s="73"/>
      <c r="Y555" s="73"/>
      <c r="Z555" s="73"/>
      <c r="AA555" s="75"/>
      <c r="AB555" s="75"/>
      <c r="AC555" s="55"/>
      <c r="AD555" s="89"/>
      <c r="AE555" s="89"/>
      <c r="AF555" s="89"/>
      <c r="AG555" s="57"/>
      <c r="AH555" s="58"/>
      <c r="AI555" s="49"/>
      <c r="AK555" s="41"/>
    </row>
    <row r="556" spans="1:37" ht="21">
      <c r="A556" s="32" t="s">
        <v>1453</v>
      </c>
      <c r="B556" s="86"/>
      <c r="C556" s="87" t="s">
        <v>350</v>
      </c>
      <c r="D556" s="88" t="s">
        <v>322</v>
      </c>
      <c r="E556" s="73"/>
      <c r="F556" s="73"/>
      <c r="G556" s="73"/>
      <c r="H556" s="73"/>
      <c r="I556" s="73"/>
      <c r="J556" s="73"/>
      <c r="K556" s="73"/>
      <c r="L556" s="73"/>
      <c r="M556" s="73"/>
      <c r="N556" s="73"/>
      <c r="O556" s="73"/>
      <c r="P556" s="73"/>
      <c r="Q556" s="73"/>
      <c r="R556" s="73"/>
      <c r="S556" s="73"/>
      <c r="T556" s="73"/>
      <c r="U556" s="73"/>
      <c r="V556" s="73"/>
      <c r="W556" s="73"/>
      <c r="X556" s="73"/>
      <c r="Y556" s="73"/>
      <c r="Z556" s="73"/>
      <c r="AA556" s="75"/>
      <c r="AB556" s="75"/>
      <c r="AC556" s="55"/>
      <c r="AD556" s="89"/>
      <c r="AE556" s="89"/>
      <c r="AF556" s="89"/>
      <c r="AG556" s="57"/>
      <c r="AH556" s="58"/>
      <c r="AI556" s="49"/>
      <c r="AK556" s="41"/>
    </row>
    <row r="557" spans="1:37" ht="21">
      <c r="A557" s="32" t="s">
        <v>1454</v>
      </c>
      <c r="B557" s="86"/>
      <c r="C557" s="87" t="s">
        <v>351</v>
      </c>
      <c r="D557" s="88" t="s">
        <v>322</v>
      </c>
      <c r="E557" s="73"/>
      <c r="F557" s="73"/>
      <c r="G557" s="73"/>
      <c r="H557" s="73"/>
      <c r="I557" s="73"/>
      <c r="J557" s="73"/>
      <c r="K557" s="73"/>
      <c r="L557" s="73"/>
      <c r="M557" s="73"/>
      <c r="N557" s="73"/>
      <c r="O557" s="73"/>
      <c r="P557" s="73"/>
      <c r="Q557" s="73"/>
      <c r="R557" s="73"/>
      <c r="S557" s="73"/>
      <c r="T557" s="73"/>
      <c r="U557" s="73"/>
      <c r="V557" s="73"/>
      <c r="W557" s="73"/>
      <c r="X557" s="73"/>
      <c r="Y557" s="73"/>
      <c r="Z557" s="73"/>
      <c r="AA557" s="75"/>
      <c r="AB557" s="75"/>
      <c r="AC557" s="55"/>
      <c r="AD557" s="89"/>
      <c r="AE557" s="89"/>
      <c r="AF557" s="89"/>
      <c r="AG557" s="57"/>
      <c r="AH557" s="58"/>
      <c r="AI557" s="49"/>
      <c r="AK557" s="41"/>
    </row>
    <row r="558" spans="1:37" ht="21">
      <c r="A558" s="32" t="s">
        <v>1455</v>
      </c>
      <c r="B558" s="86"/>
      <c r="C558" s="87" t="s">
        <v>352</v>
      </c>
      <c r="D558" s="88" t="s">
        <v>345</v>
      </c>
      <c r="E558" s="73"/>
      <c r="F558" s="73"/>
      <c r="G558" s="73"/>
      <c r="H558" s="73"/>
      <c r="I558" s="73"/>
      <c r="J558" s="73"/>
      <c r="K558" s="73"/>
      <c r="L558" s="73"/>
      <c r="M558" s="73"/>
      <c r="N558" s="73"/>
      <c r="O558" s="73"/>
      <c r="P558" s="73"/>
      <c r="Q558" s="73"/>
      <c r="R558" s="73"/>
      <c r="S558" s="73"/>
      <c r="T558" s="73"/>
      <c r="U558" s="73"/>
      <c r="V558" s="73"/>
      <c r="W558" s="73"/>
      <c r="X558" s="73"/>
      <c r="Y558" s="73"/>
      <c r="Z558" s="73"/>
      <c r="AA558" s="75"/>
      <c r="AB558" s="75"/>
      <c r="AC558" s="55"/>
      <c r="AD558" s="89"/>
      <c r="AE558" s="89"/>
      <c r="AF558" s="89"/>
      <c r="AG558" s="57"/>
      <c r="AH558" s="58"/>
      <c r="AI558" s="49"/>
      <c r="AK558" s="41"/>
    </row>
    <row r="559" spans="1:37" ht="21">
      <c r="A559" s="32" t="s">
        <v>1020</v>
      </c>
      <c r="B559" s="86" t="s">
        <v>55</v>
      </c>
      <c r="C559" s="87" t="s">
        <v>353</v>
      </c>
      <c r="D559" s="88"/>
      <c r="E559" s="73"/>
      <c r="F559" s="73"/>
      <c r="G559" s="73"/>
      <c r="H559" s="73"/>
      <c r="I559" s="73"/>
      <c r="J559" s="73"/>
      <c r="K559" s="73"/>
      <c r="L559" s="73"/>
      <c r="M559" s="73"/>
      <c r="N559" s="73"/>
      <c r="O559" s="73"/>
      <c r="P559" s="73"/>
      <c r="Q559" s="73"/>
      <c r="R559" s="73"/>
      <c r="S559" s="73"/>
      <c r="T559" s="73"/>
      <c r="U559" s="73"/>
      <c r="V559" s="73"/>
      <c r="W559" s="73"/>
      <c r="X559" s="73"/>
      <c r="Y559" s="73"/>
      <c r="Z559" s="73"/>
      <c r="AA559" s="75"/>
      <c r="AB559" s="75"/>
      <c r="AC559" s="55"/>
      <c r="AD559" s="89"/>
      <c r="AE559" s="89"/>
      <c r="AF559" s="89"/>
      <c r="AG559" s="91"/>
      <c r="AH559" s="48"/>
      <c r="AI559" s="49"/>
      <c r="AK559" s="41"/>
    </row>
    <row r="560" spans="1:37" ht="21">
      <c r="A560" s="32" t="s">
        <v>1456</v>
      </c>
      <c r="B560" s="86"/>
      <c r="C560" s="87" t="s">
        <v>354</v>
      </c>
      <c r="D560" s="88" t="s">
        <v>345</v>
      </c>
      <c r="E560" s="73"/>
      <c r="F560" s="73"/>
      <c r="G560" s="73"/>
      <c r="H560" s="73"/>
      <c r="I560" s="73"/>
      <c r="J560" s="73"/>
      <c r="K560" s="73"/>
      <c r="L560" s="73"/>
      <c r="M560" s="73"/>
      <c r="N560" s="73"/>
      <c r="O560" s="73"/>
      <c r="P560" s="73"/>
      <c r="Q560" s="73"/>
      <c r="R560" s="73"/>
      <c r="S560" s="73"/>
      <c r="T560" s="73"/>
      <c r="U560" s="73"/>
      <c r="V560" s="73"/>
      <c r="W560" s="73"/>
      <c r="X560" s="73"/>
      <c r="Y560" s="73"/>
      <c r="Z560" s="73"/>
      <c r="AA560" s="75"/>
      <c r="AB560" s="75"/>
      <c r="AC560" s="55"/>
      <c r="AD560" s="89"/>
      <c r="AE560" s="89"/>
      <c r="AF560" s="89"/>
      <c r="AG560" s="57"/>
      <c r="AH560" s="58"/>
      <c r="AI560" s="49"/>
      <c r="AK560" s="41"/>
    </row>
    <row r="561" spans="1:37" ht="21">
      <c r="A561" s="32" t="s">
        <v>1457</v>
      </c>
      <c r="B561" s="86"/>
      <c r="C561" s="87" t="s">
        <v>355</v>
      </c>
      <c r="D561" s="88" t="s">
        <v>345</v>
      </c>
      <c r="E561" s="73"/>
      <c r="F561" s="73"/>
      <c r="G561" s="73"/>
      <c r="H561" s="73"/>
      <c r="I561" s="73"/>
      <c r="J561" s="73"/>
      <c r="K561" s="73"/>
      <c r="L561" s="73"/>
      <c r="M561" s="73"/>
      <c r="N561" s="73"/>
      <c r="O561" s="73"/>
      <c r="P561" s="73"/>
      <c r="Q561" s="73"/>
      <c r="R561" s="73"/>
      <c r="S561" s="73"/>
      <c r="T561" s="73"/>
      <c r="U561" s="73"/>
      <c r="V561" s="73"/>
      <c r="W561" s="73"/>
      <c r="X561" s="73"/>
      <c r="Y561" s="73"/>
      <c r="Z561" s="73"/>
      <c r="AA561" s="75"/>
      <c r="AB561" s="75"/>
      <c r="AC561" s="55"/>
      <c r="AD561" s="89"/>
      <c r="AE561" s="89"/>
      <c r="AF561" s="89"/>
      <c r="AG561" s="57"/>
      <c r="AH561" s="58"/>
      <c r="AI561" s="49"/>
      <c r="AK561" s="41"/>
    </row>
    <row r="562" spans="1:37" ht="21">
      <c r="A562" s="32" t="s">
        <v>1021</v>
      </c>
      <c r="B562" s="86" t="s">
        <v>57</v>
      </c>
      <c r="C562" s="87" t="s">
        <v>356</v>
      </c>
      <c r="D562" s="88"/>
      <c r="E562" s="73"/>
      <c r="F562" s="73"/>
      <c r="G562" s="73"/>
      <c r="H562" s="73"/>
      <c r="I562" s="73"/>
      <c r="J562" s="73"/>
      <c r="K562" s="73"/>
      <c r="L562" s="73"/>
      <c r="M562" s="73"/>
      <c r="N562" s="73"/>
      <c r="O562" s="73"/>
      <c r="P562" s="73"/>
      <c r="Q562" s="73"/>
      <c r="R562" s="73"/>
      <c r="S562" s="73"/>
      <c r="T562" s="73"/>
      <c r="U562" s="73"/>
      <c r="V562" s="73"/>
      <c r="W562" s="73"/>
      <c r="X562" s="73"/>
      <c r="Y562" s="73"/>
      <c r="Z562" s="73"/>
      <c r="AA562" s="75"/>
      <c r="AB562" s="75"/>
      <c r="AC562" s="55"/>
      <c r="AD562" s="89"/>
      <c r="AE562" s="89"/>
      <c r="AF562" s="89"/>
      <c r="AG562" s="91"/>
      <c r="AH562" s="48"/>
      <c r="AI562" s="49"/>
      <c r="AK562" s="41"/>
    </row>
    <row r="563" spans="1:37" ht="21">
      <c r="A563" s="32" t="s">
        <v>1458</v>
      </c>
      <c r="B563" s="86"/>
      <c r="C563" s="87" t="s">
        <v>357</v>
      </c>
      <c r="D563" s="88" t="s">
        <v>322</v>
      </c>
      <c r="E563" s="73"/>
      <c r="F563" s="73"/>
      <c r="G563" s="73"/>
      <c r="H563" s="73"/>
      <c r="I563" s="73"/>
      <c r="J563" s="73"/>
      <c r="K563" s="73"/>
      <c r="L563" s="73"/>
      <c r="M563" s="73"/>
      <c r="N563" s="73"/>
      <c r="O563" s="73"/>
      <c r="P563" s="73"/>
      <c r="Q563" s="73"/>
      <c r="R563" s="73"/>
      <c r="S563" s="73"/>
      <c r="T563" s="73"/>
      <c r="U563" s="73"/>
      <c r="V563" s="73"/>
      <c r="W563" s="73"/>
      <c r="X563" s="73"/>
      <c r="Y563" s="73"/>
      <c r="Z563" s="73"/>
      <c r="AA563" s="75"/>
      <c r="AB563" s="75"/>
      <c r="AC563" s="55"/>
      <c r="AD563" s="89"/>
      <c r="AE563" s="89"/>
      <c r="AF563" s="89"/>
      <c r="AG563" s="57"/>
      <c r="AH563" s="58"/>
      <c r="AI563" s="49"/>
      <c r="AK563" s="41"/>
    </row>
    <row r="564" spans="1:37" ht="21">
      <c r="A564" s="32" t="s">
        <v>1459</v>
      </c>
      <c r="B564" s="86"/>
      <c r="C564" s="87" t="s">
        <v>358</v>
      </c>
      <c r="D564" s="88" t="s">
        <v>322</v>
      </c>
      <c r="E564" s="73"/>
      <c r="F564" s="73"/>
      <c r="G564" s="73"/>
      <c r="H564" s="73"/>
      <c r="I564" s="73"/>
      <c r="J564" s="73"/>
      <c r="K564" s="73"/>
      <c r="L564" s="73"/>
      <c r="M564" s="73"/>
      <c r="N564" s="73"/>
      <c r="O564" s="73"/>
      <c r="P564" s="73"/>
      <c r="Q564" s="73"/>
      <c r="R564" s="73"/>
      <c r="S564" s="73"/>
      <c r="T564" s="73"/>
      <c r="U564" s="73"/>
      <c r="V564" s="73"/>
      <c r="W564" s="73"/>
      <c r="X564" s="73"/>
      <c r="Y564" s="73"/>
      <c r="Z564" s="73"/>
      <c r="AA564" s="75"/>
      <c r="AB564" s="75"/>
      <c r="AC564" s="55"/>
      <c r="AD564" s="89"/>
      <c r="AE564" s="89"/>
      <c r="AF564" s="89"/>
      <c r="AG564" s="57"/>
      <c r="AH564" s="58"/>
      <c r="AI564" s="49"/>
      <c r="AK564" s="41"/>
    </row>
    <row r="565" spans="1:37" ht="21">
      <c r="A565" s="32" t="s">
        <v>1460</v>
      </c>
      <c r="B565" s="86"/>
      <c r="C565" s="87" t="s">
        <v>359</v>
      </c>
      <c r="D565" s="88" t="s">
        <v>345</v>
      </c>
      <c r="E565" s="73"/>
      <c r="F565" s="73"/>
      <c r="G565" s="73"/>
      <c r="H565" s="73"/>
      <c r="I565" s="73"/>
      <c r="J565" s="73"/>
      <c r="K565" s="73"/>
      <c r="L565" s="73"/>
      <c r="M565" s="73"/>
      <c r="N565" s="73"/>
      <c r="O565" s="73"/>
      <c r="P565" s="73"/>
      <c r="Q565" s="73"/>
      <c r="R565" s="73"/>
      <c r="S565" s="73"/>
      <c r="T565" s="73"/>
      <c r="U565" s="73"/>
      <c r="V565" s="73"/>
      <c r="W565" s="73"/>
      <c r="X565" s="73"/>
      <c r="Y565" s="73"/>
      <c r="Z565" s="73"/>
      <c r="AA565" s="75"/>
      <c r="AB565" s="75"/>
      <c r="AC565" s="55"/>
      <c r="AD565" s="89"/>
      <c r="AE565" s="89"/>
      <c r="AF565" s="89"/>
      <c r="AG565" s="57"/>
      <c r="AH565" s="58"/>
      <c r="AI565" s="49"/>
      <c r="AK565" s="41"/>
    </row>
    <row r="566" spans="1:37" ht="21">
      <c r="A566" s="32" t="s">
        <v>1022</v>
      </c>
      <c r="B566" s="86" t="s">
        <v>360</v>
      </c>
      <c r="C566" s="87" t="s">
        <v>361</v>
      </c>
      <c r="D566" s="88"/>
      <c r="E566" s="73"/>
      <c r="F566" s="73"/>
      <c r="G566" s="73"/>
      <c r="H566" s="73"/>
      <c r="I566" s="73"/>
      <c r="J566" s="73"/>
      <c r="K566" s="73"/>
      <c r="L566" s="73"/>
      <c r="M566" s="73"/>
      <c r="N566" s="73"/>
      <c r="O566" s="73"/>
      <c r="P566" s="73"/>
      <c r="Q566" s="73"/>
      <c r="R566" s="73"/>
      <c r="S566" s="73"/>
      <c r="T566" s="73"/>
      <c r="U566" s="73"/>
      <c r="V566" s="73"/>
      <c r="W566" s="73"/>
      <c r="X566" s="73"/>
      <c r="Y566" s="73"/>
      <c r="Z566" s="73"/>
      <c r="AA566" s="75"/>
      <c r="AB566" s="75"/>
      <c r="AC566" s="55"/>
      <c r="AD566" s="89"/>
      <c r="AE566" s="89"/>
      <c r="AF566" s="89"/>
      <c r="AG566" s="91"/>
      <c r="AH566" s="48"/>
      <c r="AI566" s="49"/>
      <c r="AK566" s="41"/>
    </row>
    <row r="567" spans="1:37" ht="21">
      <c r="A567" s="32" t="s">
        <v>1461</v>
      </c>
      <c r="B567" s="86"/>
      <c r="C567" s="87" t="s">
        <v>362</v>
      </c>
      <c r="D567" s="88" t="s">
        <v>345</v>
      </c>
      <c r="E567" s="73"/>
      <c r="F567" s="73"/>
      <c r="G567" s="73"/>
      <c r="H567" s="73"/>
      <c r="I567" s="73"/>
      <c r="J567" s="73"/>
      <c r="K567" s="73"/>
      <c r="L567" s="73"/>
      <c r="M567" s="73"/>
      <c r="N567" s="73"/>
      <c r="O567" s="73"/>
      <c r="P567" s="73"/>
      <c r="Q567" s="73"/>
      <c r="R567" s="73"/>
      <c r="S567" s="73"/>
      <c r="T567" s="73"/>
      <c r="U567" s="73"/>
      <c r="V567" s="73"/>
      <c r="W567" s="73"/>
      <c r="X567" s="73"/>
      <c r="Y567" s="73"/>
      <c r="Z567" s="73"/>
      <c r="AA567" s="75"/>
      <c r="AB567" s="75"/>
      <c r="AC567" s="55"/>
      <c r="AD567" s="89"/>
      <c r="AE567" s="89"/>
      <c r="AF567" s="89"/>
      <c r="AG567" s="57"/>
      <c r="AH567" s="58"/>
      <c r="AI567" s="49"/>
      <c r="AK567" s="41"/>
    </row>
    <row r="568" spans="1:37" ht="21">
      <c r="A568" s="32" t="s">
        <v>1462</v>
      </c>
      <c r="B568" s="86"/>
      <c r="C568" s="87" t="s">
        <v>363</v>
      </c>
      <c r="D568" s="88" t="s">
        <v>345</v>
      </c>
      <c r="E568" s="73"/>
      <c r="F568" s="73"/>
      <c r="G568" s="73"/>
      <c r="H568" s="73"/>
      <c r="I568" s="73"/>
      <c r="J568" s="73"/>
      <c r="K568" s="73"/>
      <c r="L568" s="73"/>
      <c r="M568" s="73"/>
      <c r="N568" s="73"/>
      <c r="O568" s="73"/>
      <c r="P568" s="73"/>
      <c r="Q568" s="73"/>
      <c r="R568" s="73"/>
      <c r="S568" s="73"/>
      <c r="T568" s="73"/>
      <c r="U568" s="73"/>
      <c r="V568" s="73"/>
      <c r="W568" s="73"/>
      <c r="X568" s="73"/>
      <c r="Y568" s="73"/>
      <c r="Z568" s="73"/>
      <c r="AA568" s="75"/>
      <c r="AB568" s="75"/>
      <c r="AC568" s="55"/>
      <c r="AD568" s="89"/>
      <c r="AE568" s="89"/>
      <c r="AF568" s="89"/>
      <c r="AG568" s="57"/>
      <c r="AH568" s="58"/>
      <c r="AI568" s="49"/>
      <c r="AK568" s="41"/>
    </row>
    <row r="569" spans="1:37" ht="21">
      <c r="A569" s="32" t="s">
        <v>1463</v>
      </c>
      <c r="B569" s="86"/>
      <c r="C569" s="87" t="s">
        <v>364</v>
      </c>
      <c r="D569" s="88" t="s">
        <v>345</v>
      </c>
      <c r="E569" s="73"/>
      <c r="F569" s="73"/>
      <c r="G569" s="73"/>
      <c r="H569" s="73"/>
      <c r="I569" s="73"/>
      <c r="J569" s="73"/>
      <c r="K569" s="73"/>
      <c r="L569" s="73"/>
      <c r="M569" s="73"/>
      <c r="N569" s="73"/>
      <c r="O569" s="73"/>
      <c r="P569" s="73"/>
      <c r="Q569" s="73"/>
      <c r="R569" s="73"/>
      <c r="S569" s="73"/>
      <c r="T569" s="73"/>
      <c r="U569" s="73"/>
      <c r="V569" s="73"/>
      <c r="W569" s="73"/>
      <c r="X569" s="73"/>
      <c r="Y569" s="73"/>
      <c r="Z569" s="73"/>
      <c r="AA569" s="75"/>
      <c r="AB569" s="75"/>
      <c r="AC569" s="55"/>
      <c r="AD569" s="89"/>
      <c r="AE569" s="89"/>
      <c r="AF569" s="89"/>
      <c r="AG569" s="57"/>
      <c r="AH569" s="58"/>
      <c r="AI569" s="49"/>
      <c r="AK569" s="41"/>
    </row>
    <row r="570" spans="1:37" ht="21">
      <c r="A570" s="32" t="s">
        <v>1023</v>
      </c>
      <c r="B570" s="86" t="s">
        <v>365</v>
      </c>
      <c r="C570" s="87" t="s">
        <v>366</v>
      </c>
      <c r="D570" s="88"/>
      <c r="E570" s="73"/>
      <c r="F570" s="73"/>
      <c r="G570" s="73"/>
      <c r="H570" s="73"/>
      <c r="I570" s="73"/>
      <c r="J570" s="73"/>
      <c r="K570" s="73"/>
      <c r="L570" s="73"/>
      <c r="M570" s="73"/>
      <c r="N570" s="73"/>
      <c r="O570" s="73"/>
      <c r="P570" s="73"/>
      <c r="Q570" s="73"/>
      <c r="R570" s="73"/>
      <c r="S570" s="73"/>
      <c r="T570" s="73"/>
      <c r="U570" s="73"/>
      <c r="V570" s="73"/>
      <c r="W570" s="73"/>
      <c r="X570" s="73"/>
      <c r="Y570" s="73"/>
      <c r="Z570" s="73"/>
      <c r="AA570" s="75"/>
      <c r="AB570" s="75"/>
      <c r="AC570" s="55"/>
      <c r="AD570" s="89"/>
      <c r="AE570" s="89"/>
      <c r="AF570" s="89"/>
      <c r="AG570" s="91"/>
      <c r="AH570" s="48"/>
      <c r="AI570" s="49"/>
      <c r="AK570" s="41"/>
    </row>
    <row r="571" spans="1:37" ht="21">
      <c r="A571" s="32" t="s">
        <v>1464</v>
      </c>
      <c r="B571" s="86"/>
      <c r="C571" s="87" t="s">
        <v>367</v>
      </c>
      <c r="D571" s="88" t="s">
        <v>345</v>
      </c>
      <c r="E571" s="73"/>
      <c r="F571" s="73"/>
      <c r="G571" s="73"/>
      <c r="H571" s="73"/>
      <c r="I571" s="73"/>
      <c r="J571" s="73"/>
      <c r="K571" s="73"/>
      <c r="L571" s="73"/>
      <c r="M571" s="73"/>
      <c r="N571" s="73"/>
      <c r="O571" s="73"/>
      <c r="P571" s="73"/>
      <c r="Q571" s="73"/>
      <c r="R571" s="73"/>
      <c r="S571" s="73"/>
      <c r="T571" s="73"/>
      <c r="U571" s="73"/>
      <c r="V571" s="73"/>
      <c r="W571" s="73"/>
      <c r="X571" s="73"/>
      <c r="Y571" s="73"/>
      <c r="Z571" s="73"/>
      <c r="AA571" s="75"/>
      <c r="AB571" s="75"/>
      <c r="AC571" s="55"/>
      <c r="AD571" s="89"/>
      <c r="AE571" s="89"/>
      <c r="AF571" s="89"/>
      <c r="AG571" s="57"/>
      <c r="AH571" s="58"/>
      <c r="AI571" s="49"/>
      <c r="AK571" s="41"/>
    </row>
    <row r="572" spans="1:37" ht="21">
      <c r="A572" s="32" t="s">
        <v>1465</v>
      </c>
      <c r="B572" s="86"/>
      <c r="C572" s="87" t="s">
        <v>350</v>
      </c>
      <c r="D572" s="88" t="s">
        <v>322</v>
      </c>
      <c r="E572" s="73"/>
      <c r="F572" s="73"/>
      <c r="G572" s="73"/>
      <c r="H572" s="73"/>
      <c r="I572" s="73"/>
      <c r="J572" s="73"/>
      <c r="K572" s="73"/>
      <c r="L572" s="73"/>
      <c r="M572" s="73"/>
      <c r="N572" s="73"/>
      <c r="O572" s="73"/>
      <c r="P572" s="73"/>
      <c r="Q572" s="73"/>
      <c r="R572" s="73"/>
      <c r="S572" s="73"/>
      <c r="T572" s="73"/>
      <c r="U572" s="73"/>
      <c r="V572" s="73"/>
      <c r="W572" s="73"/>
      <c r="X572" s="73"/>
      <c r="Y572" s="73"/>
      <c r="Z572" s="73"/>
      <c r="AA572" s="75"/>
      <c r="AB572" s="75"/>
      <c r="AC572" s="55"/>
      <c r="AD572" s="89"/>
      <c r="AE572" s="89"/>
      <c r="AF572" s="89"/>
      <c r="AG572" s="57"/>
      <c r="AH572" s="58"/>
      <c r="AI572" s="49"/>
      <c r="AK572" s="41"/>
    </row>
    <row r="573" spans="1:37" ht="21">
      <c r="A573" s="32" t="s">
        <v>1466</v>
      </c>
      <c r="B573" s="86"/>
      <c r="C573" s="87" t="s">
        <v>368</v>
      </c>
      <c r="D573" s="88" t="s">
        <v>322</v>
      </c>
      <c r="E573" s="73"/>
      <c r="F573" s="73"/>
      <c r="G573" s="73"/>
      <c r="H573" s="73"/>
      <c r="I573" s="73"/>
      <c r="J573" s="73"/>
      <c r="K573" s="73"/>
      <c r="L573" s="73"/>
      <c r="M573" s="73"/>
      <c r="N573" s="73"/>
      <c r="O573" s="73"/>
      <c r="P573" s="73"/>
      <c r="Q573" s="73"/>
      <c r="R573" s="73"/>
      <c r="S573" s="73"/>
      <c r="T573" s="73"/>
      <c r="U573" s="73"/>
      <c r="V573" s="73"/>
      <c r="W573" s="73"/>
      <c r="X573" s="73"/>
      <c r="Y573" s="73"/>
      <c r="Z573" s="73"/>
      <c r="AA573" s="75"/>
      <c r="AB573" s="75"/>
      <c r="AC573" s="55"/>
      <c r="AD573" s="89"/>
      <c r="AE573" s="89"/>
      <c r="AF573" s="89"/>
      <c r="AG573" s="57"/>
      <c r="AH573" s="58"/>
      <c r="AI573" s="49"/>
      <c r="AK573" s="41"/>
    </row>
    <row r="574" spans="1:37" ht="21">
      <c r="A574" s="32" t="s">
        <v>1467</v>
      </c>
      <c r="B574" s="86"/>
      <c r="C574" s="87" t="s">
        <v>369</v>
      </c>
      <c r="D574" s="88" t="s">
        <v>345</v>
      </c>
      <c r="E574" s="73"/>
      <c r="F574" s="73"/>
      <c r="G574" s="73"/>
      <c r="H574" s="73"/>
      <c r="I574" s="73"/>
      <c r="J574" s="73"/>
      <c r="K574" s="73"/>
      <c r="L574" s="73"/>
      <c r="M574" s="73"/>
      <c r="N574" s="73"/>
      <c r="O574" s="73"/>
      <c r="P574" s="73"/>
      <c r="Q574" s="73"/>
      <c r="R574" s="73"/>
      <c r="S574" s="73"/>
      <c r="T574" s="73"/>
      <c r="U574" s="73"/>
      <c r="V574" s="73"/>
      <c r="W574" s="73"/>
      <c r="X574" s="73"/>
      <c r="Y574" s="73"/>
      <c r="Z574" s="73"/>
      <c r="AA574" s="75"/>
      <c r="AB574" s="75"/>
      <c r="AC574" s="55"/>
      <c r="AD574" s="89"/>
      <c r="AE574" s="89"/>
      <c r="AF574" s="89"/>
      <c r="AG574" s="57"/>
      <c r="AH574" s="58"/>
      <c r="AI574" s="49"/>
      <c r="AK574" s="41"/>
    </row>
    <row r="575" spans="1:37" ht="21">
      <c r="A575" s="32" t="s">
        <v>1024</v>
      </c>
      <c r="B575" s="86" t="s">
        <v>35</v>
      </c>
      <c r="C575" s="87" t="s">
        <v>835</v>
      </c>
      <c r="D575" s="88"/>
      <c r="E575" s="73"/>
      <c r="F575" s="73"/>
      <c r="G575" s="73"/>
      <c r="H575" s="73"/>
      <c r="I575" s="73"/>
      <c r="J575" s="73"/>
      <c r="K575" s="73"/>
      <c r="L575" s="73"/>
      <c r="M575" s="73"/>
      <c r="N575" s="73"/>
      <c r="O575" s="73"/>
      <c r="P575" s="73"/>
      <c r="Q575" s="73"/>
      <c r="R575" s="73"/>
      <c r="S575" s="73"/>
      <c r="T575" s="73"/>
      <c r="U575" s="73"/>
      <c r="V575" s="73"/>
      <c r="W575" s="73"/>
      <c r="X575" s="73"/>
      <c r="Y575" s="73"/>
      <c r="Z575" s="73"/>
      <c r="AA575" s="75"/>
      <c r="AB575" s="75"/>
      <c r="AC575" s="55"/>
      <c r="AD575" s="89"/>
      <c r="AE575" s="89"/>
      <c r="AF575" s="89"/>
      <c r="AG575" s="91"/>
      <c r="AH575" s="48"/>
      <c r="AI575" s="49"/>
      <c r="AK575" s="41"/>
    </row>
    <row r="576" spans="1:37" ht="21">
      <c r="A576" s="32" t="s">
        <v>1468</v>
      </c>
      <c r="B576" s="86"/>
      <c r="C576" s="87" t="s">
        <v>370</v>
      </c>
      <c r="D576" s="88" t="s">
        <v>371</v>
      </c>
      <c r="E576" s="73"/>
      <c r="F576" s="73"/>
      <c r="G576" s="73"/>
      <c r="H576" s="73"/>
      <c r="I576" s="73"/>
      <c r="J576" s="73"/>
      <c r="K576" s="73"/>
      <c r="L576" s="73"/>
      <c r="M576" s="73"/>
      <c r="N576" s="73"/>
      <c r="O576" s="73"/>
      <c r="P576" s="73"/>
      <c r="Q576" s="73"/>
      <c r="R576" s="73"/>
      <c r="S576" s="73"/>
      <c r="T576" s="73"/>
      <c r="U576" s="73"/>
      <c r="V576" s="73"/>
      <c r="W576" s="73"/>
      <c r="X576" s="73"/>
      <c r="Y576" s="73"/>
      <c r="Z576" s="73"/>
      <c r="AA576" s="75"/>
      <c r="AB576" s="75"/>
      <c r="AC576" s="55"/>
      <c r="AD576" s="89"/>
      <c r="AE576" s="89"/>
      <c r="AF576" s="89"/>
      <c r="AG576" s="57"/>
      <c r="AH576" s="58"/>
      <c r="AI576" s="49"/>
      <c r="AK576" s="41"/>
    </row>
    <row r="577" spans="1:38" ht="21">
      <c r="A577" s="32" t="s">
        <v>1469</v>
      </c>
      <c r="B577" s="86"/>
      <c r="C577" s="87" t="s">
        <v>372</v>
      </c>
      <c r="D577" s="88" t="s">
        <v>371</v>
      </c>
      <c r="E577" s="73"/>
      <c r="F577" s="73"/>
      <c r="G577" s="73"/>
      <c r="H577" s="73"/>
      <c r="I577" s="73"/>
      <c r="J577" s="73"/>
      <c r="K577" s="73"/>
      <c r="L577" s="73"/>
      <c r="M577" s="73"/>
      <c r="N577" s="73"/>
      <c r="O577" s="73"/>
      <c r="P577" s="73"/>
      <c r="Q577" s="73"/>
      <c r="R577" s="73"/>
      <c r="S577" s="73"/>
      <c r="T577" s="73"/>
      <c r="U577" s="73"/>
      <c r="V577" s="73"/>
      <c r="W577" s="73"/>
      <c r="X577" s="73"/>
      <c r="Y577" s="73"/>
      <c r="Z577" s="73"/>
      <c r="AA577" s="75"/>
      <c r="AB577" s="75"/>
      <c r="AC577" s="55"/>
      <c r="AD577" s="89"/>
      <c r="AE577" s="89"/>
      <c r="AF577" s="89"/>
      <c r="AG577" s="57"/>
      <c r="AH577" s="58"/>
      <c r="AI577" s="49"/>
      <c r="AK577" s="41"/>
    </row>
    <row r="578" spans="1:38" ht="21">
      <c r="A578" s="32" t="s">
        <v>1470</v>
      </c>
      <c r="B578" s="86"/>
      <c r="C578" s="87" t="s">
        <v>373</v>
      </c>
      <c r="D578" s="88" t="s">
        <v>371</v>
      </c>
      <c r="E578" s="73"/>
      <c r="F578" s="73"/>
      <c r="G578" s="73"/>
      <c r="H578" s="73"/>
      <c r="I578" s="73"/>
      <c r="J578" s="73"/>
      <c r="K578" s="73"/>
      <c r="L578" s="73"/>
      <c r="M578" s="73"/>
      <c r="N578" s="73"/>
      <c r="O578" s="73"/>
      <c r="P578" s="73"/>
      <c r="Q578" s="73"/>
      <c r="R578" s="73"/>
      <c r="S578" s="73"/>
      <c r="T578" s="73"/>
      <c r="U578" s="73"/>
      <c r="V578" s="73"/>
      <c r="W578" s="73"/>
      <c r="X578" s="73"/>
      <c r="Y578" s="73"/>
      <c r="Z578" s="73"/>
      <c r="AA578" s="75"/>
      <c r="AB578" s="75"/>
      <c r="AC578" s="55"/>
      <c r="AD578" s="89"/>
      <c r="AE578" s="89"/>
      <c r="AF578" s="89"/>
      <c r="AG578" s="57"/>
      <c r="AH578" s="58"/>
      <c r="AI578" s="49"/>
      <c r="AK578" s="41"/>
    </row>
    <row r="579" spans="1:38" ht="21">
      <c r="A579" s="32" t="s">
        <v>2158</v>
      </c>
      <c r="B579" s="86">
        <v>8.51</v>
      </c>
      <c r="C579" s="87" t="s">
        <v>2155</v>
      </c>
      <c r="D579" s="88"/>
      <c r="E579" s="73"/>
      <c r="F579" s="73"/>
      <c r="G579" s="73"/>
      <c r="H579" s="73"/>
      <c r="I579" s="73"/>
      <c r="J579" s="73"/>
      <c r="K579" s="73"/>
      <c r="L579" s="73"/>
      <c r="M579" s="73"/>
      <c r="N579" s="73"/>
      <c r="O579" s="73"/>
      <c r="P579" s="73"/>
      <c r="Q579" s="73"/>
      <c r="R579" s="73"/>
      <c r="S579" s="73"/>
      <c r="T579" s="73"/>
      <c r="U579" s="73"/>
      <c r="V579" s="73"/>
      <c r="W579" s="73"/>
      <c r="X579" s="73"/>
      <c r="Y579" s="73"/>
      <c r="Z579" s="73"/>
      <c r="AA579" s="75"/>
      <c r="AB579" s="75"/>
      <c r="AC579" s="55"/>
      <c r="AD579" s="89"/>
      <c r="AE579" s="89"/>
      <c r="AF579" s="89"/>
      <c r="AG579" s="57"/>
      <c r="AH579" s="58"/>
      <c r="AI579" s="49"/>
      <c r="AK579" s="41"/>
    </row>
    <row r="580" spans="1:38" ht="66">
      <c r="A580" s="32" t="s">
        <v>2159</v>
      </c>
      <c r="B580" s="86" t="s">
        <v>14</v>
      </c>
      <c r="C580" s="87" t="s">
        <v>2156</v>
      </c>
      <c r="D580" s="88" t="s">
        <v>371</v>
      </c>
      <c r="E580" s="73"/>
      <c r="F580" s="73"/>
      <c r="G580" s="73"/>
      <c r="H580" s="73"/>
      <c r="I580" s="73"/>
      <c r="J580" s="73"/>
      <c r="K580" s="73"/>
      <c r="L580" s="73"/>
      <c r="M580" s="73"/>
      <c r="N580" s="73"/>
      <c r="O580" s="73"/>
      <c r="P580" s="73"/>
      <c r="Q580" s="73"/>
      <c r="R580" s="73"/>
      <c r="S580" s="73"/>
      <c r="T580" s="73"/>
      <c r="U580" s="73"/>
      <c r="V580" s="73"/>
      <c r="W580" s="73"/>
      <c r="X580" s="73"/>
      <c r="Y580" s="73"/>
      <c r="Z580" s="73"/>
      <c r="AA580" s="75"/>
      <c r="AB580" s="75"/>
      <c r="AC580" s="55"/>
      <c r="AD580" s="89"/>
      <c r="AE580" s="89"/>
      <c r="AF580" s="89"/>
      <c r="AG580" s="57"/>
      <c r="AH580" s="58"/>
      <c r="AI580" s="49"/>
      <c r="AK580" s="41"/>
    </row>
    <row r="581" spans="1:38" ht="66">
      <c r="A581" s="32" t="s">
        <v>2159</v>
      </c>
      <c r="B581" s="86" t="s">
        <v>15</v>
      </c>
      <c r="C581" s="87" t="s">
        <v>2157</v>
      </c>
      <c r="D581" s="88" t="s">
        <v>371</v>
      </c>
      <c r="E581" s="73"/>
      <c r="F581" s="73"/>
      <c r="G581" s="73"/>
      <c r="H581" s="73"/>
      <c r="I581" s="73"/>
      <c r="J581" s="73"/>
      <c r="K581" s="73"/>
      <c r="L581" s="73"/>
      <c r="M581" s="73"/>
      <c r="N581" s="73"/>
      <c r="O581" s="73"/>
      <c r="P581" s="73"/>
      <c r="Q581" s="73"/>
      <c r="R581" s="73"/>
      <c r="S581" s="73"/>
      <c r="T581" s="73"/>
      <c r="U581" s="73"/>
      <c r="V581" s="73"/>
      <c r="W581" s="73"/>
      <c r="X581" s="73"/>
      <c r="Y581" s="73"/>
      <c r="Z581" s="73"/>
      <c r="AA581" s="75"/>
      <c r="AB581" s="75"/>
      <c r="AC581" s="55"/>
      <c r="AD581" s="89"/>
      <c r="AE581" s="89"/>
      <c r="AF581" s="89"/>
      <c r="AG581" s="57"/>
      <c r="AH581" s="58"/>
      <c r="AI581" s="49"/>
      <c r="AK581" s="41"/>
    </row>
    <row r="582" spans="1:38" ht="21">
      <c r="B582" s="86"/>
      <c r="C582" s="87"/>
      <c r="D582" s="88"/>
      <c r="E582" s="73"/>
      <c r="F582" s="73"/>
      <c r="G582" s="73"/>
      <c r="H582" s="73"/>
      <c r="I582" s="73"/>
      <c r="J582" s="73"/>
      <c r="K582" s="73"/>
      <c r="L582" s="73"/>
      <c r="M582" s="73"/>
      <c r="N582" s="73"/>
      <c r="O582" s="73"/>
      <c r="P582" s="73"/>
      <c r="Q582" s="73"/>
      <c r="R582" s="73"/>
      <c r="S582" s="73"/>
      <c r="T582" s="73"/>
      <c r="U582" s="73"/>
      <c r="V582" s="73"/>
      <c r="W582" s="73"/>
      <c r="X582" s="73"/>
      <c r="Y582" s="73"/>
      <c r="Z582" s="73"/>
      <c r="AA582" s="75"/>
      <c r="AB582" s="75"/>
      <c r="AC582" s="55"/>
      <c r="AD582" s="89"/>
      <c r="AE582" s="89"/>
      <c r="AF582" s="89"/>
      <c r="AG582" s="57"/>
      <c r="AH582" s="58"/>
      <c r="AI582" s="49"/>
      <c r="AK582" s="41"/>
    </row>
    <row r="583" spans="1:38" ht="21">
      <c r="A583" s="32" t="s">
        <v>1485</v>
      </c>
      <c r="B583" s="80"/>
      <c r="C583" s="33" t="s">
        <v>1486</v>
      </c>
      <c r="D583" s="80"/>
      <c r="E583" s="81"/>
      <c r="F583" s="81"/>
      <c r="G583" s="81"/>
      <c r="H583" s="81"/>
      <c r="I583" s="81"/>
      <c r="J583" s="81"/>
      <c r="K583" s="81"/>
      <c r="L583" s="81"/>
      <c r="M583" s="81"/>
      <c r="N583" s="81"/>
      <c r="O583" s="81"/>
      <c r="P583" s="81"/>
      <c r="Q583" s="81"/>
      <c r="R583" s="81"/>
      <c r="S583" s="81"/>
      <c r="T583" s="81"/>
      <c r="U583" s="81"/>
      <c r="V583" s="81"/>
      <c r="W583" s="81"/>
      <c r="X583" s="81"/>
      <c r="Y583" s="81"/>
      <c r="Z583" s="81"/>
      <c r="AA583" s="83"/>
      <c r="AB583" s="83"/>
      <c r="AC583" s="55"/>
      <c r="AD583" s="89"/>
      <c r="AE583" s="89"/>
      <c r="AF583" s="89"/>
      <c r="AG583" s="91"/>
      <c r="AH583" s="48"/>
      <c r="AI583" s="39"/>
      <c r="AK583" s="41"/>
      <c r="AL583" s="85"/>
    </row>
    <row r="584" spans="1:38" ht="40.5">
      <c r="A584" s="32" t="s">
        <v>2311</v>
      </c>
      <c r="B584" s="86">
        <v>9.01</v>
      </c>
      <c r="C584" s="87" t="s">
        <v>2549</v>
      </c>
      <c r="D584" s="88"/>
      <c r="E584" s="73"/>
      <c r="F584" s="73"/>
      <c r="G584" s="73"/>
      <c r="H584" s="73"/>
      <c r="I584" s="73"/>
      <c r="J584" s="73"/>
      <c r="K584" s="73"/>
      <c r="L584" s="73"/>
      <c r="M584" s="73"/>
      <c r="N584" s="73"/>
      <c r="O584" s="73"/>
      <c r="P584" s="73"/>
      <c r="Q584" s="73"/>
      <c r="R584" s="73"/>
      <c r="S584" s="73"/>
      <c r="T584" s="73"/>
      <c r="U584" s="73"/>
      <c r="V584" s="73"/>
      <c r="W584" s="73"/>
      <c r="X584" s="73"/>
      <c r="Y584" s="73"/>
      <c r="Z584" s="73"/>
      <c r="AA584" s="75"/>
      <c r="AB584" s="75"/>
      <c r="AC584" s="55"/>
      <c r="AD584" s="89"/>
      <c r="AE584" s="89"/>
      <c r="AF584" s="89"/>
      <c r="AG584" s="91"/>
      <c r="AH584" s="48"/>
      <c r="AI584" s="39"/>
      <c r="AK584" s="41"/>
    </row>
    <row r="585" spans="1:38" ht="21">
      <c r="A585" s="32" t="s">
        <v>2312</v>
      </c>
      <c r="B585" s="94" t="s">
        <v>35</v>
      </c>
      <c r="C585" s="95" t="s">
        <v>105</v>
      </c>
      <c r="D585" s="88"/>
      <c r="E585" s="73"/>
      <c r="F585" s="73"/>
      <c r="G585" s="73"/>
      <c r="H585" s="73"/>
      <c r="I585" s="73"/>
      <c r="J585" s="73"/>
      <c r="K585" s="73"/>
      <c r="L585" s="73"/>
      <c r="M585" s="73"/>
      <c r="N585" s="73"/>
      <c r="O585" s="73"/>
      <c r="P585" s="73"/>
      <c r="Q585" s="73"/>
      <c r="R585" s="73"/>
      <c r="S585" s="73"/>
      <c r="T585" s="73"/>
      <c r="U585" s="73"/>
      <c r="V585" s="73"/>
      <c r="W585" s="73"/>
      <c r="X585" s="73"/>
      <c r="Y585" s="73"/>
      <c r="Z585" s="73"/>
      <c r="AA585" s="75"/>
      <c r="AB585" s="75"/>
      <c r="AC585" s="55"/>
      <c r="AD585" s="89"/>
      <c r="AE585" s="89"/>
      <c r="AF585" s="89"/>
      <c r="AG585" s="91"/>
      <c r="AH585" s="48"/>
      <c r="AI585" s="39"/>
      <c r="AK585" s="41"/>
    </row>
    <row r="586" spans="1:38" ht="21">
      <c r="A586" s="32" t="s">
        <v>2313</v>
      </c>
      <c r="B586" s="94" t="s">
        <v>14</v>
      </c>
      <c r="C586" s="95" t="s">
        <v>128</v>
      </c>
      <c r="D586" s="88"/>
      <c r="E586" s="73"/>
      <c r="F586" s="73"/>
      <c r="G586" s="73"/>
      <c r="H586" s="73"/>
      <c r="I586" s="73"/>
      <c r="J586" s="73"/>
      <c r="K586" s="73"/>
      <c r="L586" s="73"/>
      <c r="M586" s="73"/>
      <c r="N586" s="73"/>
      <c r="O586" s="73"/>
      <c r="P586" s="73"/>
      <c r="Q586" s="73"/>
      <c r="R586" s="73"/>
      <c r="S586" s="73"/>
      <c r="T586" s="73"/>
      <c r="U586" s="73"/>
      <c r="V586" s="73"/>
      <c r="W586" s="73"/>
      <c r="X586" s="73"/>
      <c r="Y586" s="73"/>
      <c r="Z586" s="73"/>
      <c r="AA586" s="75"/>
      <c r="AB586" s="75"/>
      <c r="AC586" s="55"/>
      <c r="AD586" s="89"/>
      <c r="AE586" s="89"/>
      <c r="AF586" s="89"/>
      <c r="AG586" s="91"/>
      <c r="AH586" s="48"/>
      <c r="AI586" s="39"/>
      <c r="AK586" s="41"/>
    </row>
    <row r="587" spans="1:38" ht="21">
      <c r="A587" s="32" t="s">
        <v>2246</v>
      </c>
      <c r="B587" s="92" t="s">
        <v>104</v>
      </c>
      <c r="C587" s="93" t="s">
        <v>374</v>
      </c>
      <c r="D587" s="88" t="s">
        <v>38</v>
      </c>
      <c r="E587" s="73"/>
      <c r="F587" s="73"/>
      <c r="G587" s="73"/>
      <c r="H587" s="73"/>
      <c r="I587" s="73"/>
      <c r="J587" s="73"/>
      <c r="K587" s="73"/>
      <c r="L587" s="73"/>
      <c r="M587" s="73"/>
      <c r="N587" s="73"/>
      <c r="O587" s="73"/>
      <c r="P587" s="73"/>
      <c r="Q587" s="73"/>
      <c r="R587" s="73"/>
      <c r="S587" s="73"/>
      <c r="T587" s="73"/>
      <c r="U587" s="73"/>
      <c r="V587" s="73"/>
      <c r="W587" s="73"/>
      <c r="X587" s="73"/>
      <c r="Y587" s="73"/>
      <c r="Z587" s="73"/>
      <c r="AA587" s="75"/>
      <c r="AB587" s="75"/>
      <c r="AC587" s="55"/>
      <c r="AD587" s="89"/>
      <c r="AE587" s="89"/>
      <c r="AF587" s="89"/>
      <c r="AG587" s="57"/>
      <c r="AH587" s="58"/>
      <c r="AI587" s="39"/>
      <c r="AK587" s="41"/>
    </row>
    <row r="588" spans="1:38" ht="21">
      <c r="A588" s="32" t="s">
        <v>2314</v>
      </c>
      <c r="B588" s="92" t="s">
        <v>24</v>
      </c>
      <c r="C588" s="93" t="s">
        <v>375</v>
      </c>
      <c r="D588" s="88" t="s">
        <v>38</v>
      </c>
      <c r="E588" s="73"/>
      <c r="F588" s="73"/>
      <c r="G588" s="73"/>
      <c r="H588" s="73"/>
      <c r="I588" s="73"/>
      <c r="J588" s="73"/>
      <c r="K588" s="73"/>
      <c r="L588" s="73"/>
      <c r="M588" s="73"/>
      <c r="N588" s="73"/>
      <c r="O588" s="73"/>
      <c r="P588" s="73"/>
      <c r="Q588" s="73"/>
      <c r="R588" s="73"/>
      <c r="S588" s="73"/>
      <c r="T588" s="73"/>
      <c r="U588" s="73"/>
      <c r="V588" s="73"/>
      <c r="W588" s="73"/>
      <c r="X588" s="73"/>
      <c r="Y588" s="73"/>
      <c r="Z588" s="73"/>
      <c r="AA588" s="75"/>
      <c r="AB588" s="75"/>
      <c r="AC588" s="55"/>
      <c r="AD588" s="89"/>
      <c r="AE588" s="89"/>
      <c r="AF588" s="89"/>
      <c r="AG588" s="57"/>
      <c r="AH588" s="58"/>
      <c r="AI588" s="39"/>
      <c r="AK588" s="41"/>
    </row>
    <row r="589" spans="1:38" ht="21">
      <c r="A589" s="32" t="s">
        <v>2315</v>
      </c>
      <c r="B589" s="92" t="s">
        <v>25</v>
      </c>
      <c r="C589" s="93" t="s">
        <v>376</v>
      </c>
      <c r="D589" s="88" t="s">
        <v>38</v>
      </c>
      <c r="E589" s="73"/>
      <c r="F589" s="73"/>
      <c r="G589" s="73"/>
      <c r="H589" s="73"/>
      <c r="I589" s="73"/>
      <c r="J589" s="73"/>
      <c r="K589" s="73"/>
      <c r="L589" s="73"/>
      <c r="M589" s="73"/>
      <c r="N589" s="73"/>
      <c r="O589" s="73"/>
      <c r="P589" s="73"/>
      <c r="Q589" s="73"/>
      <c r="R589" s="73"/>
      <c r="S589" s="73"/>
      <c r="T589" s="73"/>
      <c r="U589" s="73"/>
      <c r="V589" s="73"/>
      <c r="W589" s="73"/>
      <c r="X589" s="73"/>
      <c r="Y589" s="73"/>
      <c r="Z589" s="73"/>
      <c r="AA589" s="75"/>
      <c r="AB589" s="75"/>
      <c r="AC589" s="55"/>
      <c r="AD589" s="89"/>
      <c r="AE589" s="89"/>
      <c r="AF589" s="89"/>
      <c r="AG589" s="57"/>
      <c r="AH589" s="58"/>
      <c r="AI589" s="39"/>
      <c r="AK589" s="41"/>
    </row>
    <row r="590" spans="1:38" ht="21">
      <c r="A590" s="32" t="s">
        <v>2316</v>
      </c>
      <c r="B590" s="94" t="s">
        <v>15</v>
      </c>
      <c r="C590" s="95" t="s">
        <v>112</v>
      </c>
      <c r="D590" s="88"/>
      <c r="E590" s="73"/>
      <c r="F590" s="73"/>
      <c r="G590" s="73"/>
      <c r="H590" s="73"/>
      <c r="I590" s="73"/>
      <c r="J590" s="73"/>
      <c r="K590" s="73"/>
      <c r="L590" s="73"/>
      <c r="M590" s="73"/>
      <c r="N590" s="73"/>
      <c r="O590" s="73"/>
      <c r="P590" s="73"/>
      <c r="Q590" s="73"/>
      <c r="R590" s="73"/>
      <c r="S590" s="73"/>
      <c r="T590" s="73"/>
      <c r="U590" s="73"/>
      <c r="V590" s="73"/>
      <c r="W590" s="73"/>
      <c r="X590" s="73"/>
      <c r="Y590" s="73"/>
      <c r="Z590" s="73"/>
      <c r="AA590" s="75"/>
      <c r="AB590" s="75"/>
      <c r="AC590" s="55"/>
      <c r="AD590" s="89"/>
      <c r="AE590" s="89"/>
      <c r="AF590" s="89"/>
      <c r="AG590" s="91"/>
      <c r="AH590" s="48"/>
      <c r="AI590" s="39"/>
      <c r="AK590" s="41"/>
    </row>
    <row r="591" spans="1:38" ht="21">
      <c r="A591" s="32" t="s">
        <v>2317</v>
      </c>
      <c r="B591" s="92" t="s">
        <v>104</v>
      </c>
      <c r="C591" s="93" t="s">
        <v>377</v>
      </c>
      <c r="D591" s="88" t="s">
        <v>38</v>
      </c>
      <c r="E591" s="73"/>
      <c r="F591" s="73"/>
      <c r="G591" s="73"/>
      <c r="H591" s="73"/>
      <c r="I591" s="73"/>
      <c r="J591" s="73"/>
      <c r="K591" s="73"/>
      <c r="L591" s="73"/>
      <c r="M591" s="73"/>
      <c r="N591" s="73"/>
      <c r="O591" s="73"/>
      <c r="P591" s="73"/>
      <c r="Q591" s="73"/>
      <c r="R591" s="73"/>
      <c r="S591" s="73"/>
      <c r="T591" s="73"/>
      <c r="U591" s="73"/>
      <c r="V591" s="73"/>
      <c r="W591" s="73"/>
      <c r="X591" s="73"/>
      <c r="Y591" s="73"/>
      <c r="Z591" s="73"/>
      <c r="AA591" s="75"/>
      <c r="AB591" s="75"/>
      <c r="AC591" s="55"/>
      <c r="AD591" s="89"/>
      <c r="AE591" s="89"/>
      <c r="AF591" s="89"/>
      <c r="AG591" s="57"/>
      <c r="AH591" s="58"/>
      <c r="AI591" s="39"/>
      <c r="AK591" s="41"/>
    </row>
    <row r="592" spans="1:38" ht="21">
      <c r="A592" s="32" t="s">
        <v>2318</v>
      </c>
      <c r="B592" s="92" t="s">
        <v>24</v>
      </c>
      <c r="C592" s="93" t="s">
        <v>378</v>
      </c>
      <c r="D592" s="88" t="s">
        <v>38</v>
      </c>
      <c r="E592" s="73"/>
      <c r="F592" s="73"/>
      <c r="G592" s="73"/>
      <c r="H592" s="73"/>
      <c r="I592" s="73"/>
      <c r="J592" s="73"/>
      <c r="K592" s="73"/>
      <c r="L592" s="73"/>
      <c r="M592" s="73"/>
      <c r="N592" s="73"/>
      <c r="O592" s="73"/>
      <c r="P592" s="73"/>
      <c r="Q592" s="73"/>
      <c r="R592" s="73"/>
      <c r="S592" s="73"/>
      <c r="T592" s="73"/>
      <c r="U592" s="73"/>
      <c r="V592" s="73"/>
      <c r="W592" s="73"/>
      <c r="X592" s="73"/>
      <c r="Y592" s="73"/>
      <c r="Z592" s="73"/>
      <c r="AA592" s="75"/>
      <c r="AB592" s="75"/>
      <c r="AC592" s="55"/>
      <c r="AD592" s="89"/>
      <c r="AE592" s="89"/>
      <c r="AF592" s="89"/>
      <c r="AG592" s="57"/>
      <c r="AH592" s="58"/>
      <c r="AI592" s="39"/>
      <c r="AK592" s="41"/>
    </row>
    <row r="593" spans="1:37" ht="21">
      <c r="A593" s="32" t="s">
        <v>2319</v>
      </c>
      <c r="B593" s="92" t="s">
        <v>25</v>
      </c>
      <c r="C593" s="93" t="s">
        <v>379</v>
      </c>
      <c r="D593" s="88" t="s">
        <v>38</v>
      </c>
      <c r="E593" s="73"/>
      <c r="F593" s="73"/>
      <c r="G593" s="73"/>
      <c r="H593" s="73"/>
      <c r="I593" s="73"/>
      <c r="J593" s="73"/>
      <c r="K593" s="73"/>
      <c r="L593" s="73"/>
      <c r="M593" s="73"/>
      <c r="N593" s="73"/>
      <c r="O593" s="73"/>
      <c r="P593" s="73"/>
      <c r="Q593" s="73"/>
      <c r="R593" s="73"/>
      <c r="S593" s="73"/>
      <c r="T593" s="73"/>
      <c r="U593" s="73"/>
      <c r="V593" s="73"/>
      <c r="W593" s="73"/>
      <c r="X593" s="73"/>
      <c r="Y593" s="73"/>
      <c r="Z593" s="73"/>
      <c r="AA593" s="75"/>
      <c r="AB593" s="75"/>
      <c r="AC593" s="55"/>
      <c r="AD593" s="89"/>
      <c r="AE593" s="89"/>
      <c r="AF593" s="89"/>
      <c r="AG593" s="57"/>
      <c r="AH593" s="58"/>
      <c r="AI593" s="39"/>
      <c r="AK593" s="41"/>
    </row>
    <row r="594" spans="1:37" ht="21">
      <c r="A594" s="32" t="s">
        <v>2320</v>
      </c>
      <c r="B594" s="94" t="s">
        <v>42</v>
      </c>
      <c r="C594" s="95" t="s">
        <v>380</v>
      </c>
      <c r="D594" s="88"/>
      <c r="E594" s="73"/>
      <c r="F594" s="73"/>
      <c r="G594" s="73"/>
      <c r="H594" s="73"/>
      <c r="I594" s="73"/>
      <c r="J594" s="73"/>
      <c r="K594" s="73"/>
      <c r="L594" s="73"/>
      <c r="M594" s="73"/>
      <c r="N594" s="73"/>
      <c r="O594" s="73"/>
      <c r="P594" s="73"/>
      <c r="Q594" s="73"/>
      <c r="R594" s="73"/>
      <c r="S594" s="73"/>
      <c r="T594" s="73"/>
      <c r="U594" s="73"/>
      <c r="V594" s="73"/>
      <c r="W594" s="73"/>
      <c r="X594" s="73"/>
      <c r="Y594" s="73"/>
      <c r="Z594" s="73"/>
      <c r="AA594" s="75"/>
      <c r="AB594" s="75"/>
      <c r="AC594" s="55"/>
      <c r="AD594" s="89"/>
      <c r="AE594" s="89"/>
      <c r="AF594" s="89"/>
      <c r="AG594" s="91"/>
      <c r="AH594" s="48"/>
      <c r="AI594" s="39"/>
      <c r="AK594" s="41"/>
    </row>
    <row r="595" spans="1:37" ht="21">
      <c r="A595" s="32" t="s">
        <v>2321</v>
      </c>
      <c r="B595" s="94" t="s">
        <v>14</v>
      </c>
      <c r="C595" s="95" t="s">
        <v>128</v>
      </c>
      <c r="D595" s="88"/>
      <c r="E595" s="73"/>
      <c r="F595" s="73"/>
      <c r="G595" s="73"/>
      <c r="H595" s="73"/>
      <c r="I595" s="73"/>
      <c r="J595" s="73"/>
      <c r="K595" s="73"/>
      <c r="L595" s="73"/>
      <c r="M595" s="73"/>
      <c r="N595" s="73"/>
      <c r="O595" s="73"/>
      <c r="P595" s="73"/>
      <c r="Q595" s="73"/>
      <c r="R595" s="73"/>
      <c r="S595" s="73"/>
      <c r="T595" s="73"/>
      <c r="U595" s="73"/>
      <c r="V595" s="73"/>
      <c r="W595" s="73"/>
      <c r="X595" s="73"/>
      <c r="Y595" s="73"/>
      <c r="Z595" s="73"/>
      <c r="AA595" s="75"/>
      <c r="AB595" s="75"/>
      <c r="AC595" s="55"/>
      <c r="AD595" s="89"/>
      <c r="AE595" s="89"/>
      <c r="AF595" s="89"/>
      <c r="AG595" s="91"/>
      <c r="AH595" s="48"/>
      <c r="AI595" s="39"/>
      <c r="AK595" s="41"/>
    </row>
    <row r="596" spans="1:37" ht="21">
      <c r="A596" s="32" t="s">
        <v>2322</v>
      </c>
      <c r="B596" s="92" t="s">
        <v>104</v>
      </c>
      <c r="C596" s="93" t="s">
        <v>381</v>
      </c>
      <c r="D596" s="88"/>
      <c r="E596" s="73"/>
      <c r="F596" s="73"/>
      <c r="G596" s="73"/>
      <c r="H596" s="73"/>
      <c r="I596" s="73"/>
      <c r="J596" s="73"/>
      <c r="K596" s="73"/>
      <c r="L596" s="73"/>
      <c r="M596" s="73"/>
      <c r="N596" s="73"/>
      <c r="O596" s="73"/>
      <c r="P596" s="73"/>
      <c r="Q596" s="73"/>
      <c r="R596" s="73"/>
      <c r="S596" s="73"/>
      <c r="T596" s="73"/>
      <c r="U596" s="73"/>
      <c r="V596" s="73"/>
      <c r="W596" s="73"/>
      <c r="X596" s="73"/>
      <c r="Y596" s="73"/>
      <c r="Z596" s="73"/>
      <c r="AA596" s="75"/>
      <c r="AB596" s="75"/>
      <c r="AC596" s="55"/>
      <c r="AD596" s="89"/>
      <c r="AE596" s="89"/>
      <c r="AF596" s="89"/>
      <c r="AG596" s="57"/>
      <c r="AH596" s="58"/>
      <c r="AI596" s="39"/>
      <c r="AK596" s="41"/>
    </row>
    <row r="597" spans="1:37" ht="21">
      <c r="A597" s="32" t="s">
        <v>2323</v>
      </c>
      <c r="B597" s="94" t="s">
        <v>15</v>
      </c>
      <c r="C597" s="95" t="s">
        <v>112</v>
      </c>
      <c r="D597" s="88" t="s">
        <v>38</v>
      </c>
      <c r="E597" s="73"/>
      <c r="F597" s="73"/>
      <c r="G597" s="73"/>
      <c r="H597" s="73"/>
      <c r="I597" s="73"/>
      <c r="J597" s="73"/>
      <c r="K597" s="73"/>
      <c r="L597" s="73"/>
      <c r="M597" s="73"/>
      <c r="N597" s="73"/>
      <c r="O597" s="73"/>
      <c r="P597" s="73"/>
      <c r="Q597" s="73"/>
      <c r="R597" s="73"/>
      <c r="S597" s="73"/>
      <c r="T597" s="73"/>
      <c r="U597" s="73"/>
      <c r="V597" s="73"/>
      <c r="W597" s="73"/>
      <c r="X597" s="73"/>
      <c r="Y597" s="73"/>
      <c r="Z597" s="73"/>
      <c r="AA597" s="75"/>
      <c r="AB597" s="75"/>
      <c r="AC597" s="55"/>
      <c r="AD597" s="89"/>
      <c r="AE597" s="89"/>
      <c r="AF597" s="89"/>
      <c r="AG597" s="57"/>
      <c r="AH597" s="58"/>
      <c r="AI597" s="39"/>
      <c r="AK597" s="41"/>
    </row>
    <row r="598" spans="1:37" ht="21">
      <c r="A598" s="32" t="s">
        <v>2324</v>
      </c>
      <c r="B598" s="94" t="s">
        <v>382</v>
      </c>
      <c r="C598" s="95" t="s">
        <v>110</v>
      </c>
      <c r="D598" s="88"/>
      <c r="E598" s="73"/>
      <c r="F598" s="73"/>
      <c r="G598" s="73"/>
      <c r="H598" s="73"/>
      <c r="I598" s="73"/>
      <c r="J598" s="73"/>
      <c r="K598" s="73"/>
      <c r="L598" s="73"/>
      <c r="M598" s="73"/>
      <c r="N598" s="73"/>
      <c r="O598" s="73"/>
      <c r="P598" s="73"/>
      <c r="Q598" s="73"/>
      <c r="R598" s="73"/>
      <c r="S598" s="73"/>
      <c r="T598" s="73"/>
      <c r="U598" s="73"/>
      <c r="V598" s="73"/>
      <c r="W598" s="73"/>
      <c r="X598" s="73"/>
      <c r="Y598" s="73"/>
      <c r="Z598" s="73"/>
      <c r="AA598" s="75"/>
      <c r="AB598" s="75"/>
      <c r="AC598" s="55"/>
      <c r="AD598" s="89"/>
      <c r="AE598" s="89"/>
      <c r="AF598" s="89"/>
      <c r="AG598" s="91"/>
      <c r="AH598" s="48"/>
      <c r="AI598" s="39"/>
      <c r="AK598" s="41"/>
    </row>
    <row r="599" spans="1:37" ht="21">
      <c r="A599" s="32" t="s">
        <v>2325</v>
      </c>
      <c r="B599" s="92" t="s">
        <v>14</v>
      </c>
      <c r="C599" s="93" t="s">
        <v>128</v>
      </c>
      <c r="D599" s="88" t="s">
        <v>38</v>
      </c>
      <c r="E599" s="73"/>
      <c r="F599" s="73"/>
      <c r="G599" s="73"/>
      <c r="H599" s="73"/>
      <c r="I599" s="73"/>
      <c r="J599" s="73"/>
      <c r="K599" s="73"/>
      <c r="L599" s="73"/>
      <c r="M599" s="73"/>
      <c r="N599" s="73"/>
      <c r="O599" s="73"/>
      <c r="P599" s="73"/>
      <c r="Q599" s="73"/>
      <c r="R599" s="73"/>
      <c r="S599" s="73"/>
      <c r="T599" s="73"/>
      <c r="U599" s="73"/>
      <c r="V599" s="73"/>
      <c r="W599" s="73"/>
      <c r="X599" s="73"/>
      <c r="Y599" s="73"/>
      <c r="Z599" s="73"/>
      <c r="AA599" s="75"/>
      <c r="AB599" s="75"/>
      <c r="AC599" s="55"/>
      <c r="AD599" s="89"/>
      <c r="AE599" s="89"/>
      <c r="AF599" s="89"/>
      <c r="AG599" s="57"/>
      <c r="AH599" s="58"/>
      <c r="AI599" s="39"/>
      <c r="AK599" s="41"/>
    </row>
    <row r="600" spans="1:37" ht="21">
      <c r="A600" s="32" t="s">
        <v>2326</v>
      </c>
      <c r="B600" s="92" t="s">
        <v>15</v>
      </c>
      <c r="C600" s="93" t="s">
        <v>112</v>
      </c>
      <c r="D600" s="88" t="s">
        <v>38</v>
      </c>
      <c r="E600" s="73"/>
      <c r="F600" s="73"/>
      <c r="G600" s="73"/>
      <c r="H600" s="73"/>
      <c r="I600" s="73"/>
      <c r="J600" s="73"/>
      <c r="K600" s="73"/>
      <c r="L600" s="73"/>
      <c r="M600" s="73"/>
      <c r="N600" s="73"/>
      <c r="O600" s="73"/>
      <c r="P600" s="73"/>
      <c r="Q600" s="73"/>
      <c r="R600" s="73"/>
      <c r="S600" s="73"/>
      <c r="T600" s="73"/>
      <c r="U600" s="73"/>
      <c r="V600" s="73"/>
      <c r="W600" s="73"/>
      <c r="X600" s="73"/>
      <c r="Y600" s="73"/>
      <c r="Z600" s="73"/>
      <c r="AA600" s="75"/>
      <c r="AB600" s="75"/>
      <c r="AC600" s="55"/>
      <c r="AD600" s="89"/>
      <c r="AE600" s="89"/>
      <c r="AF600" s="89"/>
      <c r="AG600" s="57"/>
      <c r="AH600" s="58"/>
      <c r="AI600" s="39"/>
      <c r="AK600" s="41"/>
    </row>
    <row r="601" spans="1:37" ht="21">
      <c r="A601" s="32" t="s">
        <v>2327</v>
      </c>
      <c r="B601" s="94" t="s">
        <v>383</v>
      </c>
      <c r="C601" s="95" t="s">
        <v>111</v>
      </c>
      <c r="D601" s="88"/>
      <c r="E601" s="73"/>
      <c r="F601" s="73"/>
      <c r="G601" s="73"/>
      <c r="H601" s="73"/>
      <c r="I601" s="73"/>
      <c r="J601" s="73"/>
      <c r="K601" s="73"/>
      <c r="L601" s="73"/>
      <c r="M601" s="73"/>
      <c r="N601" s="73"/>
      <c r="O601" s="73"/>
      <c r="P601" s="73"/>
      <c r="Q601" s="73"/>
      <c r="R601" s="73"/>
      <c r="S601" s="73"/>
      <c r="T601" s="73"/>
      <c r="U601" s="73"/>
      <c r="V601" s="73"/>
      <c r="W601" s="73"/>
      <c r="X601" s="73"/>
      <c r="Y601" s="73"/>
      <c r="Z601" s="73"/>
      <c r="AA601" s="75"/>
      <c r="AB601" s="75"/>
      <c r="AC601" s="55"/>
      <c r="AD601" s="89"/>
      <c r="AE601" s="89"/>
      <c r="AF601" s="89"/>
      <c r="AG601" s="91"/>
      <c r="AH601" s="48"/>
      <c r="AI601" s="39"/>
      <c r="AK601" s="41"/>
    </row>
    <row r="602" spans="1:37" ht="21">
      <c r="A602" s="32" t="s">
        <v>2328</v>
      </c>
      <c r="B602" s="92" t="s">
        <v>14</v>
      </c>
      <c r="C602" s="93" t="s">
        <v>112</v>
      </c>
      <c r="D602" s="88" t="s">
        <v>38</v>
      </c>
      <c r="E602" s="73"/>
      <c r="F602" s="73"/>
      <c r="G602" s="73"/>
      <c r="H602" s="73"/>
      <c r="I602" s="73"/>
      <c r="J602" s="73"/>
      <c r="K602" s="73"/>
      <c r="L602" s="73"/>
      <c r="M602" s="73"/>
      <c r="N602" s="73"/>
      <c r="O602" s="73"/>
      <c r="P602" s="73"/>
      <c r="Q602" s="73"/>
      <c r="R602" s="73"/>
      <c r="S602" s="73"/>
      <c r="T602" s="73"/>
      <c r="U602" s="73"/>
      <c r="V602" s="73"/>
      <c r="W602" s="73"/>
      <c r="X602" s="73"/>
      <c r="Y602" s="73"/>
      <c r="Z602" s="73"/>
      <c r="AA602" s="75"/>
      <c r="AB602" s="75"/>
      <c r="AC602" s="55"/>
      <c r="AD602" s="89"/>
      <c r="AE602" s="89"/>
      <c r="AF602" s="89"/>
      <c r="AG602" s="57"/>
      <c r="AH602" s="58"/>
      <c r="AI602" s="39"/>
      <c r="AK602" s="41"/>
    </row>
    <row r="603" spans="1:37" ht="21">
      <c r="A603" s="32" t="s">
        <v>2329</v>
      </c>
      <c r="B603" s="94" t="s">
        <v>384</v>
      </c>
      <c r="C603" s="95" t="s">
        <v>113</v>
      </c>
      <c r="D603" s="88"/>
      <c r="E603" s="73"/>
      <c r="F603" s="73"/>
      <c r="G603" s="73"/>
      <c r="H603" s="73"/>
      <c r="I603" s="73"/>
      <c r="J603" s="73"/>
      <c r="K603" s="73"/>
      <c r="L603" s="73"/>
      <c r="M603" s="73"/>
      <c r="N603" s="73"/>
      <c r="O603" s="73"/>
      <c r="P603" s="73"/>
      <c r="Q603" s="73"/>
      <c r="R603" s="73"/>
      <c r="S603" s="73"/>
      <c r="T603" s="73"/>
      <c r="U603" s="73"/>
      <c r="V603" s="73"/>
      <c r="W603" s="73"/>
      <c r="X603" s="73"/>
      <c r="Y603" s="73"/>
      <c r="Z603" s="73"/>
      <c r="AA603" s="75"/>
      <c r="AB603" s="75"/>
      <c r="AC603" s="55"/>
      <c r="AD603" s="89"/>
      <c r="AE603" s="89"/>
      <c r="AF603" s="89"/>
      <c r="AG603" s="91"/>
      <c r="AH603" s="48"/>
      <c r="AI603" s="39"/>
      <c r="AK603" s="41"/>
    </row>
    <row r="604" spans="1:37" ht="21">
      <c r="A604" s="32" t="s">
        <v>2330</v>
      </c>
      <c r="B604" s="94" t="s">
        <v>104</v>
      </c>
      <c r="C604" s="95" t="s">
        <v>374</v>
      </c>
      <c r="D604" s="88"/>
      <c r="E604" s="73"/>
      <c r="F604" s="73"/>
      <c r="G604" s="73"/>
      <c r="H604" s="73"/>
      <c r="I604" s="73"/>
      <c r="J604" s="73"/>
      <c r="K604" s="73"/>
      <c r="L604" s="73"/>
      <c r="M604" s="73"/>
      <c r="N604" s="73"/>
      <c r="O604" s="73"/>
      <c r="P604" s="73"/>
      <c r="Q604" s="73"/>
      <c r="R604" s="73"/>
      <c r="S604" s="73"/>
      <c r="T604" s="73"/>
      <c r="U604" s="73"/>
      <c r="V604" s="73"/>
      <c r="W604" s="73"/>
      <c r="X604" s="73"/>
      <c r="Y604" s="73"/>
      <c r="Z604" s="73"/>
      <c r="AA604" s="75"/>
      <c r="AB604" s="75"/>
      <c r="AC604" s="55"/>
      <c r="AD604" s="89"/>
      <c r="AE604" s="89"/>
      <c r="AF604" s="89"/>
      <c r="AG604" s="91"/>
      <c r="AH604" s="48"/>
      <c r="AI604" s="39"/>
      <c r="AK604" s="41"/>
    </row>
    <row r="605" spans="1:37" ht="21">
      <c r="A605" s="32" t="s">
        <v>2331</v>
      </c>
      <c r="B605" s="92" t="s">
        <v>14</v>
      </c>
      <c r="C605" s="93" t="s">
        <v>385</v>
      </c>
      <c r="D605" s="88" t="s">
        <v>38</v>
      </c>
      <c r="E605" s="73"/>
      <c r="F605" s="73"/>
      <c r="G605" s="73"/>
      <c r="H605" s="73"/>
      <c r="I605" s="73"/>
      <c r="J605" s="73"/>
      <c r="K605" s="73"/>
      <c r="L605" s="73"/>
      <c r="M605" s="73"/>
      <c r="N605" s="73"/>
      <c r="O605" s="73"/>
      <c r="P605" s="73"/>
      <c r="Q605" s="73"/>
      <c r="R605" s="73"/>
      <c r="S605" s="73"/>
      <c r="T605" s="73"/>
      <c r="U605" s="73"/>
      <c r="V605" s="73"/>
      <c r="W605" s="73"/>
      <c r="X605" s="73"/>
      <c r="Y605" s="73"/>
      <c r="Z605" s="73"/>
      <c r="AA605" s="75"/>
      <c r="AB605" s="75"/>
      <c r="AC605" s="55"/>
      <c r="AD605" s="89"/>
      <c r="AE605" s="89"/>
      <c r="AF605" s="89"/>
      <c r="AG605" s="57"/>
      <c r="AH605" s="58"/>
      <c r="AI605" s="39"/>
      <c r="AK605" s="41"/>
    </row>
    <row r="606" spans="1:37" ht="21">
      <c r="A606" s="32" t="s">
        <v>2332</v>
      </c>
      <c r="B606" s="92" t="s">
        <v>15</v>
      </c>
      <c r="C606" s="93" t="s">
        <v>112</v>
      </c>
      <c r="D606" s="88" t="s">
        <v>38</v>
      </c>
      <c r="E606" s="73"/>
      <c r="F606" s="73"/>
      <c r="G606" s="73"/>
      <c r="H606" s="73"/>
      <c r="I606" s="73"/>
      <c r="J606" s="73"/>
      <c r="K606" s="73"/>
      <c r="L606" s="73"/>
      <c r="M606" s="73"/>
      <c r="N606" s="73"/>
      <c r="O606" s="73"/>
      <c r="P606" s="73"/>
      <c r="Q606" s="73"/>
      <c r="R606" s="73"/>
      <c r="S606" s="73"/>
      <c r="T606" s="73"/>
      <c r="U606" s="73"/>
      <c r="V606" s="73"/>
      <c r="W606" s="73"/>
      <c r="X606" s="73"/>
      <c r="Y606" s="73"/>
      <c r="Z606" s="73"/>
      <c r="AA606" s="75"/>
      <c r="AB606" s="75"/>
      <c r="AC606" s="55"/>
      <c r="AD606" s="89"/>
      <c r="AE606" s="89"/>
      <c r="AF606" s="89"/>
      <c r="AG606" s="57"/>
      <c r="AH606" s="58"/>
      <c r="AI606" s="39"/>
      <c r="AK606" s="41"/>
    </row>
    <row r="607" spans="1:37" ht="21">
      <c r="A607" s="32" t="s">
        <v>1744</v>
      </c>
      <c r="B607" s="86">
        <v>9.02</v>
      </c>
      <c r="C607" s="87" t="s">
        <v>468</v>
      </c>
      <c r="D607" s="88" t="s">
        <v>38</v>
      </c>
      <c r="E607" s="73"/>
      <c r="F607" s="73"/>
      <c r="G607" s="73"/>
      <c r="H607" s="73"/>
      <c r="I607" s="73"/>
      <c r="J607" s="73"/>
      <c r="K607" s="73"/>
      <c r="L607" s="73"/>
      <c r="M607" s="73"/>
      <c r="N607" s="73"/>
      <c r="O607" s="73"/>
      <c r="P607" s="73"/>
      <c r="Q607" s="73"/>
      <c r="R607" s="73"/>
      <c r="S607" s="73"/>
      <c r="T607" s="73"/>
      <c r="U607" s="73"/>
      <c r="V607" s="73"/>
      <c r="W607" s="73"/>
      <c r="X607" s="73"/>
      <c r="Y607" s="73"/>
      <c r="Z607" s="73"/>
      <c r="AA607" s="75"/>
      <c r="AB607" s="75"/>
      <c r="AC607" s="55"/>
      <c r="AD607" s="89"/>
      <c r="AE607" s="89"/>
      <c r="AF607" s="89"/>
      <c r="AG607" s="57"/>
      <c r="AH607" s="58"/>
      <c r="AI607" s="39"/>
      <c r="AK607" s="41"/>
    </row>
    <row r="608" spans="1:37" ht="40.5">
      <c r="A608" s="32" t="s">
        <v>1745</v>
      </c>
      <c r="B608" s="86">
        <v>9.0299999999999994</v>
      </c>
      <c r="C608" s="87" t="s">
        <v>2550</v>
      </c>
      <c r="D608" s="88" t="s">
        <v>38</v>
      </c>
      <c r="E608" s="73"/>
      <c r="F608" s="73"/>
      <c r="G608" s="73"/>
      <c r="H608" s="73"/>
      <c r="I608" s="73"/>
      <c r="J608" s="73"/>
      <c r="K608" s="73"/>
      <c r="L608" s="73"/>
      <c r="M608" s="73"/>
      <c r="N608" s="73"/>
      <c r="O608" s="73"/>
      <c r="P608" s="73"/>
      <c r="Q608" s="73"/>
      <c r="R608" s="73"/>
      <c r="S608" s="73"/>
      <c r="T608" s="73"/>
      <c r="U608" s="73"/>
      <c r="V608" s="73"/>
      <c r="W608" s="73"/>
      <c r="X608" s="73"/>
      <c r="Y608" s="73"/>
      <c r="Z608" s="73"/>
      <c r="AA608" s="75"/>
      <c r="AB608" s="75"/>
      <c r="AC608" s="55"/>
      <c r="AD608" s="89"/>
      <c r="AE608" s="89"/>
      <c r="AF608" s="89"/>
      <c r="AG608" s="57"/>
      <c r="AH608" s="58"/>
      <c r="AI608" s="39"/>
      <c r="AK608" s="41"/>
    </row>
    <row r="609" spans="1:37" ht="66">
      <c r="A609" s="32" t="s">
        <v>1746</v>
      </c>
      <c r="B609" s="86">
        <v>9.0399999999999991</v>
      </c>
      <c r="C609" s="87" t="s">
        <v>2551</v>
      </c>
      <c r="D609" s="88"/>
      <c r="E609" s="73"/>
      <c r="F609" s="73"/>
      <c r="G609" s="73"/>
      <c r="H609" s="73"/>
      <c r="I609" s="73"/>
      <c r="J609" s="73"/>
      <c r="K609" s="73"/>
      <c r="L609" s="73"/>
      <c r="M609" s="73"/>
      <c r="N609" s="73"/>
      <c r="O609" s="73"/>
      <c r="P609" s="73"/>
      <c r="Q609" s="73"/>
      <c r="R609" s="73"/>
      <c r="S609" s="73"/>
      <c r="T609" s="73"/>
      <c r="U609" s="73"/>
      <c r="V609" s="73"/>
      <c r="W609" s="73"/>
      <c r="X609" s="73"/>
      <c r="Y609" s="73"/>
      <c r="Z609" s="73"/>
      <c r="AA609" s="75"/>
      <c r="AB609" s="75"/>
      <c r="AC609" s="55"/>
      <c r="AD609" s="89"/>
      <c r="AE609" s="89"/>
      <c r="AF609" s="89"/>
      <c r="AG609" s="91"/>
      <c r="AH609" s="48"/>
      <c r="AI609" s="39"/>
      <c r="AK609" s="41"/>
    </row>
    <row r="610" spans="1:37" ht="21">
      <c r="A610" s="32" t="s">
        <v>1747</v>
      </c>
      <c r="B610" s="92" t="s">
        <v>14</v>
      </c>
      <c r="C610" s="93" t="s">
        <v>397</v>
      </c>
      <c r="D610" s="88" t="s">
        <v>81</v>
      </c>
      <c r="E610" s="73"/>
      <c r="F610" s="73"/>
      <c r="G610" s="73"/>
      <c r="H610" s="73"/>
      <c r="I610" s="73"/>
      <c r="J610" s="73"/>
      <c r="K610" s="73"/>
      <c r="L610" s="73"/>
      <c r="M610" s="73"/>
      <c r="N610" s="73"/>
      <c r="O610" s="73"/>
      <c r="P610" s="73"/>
      <c r="Q610" s="73"/>
      <c r="R610" s="73"/>
      <c r="S610" s="73"/>
      <c r="T610" s="73"/>
      <c r="U610" s="73"/>
      <c r="V610" s="73"/>
      <c r="W610" s="73"/>
      <c r="X610" s="73"/>
      <c r="Y610" s="73"/>
      <c r="Z610" s="73"/>
      <c r="AA610" s="75"/>
      <c r="AB610" s="75"/>
      <c r="AC610" s="55"/>
      <c r="AD610" s="89"/>
      <c r="AE610" s="89"/>
      <c r="AF610" s="89"/>
      <c r="AG610" s="57"/>
      <c r="AH610" s="58"/>
      <c r="AI610" s="39"/>
      <c r="AK610" s="41"/>
    </row>
    <row r="611" spans="1:37" ht="21">
      <c r="A611" s="32" t="s">
        <v>1748</v>
      </c>
      <c r="B611" s="92" t="s">
        <v>15</v>
      </c>
      <c r="C611" s="93" t="s">
        <v>398</v>
      </c>
      <c r="D611" s="88" t="s">
        <v>81</v>
      </c>
      <c r="E611" s="73"/>
      <c r="F611" s="73"/>
      <c r="G611" s="73"/>
      <c r="H611" s="73"/>
      <c r="I611" s="73"/>
      <c r="J611" s="73"/>
      <c r="K611" s="73"/>
      <c r="L611" s="73"/>
      <c r="M611" s="73"/>
      <c r="N611" s="73"/>
      <c r="O611" s="73"/>
      <c r="P611" s="73"/>
      <c r="Q611" s="73"/>
      <c r="R611" s="73"/>
      <c r="S611" s="73"/>
      <c r="T611" s="73"/>
      <c r="U611" s="73"/>
      <c r="V611" s="73"/>
      <c r="W611" s="73"/>
      <c r="X611" s="73"/>
      <c r="Y611" s="73"/>
      <c r="Z611" s="73"/>
      <c r="AA611" s="75"/>
      <c r="AB611" s="75"/>
      <c r="AC611" s="55"/>
      <c r="AD611" s="89"/>
      <c r="AE611" s="89"/>
      <c r="AF611" s="89"/>
      <c r="AG611" s="57"/>
      <c r="AH611" s="58"/>
      <c r="AI611" s="39"/>
      <c r="AK611" s="41"/>
    </row>
    <row r="612" spans="1:37" ht="21">
      <c r="A612" s="32" t="s">
        <v>1749</v>
      </c>
      <c r="B612" s="92" t="s">
        <v>40</v>
      </c>
      <c r="C612" s="93" t="s">
        <v>756</v>
      </c>
      <c r="D612" s="88" t="s">
        <v>81</v>
      </c>
      <c r="E612" s="73"/>
      <c r="F612" s="73"/>
      <c r="G612" s="73"/>
      <c r="H612" s="73"/>
      <c r="I612" s="73"/>
      <c r="J612" s="73"/>
      <c r="K612" s="73"/>
      <c r="L612" s="73"/>
      <c r="M612" s="73"/>
      <c r="N612" s="73"/>
      <c r="O612" s="73"/>
      <c r="P612" s="73"/>
      <c r="Q612" s="73"/>
      <c r="R612" s="73"/>
      <c r="S612" s="73"/>
      <c r="T612" s="73"/>
      <c r="U612" s="73"/>
      <c r="V612" s="73"/>
      <c r="W612" s="73"/>
      <c r="X612" s="73"/>
      <c r="Y612" s="73"/>
      <c r="Z612" s="73"/>
      <c r="AA612" s="75"/>
      <c r="AB612" s="75"/>
      <c r="AC612" s="55"/>
      <c r="AD612" s="89"/>
      <c r="AE612" s="89"/>
      <c r="AF612" s="89"/>
      <c r="AG612" s="57"/>
      <c r="AH612" s="58"/>
      <c r="AI612" s="39"/>
      <c r="AK612" s="41"/>
    </row>
    <row r="613" spans="1:37" ht="66">
      <c r="A613" s="32" t="s">
        <v>1750</v>
      </c>
      <c r="B613" s="86">
        <v>9.0500000000000007</v>
      </c>
      <c r="C613" s="87" t="s">
        <v>2552</v>
      </c>
      <c r="D613" s="88"/>
      <c r="E613" s="73"/>
      <c r="F613" s="73"/>
      <c r="G613" s="73"/>
      <c r="H613" s="73"/>
      <c r="I613" s="73"/>
      <c r="J613" s="73"/>
      <c r="K613" s="73"/>
      <c r="L613" s="73"/>
      <c r="M613" s="73"/>
      <c r="N613" s="73"/>
      <c r="O613" s="73"/>
      <c r="P613" s="73"/>
      <c r="Q613" s="73"/>
      <c r="R613" s="73"/>
      <c r="S613" s="73"/>
      <c r="T613" s="73"/>
      <c r="U613" s="73"/>
      <c r="V613" s="73"/>
      <c r="W613" s="73"/>
      <c r="X613" s="73"/>
      <c r="Y613" s="73"/>
      <c r="Z613" s="73"/>
      <c r="AA613" s="75"/>
      <c r="AB613" s="75"/>
      <c r="AC613" s="55"/>
      <c r="AD613" s="89"/>
      <c r="AE613" s="89"/>
      <c r="AF613" s="89"/>
      <c r="AG613" s="91"/>
      <c r="AH613" s="48"/>
      <c r="AI613" s="39"/>
      <c r="AK613" s="41"/>
    </row>
    <row r="614" spans="1:37" ht="15" customHeight="1">
      <c r="A614" s="32" t="s">
        <v>1751</v>
      </c>
      <c r="B614" s="92" t="s">
        <v>14</v>
      </c>
      <c r="C614" s="93" t="s">
        <v>397</v>
      </c>
      <c r="D614" s="88" t="s">
        <v>81</v>
      </c>
      <c r="E614" s="73"/>
      <c r="F614" s="73"/>
      <c r="G614" s="73"/>
      <c r="H614" s="73"/>
      <c r="I614" s="73"/>
      <c r="J614" s="73"/>
      <c r="K614" s="73"/>
      <c r="L614" s="73"/>
      <c r="M614" s="73"/>
      <c r="N614" s="73"/>
      <c r="O614" s="73"/>
      <c r="P614" s="73"/>
      <c r="Q614" s="73"/>
      <c r="R614" s="73"/>
      <c r="S614" s="73"/>
      <c r="T614" s="73"/>
      <c r="U614" s="73"/>
      <c r="V614" s="73"/>
      <c r="W614" s="73"/>
      <c r="X614" s="73"/>
      <c r="Y614" s="73"/>
      <c r="Z614" s="73"/>
      <c r="AA614" s="75"/>
      <c r="AB614" s="75"/>
      <c r="AC614" s="55"/>
      <c r="AD614" s="89"/>
      <c r="AE614" s="89"/>
      <c r="AF614" s="89"/>
      <c r="AG614" s="57"/>
      <c r="AH614" s="58"/>
      <c r="AI614" s="39"/>
      <c r="AK614" s="41"/>
    </row>
    <row r="615" spans="1:37" ht="21">
      <c r="A615" s="32" t="s">
        <v>1752</v>
      </c>
      <c r="B615" s="92" t="s">
        <v>15</v>
      </c>
      <c r="C615" s="93" t="s">
        <v>398</v>
      </c>
      <c r="D615" s="88" t="s">
        <v>81</v>
      </c>
      <c r="E615" s="73"/>
      <c r="F615" s="73"/>
      <c r="G615" s="73"/>
      <c r="H615" s="73"/>
      <c r="I615" s="73"/>
      <c r="J615" s="73"/>
      <c r="K615" s="73"/>
      <c r="L615" s="73"/>
      <c r="M615" s="73"/>
      <c r="N615" s="73"/>
      <c r="O615" s="73"/>
      <c r="P615" s="73"/>
      <c r="Q615" s="73"/>
      <c r="R615" s="73"/>
      <c r="S615" s="73"/>
      <c r="T615" s="73"/>
      <c r="U615" s="73"/>
      <c r="V615" s="73"/>
      <c r="W615" s="73"/>
      <c r="X615" s="73"/>
      <c r="Y615" s="73"/>
      <c r="Z615" s="73"/>
      <c r="AA615" s="75"/>
      <c r="AB615" s="75"/>
      <c r="AC615" s="55"/>
      <c r="AD615" s="89"/>
      <c r="AE615" s="89"/>
      <c r="AF615" s="89"/>
      <c r="AG615" s="57"/>
      <c r="AH615" s="58"/>
      <c r="AI615" s="39"/>
      <c r="AK615" s="41"/>
    </row>
    <row r="616" spans="1:37" ht="21">
      <c r="A616" s="32" t="s">
        <v>1753</v>
      </c>
      <c r="B616" s="92" t="s">
        <v>40</v>
      </c>
      <c r="C616" s="93" t="s">
        <v>756</v>
      </c>
      <c r="D616" s="88" t="s">
        <v>81</v>
      </c>
      <c r="E616" s="73"/>
      <c r="F616" s="73"/>
      <c r="G616" s="73"/>
      <c r="H616" s="73"/>
      <c r="I616" s="73"/>
      <c r="J616" s="73"/>
      <c r="K616" s="73"/>
      <c r="L616" s="73"/>
      <c r="M616" s="73"/>
      <c r="N616" s="73"/>
      <c r="O616" s="73"/>
      <c r="P616" s="73"/>
      <c r="Q616" s="73"/>
      <c r="R616" s="73"/>
      <c r="S616" s="73"/>
      <c r="T616" s="73"/>
      <c r="U616" s="73"/>
      <c r="V616" s="73"/>
      <c r="W616" s="73"/>
      <c r="X616" s="73"/>
      <c r="Y616" s="73"/>
      <c r="Z616" s="73"/>
      <c r="AA616" s="75"/>
      <c r="AB616" s="75"/>
      <c r="AC616" s="55"/>
      <c r="AD616" s="89"/>
      <c r="AE616" s="89"/>
      <c r="AF616" s="89"/>
      <c r="AG616" s="57"/>
      <c r="AH616" s="58"/>
      <c r="AI616" s="39"/>
      <c r="AK616" s="41"/>
    </row>
    <row r="617" spans="1:37" ht="27.75">
      <c r="A617" s="32" t="s">
        <v>1755</v>
      </c>
      <c r="B617" s="86">
        <v>9.06</v>
      </c>
      <c r="C617" s="87" t="s">
        <v>1754</v>
      </c>
      <c r="D617" s="88"/>
      <c r="E617" s="73"/>
      <c r="F617" s="73"/>
      <c r="G617" s="73"/>
      <c r="H617" s="73"/>
      <c r="I617" s="73"/>
      <c r="J617" s="73"/>
      <c r="K617" s="73"/>
      <c r="L617" s="73"/>
      <c r="M617" s="73"/>
      <c r="N617" s="73"/>
      <c r="O617" s="73"/>
      <c r="P617" s="73"/>
      <c r="Q617" s="73"/>
      <c r="R617" s="73"/>
      <c r="S617" s="73"/>
      <c r="T617" s="73"/>
      <c r="U617" s="73"/>
      <c r="V617" s="73"/>
      <c r="W617" s="73"/>
      <c r="X617" s="73"/>
      <c r="Y617" s="73"/>
      <c r="Z617" s="73"/>
      <c r="AA617" s="75"/>
      <c r="AB617" s="75"/>
      <c r="AC617" s="55"/>
      <c r="AD617" s="89"/>
      <c r="AE617" s="89"/>
      <c r="AF617" s="89"/>
      <c r="AG617" s="91"/>
      <c r="AH617" s="48"/>
      <c r="AI617" s="39"/>
      <c r="AK617" s="41"/>
    </row>
    <row r="618" spans="1:37" ht="21">
      <c r="A618" s="32" t="s">
        <v>1758</v>
      </c>
      <c r="B618" s="131" t="s">
        <v>14</v>
      </c>
      <c r="C618" s="95" t="s">
        <v>400</v>
      </c>
      <c r="D618" s="88"/>
      <c r="E618" s="73"/>
      <c r="F618" s="73"/>
      <c r="G618" s="73"/>
      <c r="H618" s="73"/>
      <c r="I618" s="73"/>
      <c r="J618" s="73"/>
      <c r="K618" s="73"/>
      <c r="L618" s="73"/>
      <c r="M618" s="73"/>
      <c r="N618" s="73"/>
      <c r="O618" s="73"/>
      <c r="P618" s="73"/>
      <c r="Q618" s="73"/>
      <c r="R618" s="73"/>
      <c r="S618" s="73"/>
      <c r="T618" s="73"/>
      <c r="U618" s="73"/>
      <c r="V618" s="73"/>
      <c r="W618" s="73"/>
      <c r="X618" s="73"/>
      <c r="Y618" s="73"/>
      <c r="Z618" s="73"/>
      <c r="AA618" s="75"/>
      <c r="AB618" s="75"/>
      <c r="AC618" s="55"/>
      <c r="AD618" s="89"/>
      <c r="AE618" s="89"/>
      <c r="AF618" s="89"/>
      <c r="AG618" s="91"/>
      <c r="AH618" s="48"/>
      <c r="AI618" s="39"/>
      <c r="AK618" s="41"/>
    </row>
    <row r="619" spans="1:37" ht="21">
      <c r="A619" s="32" t="s">
        <v>1759</v>
      </c>
      <c r="B619" s="92" t="s">
        <v>401</v>
      </c>
      <c r="C619" s="93" t="s">
        <v>402</v>
      </c>
      <c r="D619" s="88" t="s">
        <v>38</v>
      </c>
      <c r="E619" s="73"/>
      <c r="F619" s="73"/>
      <c r="G619" s="73"/>
      <c r="H619" s="73"/>
      <c r="I619" s="73"/>
      <c r="J619" s="73"/>
      <c r="K619" s="73"/>
      <c r="L619" s="73"/>
      <c r="M619" s="73"/>
      <c r="N619" s="73"/>
      <c r="O619" s="73"/>
      <c r="P619" s="73"/>
      <c r="Q619" s="73"/>
      <c r="R619" s="73"/>
      <c r="S619" s="73"/>
      <c r="T619" s="73"/>
      <c r="U619" s="73"/>
      <c r="V619" s="73"/>
      <c r="W619" s="73"/>
      <c r="X619" s="73"/>
      <c r="Y619" s="73"/>
      <c r="Z619" s="73"/>
      <c r="AA619" s="75"/>
      <c r="AB619" s="75"/>
      <c r="AC619" s="55"/>
      <c r="AD619" s="89"/>
      <c r="AE619" s="89"/>
      <c r="AF619" s="89"/>
      <c r="AG619" s="57"/>
      <c r="AH619" s="58"/>
      <c r="AI619" s="39"/>
      <c r="AK619" s="41"/>
    </row>
    <row r="620" spans="1:37" ht="21">
      <c r="A620" s="32" t="s">
        <v>1760</v>
      </c>
      <c r="B620" s="92" t="s">
        <v>403</v>
      </c>
      <c r="C620" s="93" t="s">
        <v>404</v>
      </c>
      <c r="D620" s="88" t="s">
        <v>38</v>
      </c>
      <c r="E620" s="73"/>
      <c r="F620" s="73"/>
      <c r="G620" s="73"/>
      <c r="H620" s="73"/>
      <c r="I620" s="73"/>
      <c r="J620" s="73"/>
      <c r="K620" s="73"/>
      <c r="L620" s="73"/>
      <c r="M620" s="73"/>
      <c r="N620" s="73"/>
      <c r="O620" s="73"/>
      <c r="P620" s="73"/>
      <c r="Q620" s="73"/>
      <c r="R620" s="73"/>
      <c r="S620" s="73"/>
      <c r="T620" s="73"/>
      <c r="U620" s="73"/>
      <c r="V620" s="73"/>
      <c r="W620" s="73"/>
      <c r="X620" s="73"/>
      <c r="Y620" s="73"/>
      <c r="Z620" s="73"/>
      <c r="AA620" s="75"/>
      <c r="AB620" s="75"/>
      <c r="AC620" s="55"/>
      <c r="AD620" s="89"/>
      <c r="AE620" s="89"/>
      <c r="AF620" s="89"/>
      <c r="AG620" s="57"/>
      <c r="AH620" s="58"/>
      <c r="AI620" s="39"/>
      <c r="AK620" s="41"/>
    </row>
    <row r="621" spans="1:37" ht="21">
      <c r="A621" s="32" t="s">
        <v>1761</v>
      </c>
      <c r="B621" s="131" t="s">
        <v>15</v>
      </c>
      <c r="C621" s="95" t="s">
        <v>405</v>
      </c>
      <c r="D621" s="88"/>
      <c r="E621" s="73"/>
      <c r="F621" s="73"/>
      <c r="G621" s="73"/>
      <c r="H621" s="73"/>
      <c r="I621" s="73"/>
      <c r="J621" s="73"/>
      <c r="K621" s="73"/>
      <c r="L621" s="73"/>
      <c r="M621" s="73"/>
      <c r="N621" s="73"/>
      <c r="O621" s="73"/>
      <c r="P621" s="73"/>
      <c r="Q621" s="73"/>
      <c r="R621" s="73"/>
      <c r="S621" s="73"/>
      <c r="T621" s="73"/>
      <c r="U621" s="73"/>
      <c r="V621" s="73"/>
      <c r="W621" s="73"/>
      <c r="X621" s="73"/>
      <c r="Y621" s="73"/>
      <c r="Z621" s="73"/>
      <c r="AA621" s="75"/>
      <c r="AB621" s="75"/>
      <c r="AC621" s="55"/>
      <c r="AD621" s="89"/>
      <c r="AE621" s="89"/>
      <c r="AF621" s="89"/>
      <c r="AG621" s="91"/>
      <c r="AH621" s="48"/>
      <c r="AI621" s="39"/>
      <c r="AK621" s="41"/>
    </row>
    <row r="622" spans="1:37" ht="21">
      <c r="A622" s="32" t="s">
        <v>1762</v>
      </c>
      <c r="B622" s="92" t="s">
        <v>401</v>
      </c>
      <c r="C622" s="93" t="s">
        <v>402</v>
      </c>
      <c r="D622" s="88" t="s">
        <v>38</v>
      </c>
      <c r="E622" s="73"/>
      <c r="F622" s="73"/>
      <c r="G622" s="73"/>
      <c r="H622" s="73"/>
      <c r="I622" s="73"/>
      <c r="J622" s="73"/>
      <c r="K622" s="73"/>
      <c r="L622" s="73"/>
      <c r="M622" s="73"/>
      <c r="N622" s="73"/>
      <c r="O622" s="73"/>
      <c r="P622" s="73"/>
      <c r="Q622" s="73"/>
      <c r="R622" s="73"/>
      <c r="S622" s="73"/>
      <c r="T622" s="73"/>
      <c r="U622" s="73"/>
      <c r="V622" s="73"/>
      <c r="W622" s="73"/>
      <c r="X622" s="73"/>
      <c r="Y622" s="73"/>
      <c r="Z622" s="73"/>
      <c r="AA622" s="75"/>
      <c r="AB622" s="75"/>
      <c r="AC622" s="55"/>
      <c r="AD622" s="89"/>
      <c r="AE622" s="89"/>
      <c r="AF622" s="89"/>
      <c r="AG622" s="57"/>
      <c r="AH622" s="58"/>
      <c r="AI622" s="39"/>
      <c r="AK622" s="41"/>
    </row>
    <row r="623" spans="1:37" ht="21">
      <c r="A623" s="32" t="s">
        <v>1763</v>
      </c>
      <c r="B623" s="92" t="s">
        <v>403</v>
      </c>
      <c r="C623" s="93" t="s">
        <v>404</v>
      </c>
      <c r="D623" s="88" t="s">
        <v>38</v>
      </c>
      <c r="E623" s="73"/>
      <c r="F623" s="73"/>
      <c r="G623" s="73"/>
      <c r="H623" s="73"/>
      <c r="I623" s="73"/>
      <c r="J623" s="73"/>
      <c r="K623" s="73"/>
      <c r="L623" s="73"/>
      <c r="M623" s="73"/>
      <c r="N623" s="73"/>
      <c r="O623" s="73"/>
      <c r="P623" s="73"/>
      <c r="Q623" s="73"/>
      <c r="R623" s="73"/>
      <c r="S623" s="73"/>
      <c r="T623" s="73"/>
      <c r="U623" s="73"/>
      <c r="V623" s="73"/>
      <c r="W623" s="73"/>
      <c r="X623" s="73"/>
      <c r="Y623" s="73"/>
      <c r="Z623" s="73"/>
      <c r="AA623" s="75"/>
      <c r="AB623" s="75"/>
      <c r="AC623" s="55"/>
      <c r="AD623" s="89"/>
      <c r="AE623" s="89"/>
      <c r="AF623" s="89"/>
      <c r="AG623" s="57"/>
      <c r="AH623" s="58"/>
      <c r="AI623" s="39"/>
      <c r="AK623" s="41"/>
    </row>
    <row r="624" spans="1:37" ht="21">
      <c r="A624" s="32" t="s">
        <v>1764</v>
      </c>
      <c r="B624" s="94" t="s">
        <v>40</v>
      </c>
      <c r="C624" s="95" t="s">
        <v>406</v>
      </c>
      <c r="D624" s="88"/>
      <c r="E624" s="73"/>
      <c r="F624" s="73"/>
      <c r="G624" s="73"/>
      <c r="H624" s="73"/>
      <c r="I624" s="73"/>
      <c r="J624" s="73"/>
      <c r="K624" s="73"/>
      <c r="L624" s="73"/>
      <c r="M624" s="73"/>
      <c r="N624" s="73"/>
      <c r="O624" s="73"/>
      <c r="P624" s="73"/>
      <c r="Q624" s="73"/>
      <c r="R624" s="73"/>
      <c r="S624" s="73"/>
      <c r="T624" s="73"/>
      <c r="U624" s="73"/>
      <c r="V624" s="73"/>
      <c r="W624" s="73"/>
      <c r="X624" s="73"/>
      <c r="Y624" s="73"/>
      <c r="Z624" s="73"/>
      <c r="AA624" s="75"/>
      <c r="AB624" s="75"/>
      <c r="AC624" s="55"/>
      <c r="AD624" s="89"/>
      <c r="AE624" s="89"/>
      <c r="AF624" s="89"/>
      <c r="AG624" s="91"/>
      <c r="AH624" s="48"/>
      <c r="AI624" s="39"/>
      <c r="AK624" s="41"/>
    </row>
    <row r="625" spans="1:38" ht="21">
      <c r="A625" s="32" t="s">
        <v>1765</v>
      </c>
      <c r="B625" s="92" t="s">
        <v>401</v>
      </c>
      <c r="C625" s="93" t="s">
        <v>402</v>
      </c>
      <c r="D625" s="88" t="s">
        <v>38</v>
      </c>
      <c r="E625" s="73"/>
      <c r="F625" s="73"/>
      <c r="G625" s="73"/>
      <c r="H625" s="73"/>
      <c r="I625" s="73"/>
      <c r="J625" s="73"/>
      <c r="K625" s="73"/>
      <c r="L625" s="73"/>
      <c r="M625" s="73"/>
      <c r="N625" s="73"/>
      <c r="O625" s="73"/>
      <c r="P625" s="73"/>
      <c r="Q625" s="73"/>
      <c r="R625" s="73"/>
      <c r="S625" s="73"/>
      <c r="T625" s="73"/>
      <c r="U625" s="73"/>
      <c r="V625" s="73"/>
      <c r="W625" s="73"/>
      <c r="X625" s="73"/>
      <c r="Y625" s="73"/>
      <c r="Z625" s="73"/>
      <c r="AA625" s="75"/>
      <c r="AB625" s="75"/>
      <c r="AC625" s="55"/>
      <c r="AD625" s="89"/>
      <c r="AE625" s="89"/>
      <c r="AF625" s="89"/>
      <c r="AG625" s="57"/>
      <c r="AH625" s="58"/>
      <c r="AI625" s="39"/>
      <c r="AK625" s="41"/>
    </row>
    <row r="626" spans="1:38" ht="21">
      <c r="A626" s="32" t="s">
        <v>1766</v>
      </c>
      <c r="B626" s="92" t="s">
        <v>403</v>
      </c>
      <c r="C626" s="93" t="s">
        <v>404</v>
      </c>
      <c r="D626" s="88" t="s">
        <v>38</v>
      </c>
      <c r="E626" s="73"/>
      <c r="F626" s="73"/>
      <c r="G626" s="73"/>
      <c r="H626" s="73"/>
      <c r="I626" s="73"/>
      <c r="J626" s="73"/>
      <c r="K626" s="73"/>
      <c r="L626" s="73"/>
      <c r="M626" s="73"/>
      <c r="N626" s="73"/>
      <c r="O626" s="73"/>
      <c r="P626" s="73"/>
      <c r="Q626" s="73"/>
      <c r="R626" s="73"/>
      <c r="S626" s="73"/>
      <c r="T626" s="73"/>
      <c r="U626" s="73"/>
      <c r="V626" s="73"/>
      <c r="W626" s="73"/>
      <c r="X626" s="73"/>
      <c r="Y626" s="73"/>
      <c r="Z626" s="73"/>
      <c r="AA626" s="75"/>
      <c r="AB626" s="75"/>
      <c r="AC626" s="55"/>
      <c r="AD626" s="89"/>
      <c r="AE626" s="89"/>
      <c r="AF626" s="89"/>
      <c r="AG626" s="57"/>
      <c r="AH626" s="58"/>
      <c r="AI626" s="39"/>
      <c r="AK626" s="41"/>
    </row>
    <row r="627" spans="1:38" ht="21">
      <c r="A627" s="32" t="s">
        <v>1767</v>
      </c>
      <c r="B627" s="94" t="s">
        <v>48</v>
      </c>
      <c r="C627" s="95" t="s">
        <v>407</v>
      </c>
      <c r="D627" s="88"/>
      <c r="E627" s="73"/>
      <c r="F627" s="73"/>
      <c r="G627" s="73"/>
      <c r="H627" s="73"/>
      <c r="I627" s="73"/>
      <c r="J627" s="73"/>
      <c r="K627" s="73"/>
      <c r="L627" s="73"/>
      <c r="M627" s="73"/>
      <c r="N627" s="73"/>
      <c r="O627" s="73"/>
      <c r="P627" s="73"/>
      <c r="Q627" s="73"/>
      <c r="R627" s="73"/>
      <c r="S627" s="73"/>
      <c r="T627" s="73"/>
      <c r="U627" s="73"/>
      <c r="V627" s="73"/>
      <c r="W627" s="73"/>
      <c r="X627" s="73"/>
      <c r="Y627" s="73"/>
      <c r="Z627" s="73"/>
      <c r="AA627" s="75"/>
      <c r="AB627" s="75"/>
      <c r="AC627" s="55"/>
      <c r="AD627" s="89"/>
      <c r="AE627" s="89"/>
      <c r="AF627" s="89"/>
      <c r="AG627" s="91"/>
      <c r="AH627" s="48"/>
      <c r="AK627" s="41"/>
    </row>
    <row r="628" spans="1:38" ht="21">
      <c r="A628" s="32" t="s">
        <v>1768</v>
      </c>
      <c r="B628" s="92" t="s">
        <v>401</v>
      </c>
      <c r="C628" s="93" t="s">
        <v>402</v>
      </c>
      <c r="D628" s="88" t="s">
        <v>38</v>
      </c>
      <c r="E628" s="73"/>
      <c r="F628" s="73"/>
      <c r="G628" s="73"/>
      <c r="H628" s="73"/>
      <c r="I628" s="73"/>
      <c r="J628" s="73"/>
      <c r="K628" s="73"/>
      <c r="L628" s="73"/>
      <c r="M628" s="73"/>
      <c r="N628" s="73"/>
      <c r="O628" s="73"/>
      <c r="P628" s="73"/>
      <c r="Q628" s="73"/>
      <c r="R628" s="73"/>
      <c r="S628" s="73"/>
      <c r="T628" s="73"/>
      <c r="U628" s="73"/>
      <c r="V628" s="73"/>
      <c r="W628" s="73"/>
      <c r="X628" s="73"/>
      <c r="Y628" s="73"/>
      <c r="Z628" s="73"/>
      <c r="AA628" s="75"/>
      <c r="AB628" s="75"/>
      <c r="AC628" s="55"/>
      <c r="AD628" s="89"/>
      <c r="AE628" s="89"/>
      <c r="AF628" s="89"/>
      <c r="AG628" s="57"/>
      <c r="AH628" s="58"/>
      <c r="AI628" s="39"/>
      <c r="AK628" s="41"/>
    </row>
    <row r="629" spans="1:38" ht="21">
      <c r="A629" s="32" t="s">
        <v>1769</v>
      </c>
      <c r="B629" s="92" t="s">
        <v>403</v>
      </c>
      <c r="C629" s="93" t="s">
        <v>404</v>
      </c>
      <c r="D629" s="88" t="s">
        <v>38</v>
      </c>
      <c r="E629" s="73"/>
      <c r="F629" s="73"/>
      <c r="G629" s="73"/>
      <c r="H629" s="73"/>
      <c r="I629" s="73"/>
      <c r="J629" s="73"/>
      <c r="K629" s="73"/>
      <c r="L629" s="73"/>
      <c r="M629" s="73"/>
      <c r="N629" s="73"/>
      <c r="O629" s="73"/>
      <c r="P629" s="73"/>
      <c r="Q629" s="73"/>
      <c r="R629" s="73"/>
      <c r="S629" s="73"/>
      <c r="T629" s="73"/>
      <c r="U629" s="73"/>
      <c r="V629" s="73"/>
      <c r="W629" s="73"/>
      <c r="X629" s="73"/>
      <c r="Y629" s="73"/>
      <c r="Z629" s="73"/>
      <c r="AA629" s="75"/>
      <c r="AB629" s="75"/>
      <c r="AC629" s="55"/>
      <c r="AD629" s="89"/>
      <c r="AE629" s="89"/>
      <c r="AF629" s="89"/>
      <c r="AG629" s="57"/>
      <c r="AH629" s="58"/>
      <c r="AI629" s="39"/>
      <c r="AK629" s="41"/>
    </row>
    <row r="630" spans="1:38" ht="21">
      <c r="A630" s="32" t="s">
        <v>1770</v>
      </c>
      <c r="B630" s="94" t="s">
        <v>55</v>
      </c>
      <c r="C630" s="95" t="s">
        <v>408</v>
      </c>
      <c r="D630" s="88"/>
      <c r="E630" s="73"/>
      <c r="F630" s="73"/>
      <c r="G630" s="73"/>
      <c r="H630" s="73"/>
      <c r="I630" s="73"/>
      <c r="J630" s="73"/>
      <c r="K630" s="73"/>
      <c r="L630" s="73"/>
      <c r="M630" s="73"/>
      <c r="N630" s="73"/>
      <c r="O630" s="73"/>
      <c r="P630" s="73"/>
      <c r="Q630" s="73"/>
      <c r="R630" s="73"/>
      <c r="S630" s="73"/>
      <c r="T630" s="73"/>
      <c r="U630" s="73"/>
      <c r="V630" s="73"/>
      <c r="W630" s="73"/>
      <c r="X630" s="73"/>
      <c r="Y630" s="73"/>
      <c r="Z630" s="73"/>
      <c r="AA630" s="75"/>
      <c r="AB630" s="75"/>
      <c r="AC630" s="55"/>
      <c r="AD630" s="89"/>
      <c r="AE630" s="89"/>
      <c r="AF630" s="89"/>
      <c r="AG630" s="91"/>
      <c r="AH630" s="48"/>
      <c r="AK630" s="41"/>
    </row>
    <row r="631" spans="1:38" ht="21">
      <c r="A631" s="32" t="s">
        <v>1771</v>
      </c>
      <c r="B631" s="92" t="s">
        <v>401</v>
      </c>
      <c r="C631" s="93" t="s">
        <v>402</v>
      </c>
      <c r="D631" s="88" t="s">
        <v>38</v>
      </c>
      <c r="E631" s="73"/>
      <c r="F631" s="73"/>
      <c r="G631" s="73"/>
      <c r="H631" s="73"/>
      <c r="I631" s="73"/>
      <c r="J631" s="73"/>
      <c r="K631" s="73"/>
      <c r="L631" s="73"/>
      <c r="M631" s="73"/>
      <c r="N631" s="73"/>
      <c r="O631" s="73"/>
      <c r="P631" s="73"/>
      <c r="Q631" s="73"/>
      <c r="R631" s="73"/>
      <c r="S631" s="73"/>
      <c r="T631" s="73"/>
      <c r="U631" s="73"/>
      <c r="V631" s="73"/>
      <c r="W631" s="73"/>
      <c r="X631" s="73"/>
      <c r="Y631" s="73"/>
      <c r="Z631" s="73"/>
      <c r="AA631" s="75"/>
      <c r="AB631" s="75"/>
      <c r="AC631" s="55"/>
      <c r="AD631" s="89"/>
      <c r="AE631" s="89"/>
      <c r="AF631" s="89"/>
      <c r="AG631" s="57"/>
      <c r="AH631" s="58"/>
      <c r="AI631" s="39"/>
      <c r="AK631" s="41"/>
    </row>
    <row r="632" spans="1:38" ht="21">
      <c r="A632" s="32" t="s">
        <v>1772</v>
      </c>
      <c r="B632" s="92" t="s">
        <v>403</v>
      </c>
      <c r="C632" s="93" t="s">
        <v>404</v>
      </c>
      <c r="D632" s="88" t="s">
        <v>38</v>
      </c>
      <c r="E632" s="73"/>
      <c r="F632" s="73"/>
      <c r="G632" s="73"/>
      <c r="H632" s="73"/>
      <c r="I632" s="73"/>
      <c r="J632" s="73"/>
      <c r="K632" s="73"/>
      <c r="L632" s="73"/>
      <c r="M632" s="73"/>
      <c r="N632" s="73"/>
      <c r="O632" s="73"/>
      <c r="P632" s="73"/>
      <c r="Q632" s="73"/>
      <c r="R632" s="73"/>
      <c r="S632" s="73"/>
      <c r="T632" s="73"/>
      <c r="U632" s="73"/>
      <c r="V632" s="73"/>
      <c r="W632" s="73"/>
      <c r="X632" s="73"/>
      <c r="Y632" s="73"/>
      <c r="Z632" s="73"/>
      <c r="AA632" s="75"/>
      <c r="AB632" s="75"/>
      <c r="AC632" s="55"/>
      <c r="AD632" s="89"/>
      <c r="AE632" s="89"/>
      <c r="AF632" s="89"/>
      <c r="AG632" s="57"/>
      <c r="AH632" s="58"/>
      <c r="AI632" s="39"/>
      <c r="AK632" s="41"/>
    </row>
    <row r="633" spans="1:38" ht="27.75">
      <c r="A633" s="32" t="s">
        <v>1756</v>
      </c>
      <c r="B633" s="86">
        <v>9.07</v>
      </c>
      <c r="C633" s="87" t="s">
        <v>1757</v>
      </c>
      <c r="D633" s="88" t="s">
        <v>13</v>
      </c>
      <c r="E633" s="73"/>
      <c r="F633" s="73"/>
      <c r="G633" s="73"/>
      <c r="H633" s="73"/>
      <c r="I633" s="73"/>
      <c r="J633" s="73"/>
      <c r="K633" s="73"/>
      <c r="L633" s="73"/>
      <c r="M633" s="73"/>
      <c r="N633" s="73"/>
      <c r="O633" s="73"/>
      <c r="P633" s="73"/>
      <c r="Q633" s="73"/>
      <c r="R633" s="73"/>
      <c r="S633" s="73"/>
      <c r="T633" s="73"/>
      <c r="U633" s="73"/>
      <c r="V633" s="73"/>
      <c r="W633" s="73"/>
      <c r="X633" s="73"/>
      <c r="Y633" s="73"/>
      <c r="Z633" s="73"/>
      <c r="AA633" s="75"/>
      <c r="AB633" s="75"/>
      <c r="AC633" s="55"/>
      <c r="AD633" s="89"/>
      <c r="AE633" s="89"/>
      <c r="AF633" s="89"/>
      <c r="AG633" s="57"/>
      <c r="AH633" s="58"/>
      <c r="AI633" s="39"/>
      <c r="AK633" s="41"/>
    </row>
    <row r="634" spans="1:38" ht="21">
      <c r="A634" s="32" t="s">
        <v>1487</v>
      </c>
      <c r="B634" s="80"/>
      <c r="C634" s="33" t="s">
        <v>1488</v>
      </c>
      <c r="D634" s="80"/>
      <c r="E634" s="81"/>
      <c r="F634" s="81"/>
      <c r="G634" s="81"/>
      <c r="H634" s="81"/>
      <c r="I634" s="81"/>
      <c r="J634" s="81"/>
      <c r="K634" s="81"/>
      <c r="L634" s="81"/>
      <c r="M634" s="81"/>
      <c r="N634" s="81"/>
      <c r="O634" s="81"/>
      <c r="P634" s="81"/>
      <c r="Q634" s="81"/>
      <c r="R634" s="81"/>
      <c r="S634" s="81"/>
      <c r="T634" s="81"/>
      <c r="U634" s="81"/>
      <c r="V634" s="81"/>
      <c r="W634" s="81"/>
      <c r="X634" s="81"/>
      <c r="Y634" s="81"/>
      <c r="Z634" s="81"/>
      <c r="AA634" s="83"/>
      <c r="AB634" s="83"/>
      <c r="AC634" s="55"/>
      <c r="AD634" s="89"/>
      <c r="AE634" s="89"/>
      <c r="AF634" s="89"/>
      <c r="AG634" s="91"/>
      <c r="AH634" s="48"/>
      <c r="AI634" s="39"/>
      <c r="AK634" s="41"/>
      <c r="AL634" s="132"/>
    </row>
    <row r="635" spans="1:38" ht="53.25">
      <c r="A635" s="32" t="s">
        <v>1917</v>
      </c>
      <c r="B635" s="86" t="s">
        <v>1917</v>
      </c>
      <c r="C635" s="87" t="s">
        <v>2553</v>
      </c>
      <c r="D635" s="88" t="s">
        <v>38</v>
      </c>
      <c r="E635" s="73"/>
      <c r="F635" s="73"/>
      <c r="G635" s="73"/>
      <c r="H635" s="73"/>
      <c r="I635" s="73"/>
      <c r="J635" s="73"/>
      <c r="K635" s="73"/>
      <c r="L635" s="73"/>
      <c r="M635" s="73"/>
      <c r="N635" s="73"/>
      <c r="O635" s="73"/>
      <c r="P635" s="73"/>
      <c r="Q635" s="73"/>
      <c r="R635" s="73"/>
      <c r="S635" s="73"/>
      <c r="T635" s="73"/>
      <c r="U635" s="73"/>
      <c r="V635" s="73"/>
      <c r="W635" s="73"/>
      <c r="X635" s="73"/>
      <c r="Y635" s="73"/>
      <c r="Z635" s="73"/>
      <c r="AA635" s="75"/>
      <c r="AB635" s="75"/>
      <c r="AC635" s="55"/>
      <c r="AD635" s="89"/>
      <c r="AE635" s="89"/>
      <c r="AF635" s="89"/>
      <c r="AG635" s="57"/>
      <c r="AH635" s="58"/>
      <c r="AI635" s="39"/>
      <c r="AK635" s="41"/>
    </row>
    <row r="636" spans="1:38" ht="40.5">
      <c r="A636" s="32" t="s">
        <v>2333</v>
      </c>
      <c r="B636" s="86">
        <v>10.02</v>
      </c>
      <c r="C636" s="87" t="s">
        <v>2554</v>
      </c>
      <c r="D636" s="88" t="s">
        <v>77</v>
      </c>
      <c r="E636" s="73"/>
      <c r="F636" s="73"/>
      <c r="G636" s="73"/>
      <c r="H636" s="73"/>
      <c r="I636" s="73"/>
      <c r="J636" s="73"/>
      <c r="K636" s="73"/>
      <c r="L636" s="73"/>
      <c r="M636" s="73"/>
      <c r="N636" s="73"/>
      <c r="O636" s="73"/>
      <c r="P636" s="73"/>
      <c r="Q636" s="73"/>
      <c r="R636" s="73"/>
      <c r="S636" s="73"/>
      <c r="T636" s="73"/>
      <c r="U636" s="73"/>
      <c r="V636" s="73"/>
      <c r="W636" s="73"/>
      <c r="X636" s="73"/>
      <c r="Y636" s="73"/>
      <c r="Z636" s="73"/>
      <c r="AA636" s="75"/>
      <c r="AB636" s="75"/>
      <c r="AC636" s="55"/>
      <c r="AD636" s="89"/>
      <c r="AE636" s="89"/>
      <c r="AF636" s="89"/>
      <c r="AG636" s="57"/>
      <c r="AH636" s="58"/>
      <c r="AI636" s="39"/>
      <c r="AK636" s="41"/>
    </row>
    <row r="637" spans="1:38" ht="27.75">
      <c r="A637" s="32" t="s">
        <v>2334</v>
      </c>
      <c r="B637" s="86">
        <v>10.029999999999999</v>
      </c>
      <c r="C637" s="87" t="s">
        <v>2555</v>
      </c>
      <c r="D637" s="88" t="s">
        <v>77</v>
      </c>
      <c r="E637" s="73"/>
      <c r="F637" s="73"/>
      <c r="G637" s="73"/>
      <c r="H637" s="73"/>
      <c r="I637" s="73"/>
      <c r="J637" s="73"/>
      <c r="K637" s="73"/>
      <c r="L637" s="73"/>
      <c r="M637" s="73"/>
      <c r="N637" s="73"/>
      <c r="O637" s="73"/>
      <c r="P637" s="73"/>
      <c r="Q637" s="73"/>
      <c r="R637" s="73"/>
      <c r="S637" s="73"/>
      <c r="T637" s="73"/>
      <c r="U637" s="73"/>
      <c r="V637" s="73"/>
      <c r="W637" s="73"/>
      <c r="X637" s="73"/>
      <c r="Y637" s="73"/>
      <c r="Z637" s="73"/>
      <c r="AA637" s="75"/>
      <c r="AB637" s="75"/>
      <c r="AC637" s="55"/>
      <c r="AD637" s="89"/>
      <c r="AE637" s="89"/>
      <c r="AF637" s="89"/>
      <c r="AG637" s="57"/>
      <c r="AH637" s="58"/>
      <c r="AI637" s="39"/>
      <c r="AK637" s="41"/>
    </row>
    <row r="638" spans="1:38" ht="66">
      <c r="A638" s="32" t="s">
        <v>2335</v>
      </c>
      <c r="B638" s="86">
        <v>10.039999999999999</v>
      </c>
      <c r="C638" s="87" t="s">
        <v>2556</v>
      </c>
      <c r="D638" s="88" t="s">
        <v>77</v>
      </c>
      <c r="E638" s="73"/>
      <c r="F638" s="73"/>
      <c r="G638" s="73"/>
      <c r="H638" s="73"/>
      <c r="I638" s="73"/>
      <c r="J638" s="73"/>
      <c r="K638" s="73"/>
      <c r="L638" s="73"/>
      <c r="M638" s="73"/>
      <c r="N638" s="73"/>
      <c r="O638" s="73"/>
      <c r="P638" s="73"/>
      <c r="Q638" s="73"/>
      <c r="R638" s="73"/>
      <c r="S638" s="73"/>
      <c r="T638" s="73"/>
      <c r="U638" s="73"/>
      <c r="V638" s="73"/>
      <c r="W638" s="73"/>
      <c r="X638" s="73"/>
      <c r="Y638" s="73"/>
      <c r="Z638" s="73"/>
      <c r="AA638" s="75"/>
      <c r="AB638" s="75"/>
      <c r="AC638" s="55"/>
      <c r="AD638" s="89"/>
      <c r="AE638" s="89"/>
      <c r="AF638" s="89"/>
      <c r="AG638" s="57"/>
      <c r="AH638" s="58"/>
      <c r="AI638" s="39"/>
      <c r="AK638" s="41"/>
    </row>
    <row r="639" spans="1:38" ht="66">
      <c r="A639" s="32" t="s">
        <v>2336</v>
      </c>
      <c r="B639" s="86">
        <v>10.050000000000001</v>
      </c>
      <c r="C639" s="87" t="s">
        <v>2557</v>
      </c>
      <c r="D639" s="88"/>
      <c r="E639" s="73"/>
      <c r="F639" s="73"/>
      <c r="G639" s="73"/>
      <c r="H639" s="73"/>
      <c r="I639" s="73"/>
      <c r="J639" s="73"/>
      <c r="K639" s="73"/>
      <c r="L639" s="73"/>
      <c r="M639" s="73"/>
      <c r="N639" s="73"/>
      <c r="O639" s="73"/>
      <c r="P639" s="73"/>
      <c r="Q639" s="73"/>
      <c r="R639" s="73"/>
      <c r="S639" s="73"/>
      <c r="T639" s="73"/>
      <c r="U639" s="73"/>
      <c r="V639" s="73"/>
      <c r="W639" s="73"/>
      <c r="X639" s="73"/>
      <c r="Y639" s="73"/>
      <c r="Z639" s="73"/>
      <c r="AA639" s="75"/>
      <c r="AB639" s="75"/>
      <c r="AC639" s="55"/>
      <c r="AD639" s="89"/>
      <c r="AE639" s="89"/>
      <c r="AF639" s="89"/>
      <c r="AG639" s="91"/>
      <c r="AH639" s="48"/>
      <c r="AI639" s="39"/>
      <c r="AK639" s="41"/>
    </row>
    <row r="640" spans="1:38" ht="21">
      <c r="A640" s="32" t="s">
        <v>2337</v>
      </c>
      <c r="B640" s="92" t="s">
        <v>104</v>
      </c>
      <c r="C640" s="93" t="s">
        <v>431</v>
      </c>
      <c r="D640" s="88" t="s">
        <v>77</v>
      </c>
      <c r="E640" s="73"/>
      <c r="F640" s="73"/>
      <c r="G640" s="73"/>
      <c r="H640" s="73"/>
      <c r="I640" s="73"/>
      <c r="J640" s="73"/>
      <c r="K640" s="73"/>
      <c r="L640" s="73"/>
      <c r="M640" s="73"/>
      <c r="N640" s="73"/>
      <c r="O640" s="73"/>
      <c r="P640" s="73"/>
      <c r="Q640" s="73"/>
      <c r="R640" s="73"/>
      <c r="S640" s="73"/>
      <c r="T640" s="73"/>
      <c r="U640" s="73"/>
      <c r="V640" s="73"/>
      <c r="W640" s="73"/>
      <c r="X640" s="73"/>
      <c r="Y640" s="73"/>
      <c r="Z640" s="73"/>
      <c r="AA640" s="75"/>
      <c r="AB640" s="75"/>
      <c r="AC640" s="55"/>
      <c r="AD640" s="89"/>
      <c r="AE640" s="89"/>
      <c r="AF640" s="89"/>
      <c r="AG640" s="57"/>
      <c r="AH640" s="58"/>
      <c r="AI640" s="39"/>
      <c r="AK640" s="41"/>
    </row>
    <row r="641" spans="1:37" ht="21">
      <c r="A641" s="32" t="s">
        <v>2338</v>
      </c>
      <c r="B641" s="92" t="s">
        <v>24</v>
      </c>
      <c r="C641" s="93" t="s">
        <v>432</v>
      </c>
      <c r="D641" s="88" t="s">
        <v>77</v>
      </c>
      <c r="E641" s="73"/>
      <c r="F641" s="73"/>
      <c r="G641" s="73"/>
      <c r="H641" s="73"/>
      <c r="I641" s="73"/>
      <c r="J641" s="73"/>
      <c r="K641" s="73"/>
      <c r="L641" s="73"/>
      <c r="M641" s="73"/>
      <c r="N641" s="73"/>
      <c r="O641" s="73"/>
      <c r="P641" s="73"/>
      <c r="Q641" s="73"/>
      <c r="R641" s="73"/>
      <c r="S641" s="73"/>
      <c r="T641" s="73"/>
      <c r="U641" s="73"/>
      <c r="V641" s="73"/>
      <c r="W641" s="73"/>
      <c r="X641" s="73"/>
      <c r="Y641" s="73"/>
      <c r="Z641" s="73"/>
      <c r="AA641" s="75"/>
      <c r="AB641" s="75"/>
      <c r="AC641" s="55"/>
      <c r="AD641" s="89"/>
      <c r="AE641" s="89"/>
      <c r="AF641" s="89"/>
      <c r="AG641" s="57"/>
      <c r="AH641" s="58"/>
      <c r="AI641" s="39"/>
      <c r="AK641" s="41"/>
    </row>
    <row r="642" spans="1:37" ht="27.75">
      <c r="A642" s="32" t="s">
        <v>2339</v>
      </c>
      <c r="B642" s="86">
        <v>10.06</v>
      </c>
      <c r="C642" s="87" t="s">
        <v>2558</v>
      </c>
      <c r="D642" s="88" t="s">
        <v>81</v>
      </c>
      <c r="E642" s="73"/>
      <c r="F642" s="73"/>
      <c r="G642" s="73"/>
      <c r="H642" s="73"/>
      <c r="I642" s="73"/>
      <c r="J642" s="73"/>
      <c r="K642" s="73"/>
      <c r="L642" s="73"/>
      <c r="M642" s="73"/>
      <c r="N642" s="73"/>
      <c r="O642" s="73"/>
      <c r="P642" s="73"/>
      <c r="Q642" s="73"/>
      <c r="R642" s="73"/>
      <c r="S642" s="73"/>
      <c r="T642" s="73"/>
      <c r="U642" s="73"/>
      <c r="V642" s="73"/>
      <c r="W642" s="73"/>
      <c r="X642" s="73"/>
      <c r="Y642" s="73"/>
      <c r="Z642" s="73"/>
      <c r="AA642" s="75"/>
      <c r="AB642" s="75"/>
      <c r="AC642" s="55"/>
      <c r="AD642" s="89"/>
      <c r="AE642" s="89"/>
      <c r="AF642" s="89"/>
      <c r="AG642" s="57"/>
      <c r="AH642" s="58"/>
      <c r="AI642" s="39"/>
      <c r="AK642" s="41"/>
    </row>
    <row r="643" spans="1:37" ht="21">
      <c r="A643" s="32" t="s">
        <v>2340</v>
      </c>
      <c r="B643" s="86">
        <v>10.07</v>
      </c>
      <c r="C643" s="87" t="s">
        <v>2559</v>
      </c>
      <c r="D643" s="88" t="s">
        <v>77</v>
      </c>
      <c r="E643" s="73"/>
      <c r="F643" s="73"/>
      <c r="G643" s="73"/>
      <c r="H643" s="73"/>
      <c r="I643" s="73"/>
      <c r="J643" s="73"/>
      <c r="K643" s="73"/>
      <c r="L643" s="73"/>
      <c r="M643" s="73"/>
      <c r="N643" s="73"/>
      <c r="O643" s="73"/>
      <c r="P643" s="73"/>
      <c r="Q643" s="73"/>
      <c r="R643" s="73"/>
      <c r="S643" s="73"/>
      <c r="T643" s="73"/>
      <c r="U643" s="73"/>
      <c r="V643" s="73"/>
      <c r="W643" s="73"/>
      <c r="X643" s="73"/>
      <c r="Y643" s="73"/>
      <c r="Z643" s="73"/>
      <c r="AA643" s="75"/>
      <c r="AB643" s="75"/>
      <c r="AC643" s="55"/>
      <c r="AD643" s="89"/>
      <c r="AE643" s="89"/>
      <c r="AF643" s="89"/>
      <c r="AG643" s="57"/>
      <c r="AH643" s="58"/>
      <c r="AI643" s="39"/>
      <c r="AK643" s="41"/>
    </row>
    <row r="644" spans="1:37" ht="21">
      <c r="A644" s="32" t="s">
        <v>2341</v>
      </c>
      <c r="B644" s="86" t="s">
        <v>1918</v>
      </c>
      <c r="C644" s="87" t="s">
        <v>2560</v>
      </c>
      <c r="D644" s="88" t="s">
        <v>77</v>
      </c>
      <c r="E644" s="73"/>
      <c r="F644" s="73"/>
      <c r="G644" s="73"/>
      <c r="H644" s="73"/>
      <c r="I644" s="73"/>
      <c r="J644" s="73"/>
      <c r="K644" s="73"/>
      <c r="L644" s="73"/>
      <c r="M644" s="73"/>
      <c r="N644" s="73"/>
      <c r="O644" s="73"/>
      <c r="P644" s="73"/>
      <c r="Q644" s="73"/>
      <c r="R644" s="73"/>
      <c r="S644" s="73"/>
      <c r="T644" s="73"/>
      <c r="U644" s="73"/>
      <c r="V644" s="73"/>
      <c r="W644" s="73"/>
      <c r="X644" s="73"/>
      <c r="Y644" s="73"/>
      <c r="Z644" s="73"/>
      <c r="AA644" s="75"/>
      <c r="AB644" s="75"/>
      <c r="AC644" s="55"/>
      <c r="AD644" s="89"/>
      <c r="AE644" s="89"/>
      <c r="AF644" s="89"/>
      <c r="AG644" s="57"/>
      <c r="AH644" s="58"/>
      <c r="AI644" s="39"/>
      <c r="AK644" s="41"/>
    </row>
    <row r="645" spans="1:37" ht="21">
      <c r="A645" s="32" t="s">
        <v>2342</v>
      </c>
      <c r="B645" s="95" t="s">
        <v>15</v>
      </c>
      <c r="C645" s="95" t="s">
        <v>2183</v>
      </c>
      <c r="D645" s="88"/>
      <c r="E645" s="73"/>
      <c r="F645" s="73"/>
      <c r="G645" s="73"/>
      <c r="H645" s="73"/>
      <c r="I645" s="73"/>
      <c r="J645" s="73"/>
      <c r="K645" s="73"/>
      <c r="L645" s="73"/>
      <c r="M645" s="73"/>
      <c r="N645" s="73"/>
      <c r="O645" s="73"/>
      <c r="P645" s="73"/>
      <c r="Q645" s="73"/>
      <c r="R645" s="73"/>
      <c r="S645" s="73"/>
      <c r="T645" s="73"/>
      <c r="U645" s="73"/>
      <c r="V645" s="73"/>
      <c r="W645" s="73"/>
      <c r="X645" s="73"/>
      <c r="Y645" s="73"/>
      <c r="Z645" s="73"/>
      <c r="AA645" s="75"/>
      <c r="AB645" s="75"/>
      <c r="AC645" s="55"/>
      <c r="AD645" s="89"/>
      <c r="AE645" s="89"/>
      <c r="AF645" s="89"/>
      <c r="AG645" s="91"/>
      <c r="AH645" s="48"/>
      <c r="AI645" s="39"/>
      <c r="AK645" s="41"/>
    </row>
    <row r="646" spans="1:37" ht="21">
      <c r="A646" s="32" t="s">
        <v>2343</v>
      </c>
      <c r="B646" s="92" t="s">
        <v>104</v>
      </c>
      <c r="C646" s="93" t="s">
        <v>433</v>
      </c>
      <c r="D646" s="88" t="s">
        <v>77</v>
      </c>
      <c r="E646" s="73"/>
      <c r="F646" s="73"/>
      <c r="G646" s="73"/>
      <c r="H646" s="73"/>
      <c r="I646" s="73"/>
      <c r="J646" s="73"/>
      <c r="K646" s="73"/>
      <c r="L646" s="73"/>
      <c r="M646" s="73"/>
      <c r="N646" s="73"/>
      <c r="O646" s="73"/>
      <c r="P646" s="73"/>
      <c r="Q646" s="73"/>
      <c r="R646" s="73"/>
      <c r="S646" s="73"/>
      <c r="T646" s="73"/>
      <c r="U646" s="73"/>
      <c r="V646" s="73"/>
      <c r="W646" s="73"/>
      <c r="X646" s="73"/>
      <c r="Y646" s="73"/>
      <c r="Z646" s="73"/>
      <c r="AA646" s="75"/>
      <c r="AB646" s="75"/>
      <c r="AC646" s="55"/>
      <c r="AD646" s="89"/>
      <c r="AE646" s="89"/>
      <c r="AF646" s="89"/>
      <c r="AG646" s="57"/>
      <c r="AH646" s="58"/>
      <c r="AI646" s="39"/>
      <c r="AK646" s="41"/>
    </row>
    <row r="647" spans="1:37" ht="21">
      <c r="A647" s="32" t="s">
        <v>2344</v>
      </c>
      <c r="B647" s="92" t="s">
        <v>24</v>
      </c>
      <c r="C647" s="93" t="s">
        <v>434</v>
      </c>
      <c r="D647" s="88" t="s">
        <v>77</v>
      </c>
      <c r="E647" s="73"/>
      <c r="F647" s="73"/>
      <c r="G647" s="73"/>
      <c r="H647" s="73"/>
      <c r="I647" s="73"/>
      <c r="J647" s="73"/>
      <c r="K647" s="73"/>
      <c r="L647" s="73"/>
      <c r="M647" s="73"/>
      <c r="N647" s="73"/>
      <c r="O647" s="73"/>
      <c r="P647" s="73"/>
      <c r="Q647" s="73"/>
      <c r="R647" s="73"/>
      <c r="S647" s="73"/>
      <c r="T647" s="73"/>
      <c r="U647" s="73"/>
      <c r="V647" s="73"/>
      <c r="W647" s="73"/>
      <c r="X647" s="73"/>
      <c r="Y647" s="73"/>
      <c r="Z647" s="73"/>
      <c r="AA647" s="75"/>
      <c r="AB647" s="75"/>
      <c r="AC647" s="55"/>
      <c r="AD647" s="89"/>
      <c r="AE647" s="89"/>
      <c r="AF647" s="89"/>
      <c r="AG647" s="57"/>
      <c r="AH647" s="58"/>
      <c r="AI647" s="39"/>
      <c r="AK647" s="41"/>
    </row>
    <row r="648" spans="1:37" ht="21">
      <c r="A648" s="32" t="s">
        <v>2345</v>
      </c>
      <c r="B648" s="92" t="s">
        <v>25</v>
      </c>
      <c r="C648" s="93" t="s">
        <v>435</v>
      </c>
      <c r="D648" s="88" t="s">
        <v>77</v>
      </c>
      <c r="E648" s="73"/>
      <c r="F648" s="73"/>
      <c r="G648" s="73"/>
      <c r="H648" s="73"/>
      <c r="I648" s="73"/>
      <c r="J648" s="73"/>
      <c r="K648" s="73"/>
      <c r="L648" s="73"/>
      <c r="M648" s="73"/>
      <c r="N648" s="73"/>
      <c r="O648" s="73"/>
      <c r="P648" s="73"/>
      <c r="Q648" s="73"/>
      <c r="R648" s="73"/>
      <c r="S648" s="73"/>
      <c r="T648" s="73"/>
      <c r="U648" s="73"/>
      <c r="V648" s="73"/>
      <c r="W648" s="73"/>
      <c r="X648" s="73"/>
      <c r="Y648" s="73"/>
      <c r="Z648" s="73"/>
      <c r="AA648" s="75"/>
      <c r="AB648" s="75"/>
      <c r="AC648" s="55"/>
      <c r="AD648" s="89"/>
      <c r="AE648" s="89"/>
      <c r="AF648" s="89"/>
      <c r="AG648" s="57"/>
      <c r="AH648" s="58"/>
      <c r="AI648" s="39"/>
      <c r="AK648" s="41"/>
    </row>
    <row r="649" spans="1:37" ht="21">
      <c r="A649" s="32" t="s">
        <v>2346</v>
      </c>
      <c r="B649" s="92" t="s">
        <v>60</v>
      </c>
      <c r="C649" s="93" t="s">
        <v>436</v>
      </c>
      <c r="D649" s="88" t="s">
        <v>77</v>
      </c>
      <c r="E649" s="73"/>
      <c r="F649" s="73"/>
      <c r="G649" s="73"/>
      <c r="H649" s="73"/>
      <c r="I649" s="73"/>
      <c r="J649" s="73"/>
      <c r="K649" s="73"/>
      <c r="L649" s="73"/>
      <c r="M649" s="73"/>
      <c r="N649" s="73"/>
      <c r="O649" s="73"/>
      <c r="P649" s="73"/>
      <c r="Q649" s="73"/>
      <c r="R649" s="73"/>
      <c r="S649" s="73"/>
      <c r="T649" s="73"/>
      <c r="U649" s="73"/>
      <c r="V649" s="73"/>
      <c r="W649" s="73"/>
      <c r="X649" s="73"/>
      <c r="Y649" s="73"/>
      <c r="Z649" s="73"/>
      <c r="AA649" s="75"/>
      <c r="AB649" s="75"/>
      <c r="AC649" s="55"/>
      <c r="AD649" s="89"/>
      <c r="AE649" s="89"/>
      <c r="AF649" s="89"/>
      <c r="AG649" s="57"/>
      <c r="AH649" s="58"/>
      <c r="AI649" s="39"/>
      <c r="AK649" s="41"/>
    </row>
    <row r="650" spans="1:37" ht="21">
      <c r="A650" s="32" t="s">
        <v>2347</v>
      </c>
      <c r="B650" s="95" t="s">
        <v>40</v>
      </c>
      <c r="C650" s="95" t="s">
        <v>747</v>
      </c>
      <c r="D650" s="88"/>
      <c r="E650" s="73"/>
      <c r="F650" s="73"/>
      <c r="G650" s="73"/>
      <c r="H650" s="73"/>
      <c r="I650" s="73"/>
      <c r="J650" s="73"/>
      <c r="K650" s="73"/>
      <c r="L650" s="73"/>
      <c r="M650" s="73"/>
      <c r="N650" s="73"/>
      <c r="O650" s="73"/>
      <c r="P650" s="73"/>
      <c r="Q650" s="73"/>
      <c r="R650" s="73"/>
      <c r="S650" s="73"/>
      <c r="T650" s="73"/>
      <c r="U650" s="73"/>
      <c r="V650" s="73"/>
      <c r="W650" s="73"/>
      <c r="X650" s="73"/>
      <c r="Y650" s="73"/>
      <c r="Z650" s="73"/>
      <c r="AA650" s="75"/>
      <c r="AB650" s="75"/>
      <c r="AC650" s="55"/>
      <c r="AD650" s="89"/>
      <c r="AE650" s="89"/>
      <c r="AF650" s="89"/>
      <c r="AG650" s="91"/>
      <c r="AH650" s="48"/>
      <c r="AI650" s="39"/>
      <c r="AK650" s="41"/>
    </row>
    <row r="651" spans="1:37" ht="21">
      <c r="A651" s="32" t="s">
        <v>2348</v>
      </c>
      <c r="B651" s="92" t="s">
        <v>104</v>
      </c>
      <c r="C651" s="93" t="s">
        <v>189</v>
      </c>
      <c r="D651" s="88" t="s">
        <v>77</v>
      </c>
      <c r="E651" s="73"/>
      <c r="F651" s="73"/>
      <c r="G651" s="73"/>
      <c r="H651" s="73"/>
      <c r="I651" s="73"/>
      <c r="J651" s="73"/>
      <c r="K651" s="73"/>
      <c r="L651" s="73"/>
      <c r="M651" s="73"/>
      <c r="N651" s="73"/>
      <c r="O651" s="73"/>
      <c r="P651" s="73"/>
      <c r="Q651" s="73"/>
      <c r="R651" s="73"/>
      <c r="S651" s="73"/>
      <c r="T651" s="73"/>
      <c r="U651" s="73"/>
      <c r="V651" s="73"/>
      <c r="W651" s="73"/>
      <c r="X651" s="73"/>
      <c r="Y651" s="73"/>
      <c r="Z651" s="73"/>
      <c r="AA651" s="75"/>
      <c r="AB651" s="75"/>
      <c r="AC651" s="55"/>
      <c r="AD651" s="89"/>
      <c r="AE651" s="89"/>
      <c r="AF651" s="89"/>
      <c r="AG651" s="57"/>
      <c r="AH651" s="58"/>
      <c r="AI651" s="39"/>
      <c r="AK651" s="41"/>
    </row>
    <row r="652" spans="1:37" ht="21">
      <c r="A652" s="32" t="s">
        <v>2349</v>
      </c>
      <c r="B652" s="92" t="s">
        <v>24</v>
      </c>
      <c r="C652" s="93" t="s">
        <v>190</v>
      </c>
      <c r="D652" s="88" t="s">
        <v>77</v>
      </c>
      <c r="E652" s="73"/>
      <c r="F652" s="73"/>
      <c r="G652" s="73"/>
      <c r="H652" s="73"/>
      <c r="I652" s="73"/>
      <c r="J652" s="73"/>
      <c r="K652" s="73"/>
      <c r="L652" s="73"/>
      <c r="M652" s="73"/>
      <c r="N652" s="73"/>
      <c r="O652" s="73"/>
      <c r="P652" s="73"/>
      <c r="Q652" s="73"/>
      <c r="R652" s="73"/>
      <c r="S652" s="73"/>
      <c r="T652" s="73"/>
      <c r="U652" s="73"/>
      <c r="V652" s="73"/>
      <c r="W652" s="73"/>
      <c r="X652" s="73"/>
      <c r="Y652" s="73"/>
      <c r="Z652" s="73"/>
      <c r="AA652" s="75"/>
      <c r="AB652" s="75"/>
      <c r="AC652" s="55"/>
      <c r="AD652" s="89"/>
      <c r="AE652" s="89"/>
      <c r="AF652" s="89"/>
      <c r="AG652" s="57"/>
      <c r="AH652" s="58"/>
      <c r="AI652" s="39"/>
      <c r="AK652" s="41"/>
    </row>
    <row r="653" spans="1:37" ht="21">
      <c r="A653" s="32" t="s">
        <v>2350</v>
      </c>
      <c r="B653" s="92" t="s">
        <v>25</v>
      </c>
      <c r="C653" s="93" t="s">
        <v>191</v>
      </c>
      <c r="D653" s="88" t="s">
        <v>77</v>
      </c>
      <c r="E653" s="73"/>
      <c r="F653" s="73"/>
      <c r="G653" s="73"/>
      <c r="H653" s="73"/>
      <c r="I653" s="73"/>
      <c r="J653" s="73"/>
      <c r="K653" s="73"/>
      <c r="L653" s="73"/>
      <c r="M653" s="73"/>
      <c r="N653" s="73"/>
      <c r="O653" s="73"/>
      <c r="P653" s="73"/>
      <c r="Q653" s="73"/>
      <c r="R653" s="73"/>
      <c r="S653" s="73"/>
      <c r="T653" s="73"/>
      <c r="U653" s="73"/>
      <c r="V653" s="73"/>
      <c r="W653" s="73"/>
      <c r="X653" s="73"/>
      <c r="Y653" s="73"/>
      <c r="Z653" s="73"/>
      <c r="AA653" s="75"/>
      <c r="AB653" s="75"/>
      <c r="AC653" s="55"/>
      <c r="AD653" s="89"/>
      <c r="AE653" s="89"/>
      <c r="AF653" s="89"/>
      <c r="AG653" s="57"/>
      <c r="AH653" s="58"/>
      <c r="AI653" s="39"/>
      <c r="AK653" s="41"/>
    </row>
    <row r="654" spans="1:37" ht="21">
      <c r="A654" s="32" t="s">
        <v>2351</v>
      </c>
      <c r="B654" s="95" t="s">
        <v>48</v>
      </c>
      <c r="C654" s="95" t="s">
        <v>748</v>
      </c>
      <c r="D654" s="88"/>
      <c r="E654" s="73"/>
      <c r="F654" s="73"/>
      <c r="G654" s="73"/>
      <c r="H654" s="73"/>
      <c r="I654" s="73"/>
      <c r="J654" s="73"/>
      <c r="K654" s="73"/>
      <c r="L654" s="73"/>
      <c r="M654" s="73"/>
      <c r="N654" s="73"/>
      <c r="O654" s="73"/>
      <c r="P654" s="73"/>
      <c r="Q654" s="73"/>
      <c r="R654" s="73"/>
      <c r="S654" s="73"/>
      <c r="T654" s="73"/>
      <c r="U654" s="73"/>
      <c r="V654" s="73"/>
      <c r="W654" s="73"/>
      <c r="X654" s="73"/>
      <c r="Y654" s="73"/>
      <c r="Z654" s="73"/>
      <c r="AA654" s="75"/>
      <c r="AB654" s="75"/>
      <c r="AC654" s="55"/>
      <c r="AD654" s="89"/>
      <c r="AE654" s="89"/>
      <c r="AF654" s="89"/>
      <c r="AG654" s="91"/>
      <c r="AH654" s="48"/>
      <c r="AI654" s="39"/>
      <c r="AK654" s="41"/>
    </row>
    <row r="655" spans="1:37" ht="21">
      <c r="A655" s="32" t="s">
        <v>2352</v>
      </c>
      <c r="B655" s="92" t="s">
        <v>104</v>
      </c>
      <c r="C655" s="93" t="s">
        <v>437</v>
      </c>
      <c r="D655" s="88" t="s">
        <v>77</v>
      </c>
      <c r="E655" s="73"/>
      <c r="F655" s="73"/>
      <c r="G655" s="73"/>
      <c r="H655" s="73"/>
      <c r="I655" s="73"/>
      <c r="J655" s="73"/>
      <c r="K655" s="73"/>
      <c r="L655" s="73"/>
      <c r="M655" s="73"/>
      <c r="N655" s="73"/>
      <c r="O655" s="73"/>
      <c r="P655" s="73"/>
      <c r="Q655" s="73"/>
      <c r="R655" s="73"/>
      <c r="S655" s="73"/>
      <c r="T655" s="73"/>
      <c r="U655" s="73"/>
      <c r="V655" s="73"/>
      <c r="W655" s="73"/>
      <c r="X655" s="73"/>
      <c r="Y655" s="73"/>
      <c r="Z655" s="73"/>
      <c r="AA655" s="75"/>
      <c r="AB655" s="75"/>
      <c r="AC655" s="55"/>
      <c r="AD655" s="89"/>
      <c r="AE655" s="89"/>
      <c r="AF655" s="89"/>
      <c r="AG655" s="57"/>
      <c r="AH655" s="58"/>
      <c r="AI655" s="39"/>
      <c r="AK655" s="41"/>
    </row>
    <row r="656" spans="1:37" ht="21">
      <c r="A656" s="32" t="s">
        <v>2353</v>
      </c>
      <c r="B656" s="92" t="s">
        <v>24</v>
      </c>
      <c r="C656" s="93" t="s">
        <v>185</v>
      </c>
      <c r="D656" s="88" t="s">
        <v>77</v>
      </c>
      <c r="E656" s="73"/>
      <c r="F656" s="73"/>
      <c r="G656" s="73"/>
      <c r="H656" s="73"/>
      <c r="I656" s="73"/>
      <c r="J656" s="73"/>
      <c r="K656" s="73"/>
      <c r="L656" s="73"/>
      <c r="M656" s="73"/>
      <c r="N656" s="73"/>
      <c r="O656" s="73"/>
      <c r="P656" s="73"/>
      <c r="Q656" s="73"/>
      <c r="R656" s="73"/>
      <c r="S656" s="73"/>
      <c r="T656" s="73"/>
      <c r="U656" s="73"/>
      <c r="V656" s="73"/>
      <c r="W656" s="73"/>
      <c r="X656" s="73"/>
      <c r="Y656" s="73"/>
      <c r="Z656" s="73"/>
      <c r="AA656" s="75"/>
      <c r="AB656" s="75"/>
      <c r="AC656" s="55"/>
      <c r="AD656" s="89"/>
      <c r="AE656" s="89"/>
      <c r="AF656" s="89"/>
      <c r="AG656" s="57"/>
      <c r="AH656" s="58"/>
      <c r="AI656" s="39"/>
      <c r="AK656" s="41"/>
    </row>
    <row r="657" spans="1:38" ht="27.75">
      <c r="A657" s="32" t="s">
        <v>2354</v>
      </c>
      <c r="B657" s="86">
        <v>10.09</v>
      </c>
      <c r="C657" s="87" t="s">
        <v>2561</v>
      </c>
      <c r="D657" s="88" t="s">
        <v>81</v>
      </c>
      <c r="E657" s="73"/>
      <c r="F657" s="73"/>
      <c r="G657" s="73"/>
      <c r="H657" s="73"/>
      <c r="I657" s="73"/>
      <c r="J657" s="73"/>
      <c r="K657" s="73"/>
      <c r="L657" s="73"/>
      <c r="M657" s="73"/>
      <c r="N657" s="73"/>
      <c r="O657" s="73"/>
      <c r="P657" s="73"/>
      <c r="Q657" s="73"/>
      <c r="R657" s="73"/>
      <c r="S657" s="73"/>
      <c r="T657" s="73"/>
      <c r="U657" s="73"/>
      <c r="V657" s="73"/>
      <c r="W657" s="73"/>
      <c r="X657" s="73"/>
      <c r="Y657" s="73"/>
      <c r="Z657" s="73"/>
      <c r="AA657" s="75"/>
      <c r="AB657" s="75"/>
      <c r="AC657" s="55"/>
      <c r="AD657" s="89"/>
      <c r="AE657" s="89"/>
      <c r="AF657" s="89"/>
      <c r="AG657" s="57"/>
      <c r="AH657" s="58"/>
      <c r="AI657" s="39"/>
      <c r="AK657" s="41"/>
    </row>
    <row r="658" spans="1:38" ht="27.75">
      <c r="A658" s="32" t="s">
        <v>438</v>
      </c>
      <c r="B658" s="86" t="s">
        <v>438</v>
      </c>
      <c r="C658" s="87" t="s">
        <v>2562</v>
      </c>
      <c r="D658" s="88" t="s">
        <v>81</v>
      </c>
      <c r="E658" s="73"/>
      <c r="F658" s="73"/>
      <c r="G658" s="73"/>
      <c r="H658" s="73"/>
      <c r="I658" s="73"/>
      <c r="J658" s="73"/>
      <c r="K658" s="73"/>
      <c r="L658" s="73"/>
      <c r="M658" s="73"/>
      <c r="N658" s="73"/>
      <c r="O658" s="73"/>
      <c r="P658" s="73"/>
      <c r="Q658" s="73"/>
      <c r="R658" s="73"/>
      <c r="S658" s="73"/>
      <c r="T658" s="73"/>
      <c r="U658" s="73"/>
      <c r="V658" s="73"/>
      <c r="W658" s="73"/>
      <c r="X658" s="73"/>
      <c r="Y658" s="73"/>
      <c r="Z658" s="73"/>
      <c r="AA658" s="75"/>
      <c r="AB658" s="75"/>
      <c r="AC658" s="55"/>
      <c r="AD658" s="89"/>
      <c r="AE658" s="89"/>
      <c r="AF658" s="89"/>
      <c r="AG658" s="57"/>
      <c r="AH658" s="58"/>
      <c r="AI658" s="39"/>
      <c r="AK658" s="41"/>
    </row>
    <row r="659" spans="1:38" ht="27.75">
      <c r="A659" s="32" t="s">
        <v>439</v>
      </c>
      <c r="B659" s="86" t="s">
        <v>439</v>
      </c>
      <c r="C659" s="87" t="s">
        <v>2563</v>
      </c>
      <c r="D659" s="88" t="s">
        <v>81</v>
      </c>
      <c r="E659" s="73"/>
      <c r="F659" s="73"/>
      <c r="G659" s="73"/>
      <c r="H659" s="73"/>
      <c r="I659" s="73"/>
      <c r="J659" s="73"/>
      <c r="K659" s="73"/>
      <c r="L659" s="73"/>
      <c r="M659" s="73"/>
      <c r="N659" s="73"/>
      <c r="O659" s="73"/>
      <c r="P659" s="73"/>
      <c r="Q659" s="73"/>
      <c r="R659" s="73"/>
      <c r="S659" s="73"/>
      <c r="T659" s="73"/>
      <c r="U659" s="73"/>
      <c r="V659" s="73"/>
      <c r="W659" s="73"/>
      <c r="X659" s="73"/>
      <c r="Y659" s="73"/>
      <c r="Z659" s="73"/>
      <c r="AA659" s="75"/>
      <c r="AB659" s="75"/>
      <c r="AC659" s="55"/>
      <c r="AD659" s="89"/>
      <c r="AE659" s="89"/>
      <c r="AF659" s="89"/>
      <c r="AG659" s="57"/>
      <c r="AH659" s="58"/>
      <c r="AI659" s="39"/>
      <c r="AK659" s="41"/>
    </row>
    <row r="660" spans="1:38" ht="27.75">
      <c r="A660" s="32" t="s">
        <v>440</v>
      </c>
      <c r="B660" s="86" t="s">
        <v>440</v>
      </c>
      <c r="C660" s="87" t="s">
        <v>2564</v>
      </c>
      <c r="D660" s="88" t="s">
        <v>38</v>
      </c>
      <c r="E660" s="73"/>
      <c r="F660" s="73"/>
      <c r="G660" s="73"/>
      <c r="H660" s="73"/>
      <c r="I660" s="73"/>
      <c r="J660" s="73"/>
      <c r="K660" s="73"/>
      <c r="L660" s="73"/>
      <c r="M660" s="73"/>
      <c r="N660" s="73"/>
      <c r="O660" s="73"/>
      <c r="P660" s="73"/>
      <c r="Q660" s="73"/>
      <c r="R660" s="73"/>
      <c r="S660" s="73"/>
      <c r="T660" s="73"/>
      <c r="U660" s="73"/>
      <c r="V660" s="73"/>
      <c r="W660" s="73"/>
      <c r="X660" s="73"/>
      <c r="Y660" s="73"/>
      <c r="Z660" s="73"/>
      <c r="AA660" s="75"/>
      <c r="AB660" s="75"/>
      <c r="AC660" s="55"/>
      <c r="AD660" s="89"/>
      <c r="AE660" s="89"/>
      <c r="AF660" s="89"/>
      <c r="AG660" s="57"/>
      <c r="AH660" s="58"/>
      <c r="AI660" s="39"/>
      <c r="AK660" s="41"/>
    </row>
    <row r="661" spans="1:38" ht="27.75">
      <c r="A661" s="32" t="s">
        <v>441</v>
      </c>
      <c r="B661" s="86" t="s">
        <v>441</v>
      </c>
      <c r="C661" s="87" t="s">
        <v>2565</v>
      </c>
      <c r="D661" s="88" t="s">
        <v>38</v>
      </c>
      <c r="E661" s="73"/>
      <c r="F661" s="73"/>
      <c r="G661" s="73"/>
      <c r="H661" s="73"/>
      <c r="I661" s="73"/>
      <c r="J661" s="73"/>
      <c r="K661" s="73"/>
      <c r="L661" s="73"/>
      <c r="M661" s="73"/>
      <c r="N661" s="73"/>
      <c r="O661" s="73"/>
      <c r="P661" s="73"/>
      <c r="Q661" s="73"/>
      <c r="R661" s="73"/>
      <c r="S661" s="73"/>
      <c r="T661" s="73"/>
      <c r="U661" s="73"/>
      <c r="V661" s="73"/>
      <c r="W661" s="73"/>
      <c r="X661" s="73"/>
      <c r="Y661" s="73"/>
      <c r="Z661" s="73"/>
      <c r="AA661" s="75"/>
      <c r="AB661" s="75"/>
      <c r="AC661" s="55"/>
      <c r="AD661" s="89"/>
      <c r="AE661" s="89"/>
      <c r="AF661" s="89"/>
      <c r="AG661" s="57"/>
      <c r="AH661" s="58"/>
      <c r="AI661" s="39"/>
      <c r="AK661" s="41"/>
    </row>
    <row r="662" spans="1:38" ht="27.75">
      <c r="A662" s="32" t="s">
        <v>442</v>
      </c>
      <c r="B662" s="86" t="s">
        <v>442</v>
      </c>
      <c r="C662" s="87" t="s">
        <v>2566</v>
      </c>
      <c r="D662" s="88" t="s">
        <v>38</v>
      </c>
      <c r="E662" s="73"/>
      <c r="F662" s="73"/>
      <c r="G662" s="73"/>
      <c r="H662" s="73"/>
      <c r="I662" s="73"/>
      <c r="J662" s="73"/>
      <c r="K662" s="73"/>
      <c r="L662" s="73"/>
      <c r="M662" s="73"/>
      <c r="N662" s="73"/>
      <c r="O662" s="73"/>
      <c r="P662" s="73"/>
      <c r="Q662" s="73"/>
      <c r="R662" s="73"/>
      <c r="S662" s="73"/>
      <c r="T662" s="73"/>
      <c r="U662" s="73"/>
      <c r="V662" s="73"/>
      <c r="W662" s="73"/>
      <c r="X662" s="73"/>
      <c r="Y662" s="73"/>
      <c r="Z662" s="73"/>
      <c r="AA662" s="75"/>
      <c r="AB662" s="75"/>
      <c r="AC662" s="55"/>
      <c r="AD662" s="89"/>
      <c r="AE662" s="89"/>
      <c r="AF662" s="89"/>
      <c r="AG662" s="57"/>
      <c r="AH662" s="58"/>
      <c r="AI662" s="39"/>
      <c r="AK662" s="41"/>
    </row>
    <row r="663" spans="1:38" ht="27.75">
      <c r="A663" s="32" t="s">
        <v>443</v>
      </c>
      <c r="B663" s="86" t="s">
        <v>443</v>
      </c>
      <c r="C663" s="87" t="s">
        <v>2567</v>
      </c>
      <c r="D663" s="88" t="s">
        <v>38</v>
      </c>
      <c r="E663" s="73"/>
      <c r="F663" s="73"/>
      <c r="G663" s="73"/>
      <c r="H663" s="73"/>
      <c r="I663" s="73"/>
      <c r="J663" s="73"/>
      <c r="K663" s="73"/>
      <c r="L663" s="73"/>
      <c r="M663" s="73"/>
      <c r="N663" s="73"/>
      <c r="O663" s="73"/>
      <c r="P663" s="73"/>
      <c r="Q663" s="73"/>
      <c r="R663" s="73"/>
      <c r="S663" s="73"/>
      <c r="T663" s="73"/>
      <c r="U663" s="73"/>
      <c r="V663" s="73"/>
      <c r="W663" s="73"/>
      <c r="X663" s="73"/>
      <c r="Y663" s="73"/>
      <c r="Z663" s="73"/>
      <c r="AA663" s="75"/>
      <c r="AB663" s="75"/>
      <c r="AC663" s="55"/>
      <c r="AD663" s="89"/>
      <c r="AE663" s="89"/>
      <c r="AF663" s="89"/>
      <c r="AG663" s="57"/>
      <c r="AH663" s="58"/>
      <c r="AI663" s="39"/>
      <c r="AK663" s="41"/>
    </row>
    <row r="664" spans="1:38" ht="21">
      <c r="A664" s="32" t="s">
        <v>2163</v>
      </c>
      <c r="B664" s="86">
        <v>10.16</v>
      </c>
      <c r="C664" s="87" t="s">
        <v>2160</v>
      </c>
      <c r="D664" s="88"/>
      <c r="E664" s="73"/>
      <c r="F664" s="73"/>
      <c r="G664" s="73"/>
      <c r="H664" s="73"/>
      <c r="I664" s="73"/>
      <c r="J664" s="73"/>
      <c r="K664" s="73"/>
      <c r="L664" s="73"/>
      <c r="M664" s="73"/>
      <c r="N664" s="73"/>
      <c r="O664" s="73"/>
      <c r="P664" s="73"/>
      <c r="Q664" s="73"/>
      <c r="R664" s="73"/>
      <c r="S664" s="73"/>
      <c r="T664" s="73"/>
      <c r="U664" s="73"/>
      <c r="V664" s="73"/>
      <c r="W664" s="73"/>
      <c r="X664" s="73"/>
      <c r="Y664" s="73"/>
      <c r="Z664" s="73"/>
      <c r="AA664" s="75"/>
      <c r="AB664" s="75"/>
      <c r="AC664" s="55"/>
      <c r="AD664" s="89"/>
      <c r="AE664" s="89"/>
      <c r="AF664" s="89"/>
      <c r="AG664" s="57"/>
      <c r="AH664" s="58"/>
      <c r="AI664" s="39"/>
      <c r="AK664" s="41"/>
    </row>
    <row r="665" spans="1:38" ht="78.75">
      <c r="A665" s="32" t="s">
        <v>2164</v>
      </c>
      <c r="B665" s="86" t="s">
        <v>14</v>
      </c>
      <c r="C665" s="87" t="s">
        <v>2161</v>
      </c>
      <c r="D665" s="88" t="s">
        <v>2090</v>
      </c>
      <c r="E665" s="73"/>
      <c r="F665" s="73"/>
      <c r="G665" s="73"/>
      <c r="H665" s="73"/>
      <c r="I665" s="73"/>
      <c r="J665" s="73"/>
      <c r="K665" s="73"/>
      <c r="L665" s="73"/>
      <c r="M665" s="73"/>
      <c r="N665" s="73"/>
      <c r="O665" s="73"/>
      <c r="P665" s="73"/>
      <c r="Q665" s="73"/>
      <c r="R665" s="73"/>
      <c r="S665" s="73"/>
      <c r="T665" s="73"/>
      <c r="U665" s="73"/>
      <c r="V665" s="73"/>
      <c r="W665" s="73"/>
      <c r="X665" s="73"/>
      <c r="Y665" s="73"/>
      <c r="Z665" s="73"/>
      <c r="AA665" s="75"/>
      <c r="AB665" s="75"/>
      <c r="AC665" s="55"/>
      <c r="AD665" s="89"/>
      <c r="AE665" s="89"/>
      <c r="AF665" s="89"/>
      <c r="AG665" s="57"/>
      <c r="AH665" s="58"/>
      <c r="AI665" s="39"/>
      <c r="AK665" s="41"/>
    </row>
    <row r="666" spans="1:38" ht="78.75">
      <c r="A666" s="32" t="s">
        <v>2165</v>
      </c>
      <c r="B666" s="86" t="s">
        <v>15</v>
      </c>
      <c r="C666" s="87" t="s">
        <v>2162</v>
      </c>
      <c r="D666" s="88" t="s">
        <v>2090</v>
      </c>
      <c r="E666" s="73"/>
      <c r="F666" s="73"/>
      <c r="G666" s="73"/>
      <c r="H666" s="73"/>
      <c r="I666" s="73"/>
      <c r="J666" s="73"/>
      <c r="K666" s="73"/>
      <c r="L666" s="73"/>
      <c r="M666" s="73"/>
      <c r="N666" s="73"/>
      <c r="O666" s="73"/>
      <c r="P666" s="73"/>
      <c r="Q666" s="73"/>
      <c r="R666" s="73"/>
      <c r="S666" s="73"/>
      <c r="T666" s="73"/>
      <c r="U666" s="73"/>
      <c r="V666" s="73"/>
      <c r="W666" s="73"/>
      <c r="X666" s="73"/>
      <c r="Y666" s="73"/>
      <c r="Z666" s="73"/>
      <c r="AA666" s="75"/>
      <c r="AB666" s="75"/>
      <c r="AC666" s="55"/>
      <c r="AD666" s="89"/>
      <c r="AE666" s="89"/>
      <c r="AF666" s="89"/>
      <c r="AG666" s="57"/>
      <c r="AH666" s="58"/>
      <c r="AI666" s="39"/>
      <c r="AK666" s="41"/>
    </row>
    <row r="667" spans="1:38" ht="21">
      <c r="A667" s="32">
        <v>10.17</v>
      </c>
      <c r="B667" s="86">
        <v>10.17</v>
      </c>
      <c r="C667" s="87" t="s">
        <v>2174</v>
      </c>
      <c r="D667" s="88" t="s">
        <v>877</v>
      </c>
      <c r="E667" s="73"/>
      <c r="F667" s="73"/>
      <c r="G667" s="73"/>
      <c r="H667" s="73"/>
      <c r="I667" s="73"/>
      <c r="J667" s="73"/>
      <c r="K667" s="73"/>
      <c r="L667" s="73"/>
      <c r="M667" s="73"/>
      <c r="N667" s="73"/>
      <c r="O667" s="73"/>
      <c r="P667" s="73"/>
      <c r="Q667" s="73"/>
      <c r="R667" s="73"/>
      <c r="S667" s="73"/>
      <c r="T667" s="73"/>
      <c r="U667" s="73"/>
      <c r="V667" s="73"/>
      <c r="W667" s="73"/>
      <c r="X667" s="73"/>
      <c r="Y667" s="73"/>
      <c r="Z667" s="73"/>
      <c r="AA667" s="75"/>
      <c r="AB667" s="75"/>
      <c r="AC667" s="55"/>
      <c r="AD667" s="89"/>
      <c r="AE667" s="89"/>
      <c r="AF667" s="89"/>
      <c r="AG667" s="57"/>
      <c r="AH667" s="58"/>
      <c r="AI667" s="39"/>
      <c r="AK667" s="41"/>
    </row>
    <row r="668" spans="1:38" ht="21">
      <c r="A668" s="32">
        <v>10.18</v>
      </c>
      <c r="B668" s="86">
        <v>10.18</v>
      </c>
      <c r="C668" s="87" t="s">
        <v>2175</v>
      </c>
      <c r="D668" s="88" t="s">
        <v>2176</v>
      </c>
      <c r="E668" s="73"/>
      <c r="F668" s="73"/>
      <c r="G668" s="73"/>
      <c r="H668" s="73"/>
      <c r="I668" s="73"/>
      <c r="J668" s="73"/>
      <c r="K668" s="73"/>
      <c r="L668" s="73"/>
      <c r="M668" s="73"/>
      <c r="N668" s="73"/>
      <c r="O668" s="73"/>
      <c r="P668" s="73"/>
      <c r="Q668" s="73"/>
      <c r="R668" s="73"/>
      <c r="S668" s="73"/>
      <c r="T668" s="73"/>
      <c r="U668" s="73"/>
      <c r="V668" s="73"/>
      <c r="W668" s="73"/>
      <c r="X668" s="73"/>
      <c r="Y668" s="73"/>
      <c r="Z668" s="73"/>
      <c r="AA668" s="75"/>
      <c r="AB668" s="75"/>
      <c r="AC668" s="55"/>
      <c r="AD668" s="89"/>
      <c r="AE668" s="89"/>
      <c r="AF668" s="89"/>
      <c r="AG668" s="57"/>
      <c r="AH668" s="58"/>
      <c r="AI668" s="39"/>
      <c r="AK668" s="41"/>
    </row>
    <row r="669" spans="1:38" ht="21">
      <c r="A669" s="32">
        <v>10.19</v>
      </c>
      <c r="B669" s="86">
        <v>10.19</v>
      </c>
      <c r="C669" s="87" t="s">
        <v>2177</v>
      </c>
      <c r="D669" s="88" t="s">
        <v>877</v>
      </c>
      <c r="E669" s="73"/>
      <c r="F669" s="73"/>
      <c r="G669" s="73"/>
      <c r="H669" s="73"/>
      <c r="I669" s="73"/>
      <c r="J669" s="73"/>
      <c r="K669" s="73"/>
      <c r="L669" s="73"/>
      <c r="M669" s="73"/>
      <c r="N669" s="73"/>
      <c r="O669" s="73"/>
      <c r="P669" s="73"/>
      <c r="Q669" s="73"/>
      <c r="R669" s="73"/>
      <c r="S669" s="73"/>
      <c r="T669" s="73"/>
      <c r="U669" s="73"/>
      <c r="V669" s="73"/>
      <c r="W669" s="73"/>
      <c r="X669" s="73"/>
      <c r="Y669" s="73"/>
      <c r="Z669" s="73"/>
      <c r="AA669" s="75"/>
      <c r="AB669" s="75"/>
      <c r="AC669" s="55"/>
      <c r="AD669" s="89"/>
      <c r="AE669" s="89"/>
      <c r="AF669" s="89"/>
      <c r="AG669" s="57"/>
      <c r="AH669" s="58"/>
      <c r="AI669" s="39"/>
      <c r="AK669" s="41"/>
    </row>
    <row r="670" spans="1:38" ht="21">
      <c r="A670" s="32" t="s">
        <v>2180</v>
      </c>
      <c r="B670" s="101">
        <v>10.199999999999999</v>
      </c>
      <c r="C670" s="87" t="s">
        <v>2178</v>
      </c>
      <c r="D670" s="88" t="s">
        <v>2179</v>
      </c>
      <c r="E670" s="73"/>
      <c r="F670" s="73"/>
      <c r="G670" s="73"/>
      <c r="H670" s="73"/>
      <c r="I670" s="73"/>
      <c r="J670" s="73"/>
      <c r="K670" s="73"/>
      <c r="L670" s="73"/>
      <c r="M670" s="73"/>
      <c r="N670" s="73"/>
      <c r="O670" s="73"/>
      <c r="P670" s="73"/>
      <c r="Q670" s="73"/>
      <c r="R670" s="73"/>
      <c r="S670" s="73"/>
      <c r="T670" s="73"/>
      <c r="U670" s="73"/>
      <c r="V670" s="73"/>
      <c r="W670" s="73"/>
      <c r="X670" s="73"/>
      <c r="Y670" s="73"/>
      <c r="Z670" s="73"/>
      <c r="AA670" s="75"/>
      <c r="AB670" s="75"/>
      <c r="AC670" s="55"/>
      <c r="AD670" s="89"/>
      <c r="AE670" s="89"/>
      <c r="AF670" s="89"/>
      <c r="AG670" s="57"/>
      <c r="AH670" s="58"/>
      <c r="AI670" s="39"/>
      <c r="AK670" s="41"/>
    </row>
    <row r="671" spans="1:38" ht="21">
      <c r="A671" s="32" t="s">
        <v>1489</v>
      </c>
      <c r="B671" s="80"/>
      <c r="C671" s="33" t="s">
        <v>1490</v>
      </c>
      <c r="D671" s="80"/>
      <c r="E671" s="81"/>
      <c r="F671" s="81"/>
      <c r="G671" s="81"/>
      <c r="H671" s="81"/>
      <c r="I671" s="81"/>
      <c r="J671" s="81"/>
      <c r="K671" s="81"/>
      <c r="L671" s="81"/>
      <c r="M671" s="81"/>
      <c r="N671" s="81"/>
      <c r="O671" s="81"/>
      <c r="P671" s="81"/>
      <c r="Q671" s="81"/>
      <c r="R671" s="81"/>
      <c r="S671" s="81"/>
      <c r="T671" s="81"/>
      <c r="U671" s="81"/>
      <c r="V671" s="81"/>
      <c r="W671" s="81"/>
      <c r="X671" s="81"/>
      <c r="Y671" s="81"/>
      <c r="Z671" s="81"/>
      <c r="AA671" s="83"/>
      <c r="AB671" s="83"/>
      <c r="AC671" s="55"/>
      <c r="AD671" s="89"/>
      <c r="AE671" s="89"/>
      <c r="AF671" s="89"/>
      <c r="AG671" s="91"/>
      <c r="AH671" s="48"/>
      <c r="AI671" s="39"/>
      <c r="AK671" s="41"/>
      <c r="AL671" s="85"/>
    </row>
    <row r="672" spans="1:38" ht="40.5">
      <c r="A672" s="32" t="s">
        <v>2355</v>
      </c>
      <c r="B672" s="86">
        <v>11.01</v>
      </c>
      <c r="C672" s="87" t="s">
        <v>2568</v>
      </c>
      <c r="D672" s="88" t="s">
        <v>38</v>
      </c>
      <c r="E672" s="73"/>
      <c r="F672" s="73"/>
      <c r="G672" s="73"/>
      <c r="H672" s="73"/>
      <c r="I672" s="73"/>
      <c r="J672" s="73"/>
      <c r="K672" s="73"/>
      <c r="L672" s="73"/>
      <c r="M672" s="73"/>
      <c r="N672" s="73"/>
      <c r="O672" s="73"/>
      <c r="P672" s="73"/>
      <c r="Q672" s="73"/>
      <c r="R672" s="73"/>
      <c r="S672" s="73"/>
      <c r="T672" s="73"/>
      <c r="U672" s="73"/>
      <c r="V672" s="73"/>
      <c r="W672" s="73"/>
      <c r="X672" s="73"/>
      <c r="Y672" s="73"/>
      <c r="Z672" s="73"/>
      <c r="AA672" s="75"/>
      <c r="AB672" s="75"/>
      <c r="AC672" s="55"/>
      <c r="AD672" s="89"/>
      <c r="AE672" s="89"/>
      <c r="AF672" s="89"/>
      <c r="AG672" s="57"/>
      <c r="AH672" s="58"/>
      <c r="AI672" s="39"/>
      <c r="AK672" s="41"/>
    </row>
    <row r="673" spans="1:37" ht="40.5">
      <c r="A673" s="32" t="s">
        <v>2356</v>
      </c>
      <c r="B673" s="86">
        <v>11.02</v>
      </c>
      <c r="C673" s="87" t="s">
        <v>2569</v>
      </c>
      <c r="D673" s="88"/>
      <c r="E673" s="73"/>
      <c r="F673" s="73"/>
      <c r="G673" s="73"/>
      <c r="H673" s="73"/>
      <c r="I673" s="73"/>
      <c r="J673" s="73"/>
      <c r="K673" s="73"/>
      <c r="L673" s="73"/>
      <c r="M673" s="73"/>
      <c r="N673" s="73"/>
      <c r="O673" s="73"/>
      <c r="P673" s="73"/>
      <c r="Q673" s="73"/>
      <c r="R673" s="73"/>
      <c r="S673" s="73"/>
      <c r="T673" s="73"/>
      <c r="U673" s="73"/>
      <c r="V673" s="73"/>
      <c r="W673" s="73"/>
      <c r="X673" s="73"/>
      <c r="Y673" s="73"/>
      <c r="Z673" s="73"/>
      <c r="AA673" s="75"/>
      <c r="AB673" s="75"/>
      <c r="AC673" s="55"/>
      <c r="AD673" s="89"/>
      <c r="AE673" s="89"/>
      <c r="AF673" s="89"/>
      <c r="AG673" s="91"/>
      <c r="AH673" s="48"/>
      <c r="AI673" s="39"/>
      <c r="AK673" s="41"/>
    </row>
    <row r="674" spans="1:37" ht="21">
      <c r="A674" s="32" t="s">
        <v>2357</v>
      </c>
      <c r="B674" s="92" t="s">
        <v>169</v>
      </c>
      <c r="C674" s="93" t="s">
        <v>444</v>
      </c>
      <c r="D674" s="88" t="s">
        <v>77</v>
      </c>
      <c r="E674" s="73"/>
      <c r="F674" s="73"/>
      <c r="G674" s="73"/>
      <c r="H674" s="73"/>
      <c r="I674" s="73"/>
      <c r="J674" s="73"/>
      <c r="K674" s="73"/>
      <c r="L674" s="73"/>
      <c r="M674" s="73"/>
      <c r="N674" s="73"/>
      <c r="O674" s="73"/>
      <c r="P674" s="73"/>
      <c r="Q674" s="73"/>
      <c r="R674" s="73"/>
      <c r="S674" s="73"/>
      <c r="T674" s="73"/>
      <c r="U674" s="73"/>
      <c r="V674" s="73"/>
      <c r="W674" s="73"/>
      <c r="X674" s="73"/>
      <c r="Y674" s="73"/>
      <c r="Z674" s="73"/>
      <c r="AA674" s="75"/>
      <c r="AB674" s="75"/>
      <c r="AC674" s="55"/>
      <c r="AD674" s="89"/>
      <c r="AE674" s="89"/>
      <c r="AF674" s="89"/>
      <c r="AG674" s="57"/>
      <c r="AH674" s="58"/>
      <c r="AI674" s="39"/>
      <c r="AK674" s="41"/>
    </row>
    <row r="675" spans="1:37" ht="21">
      <c r="A675" s="32" t="s">
        <v>2358</v>
      </c>
      <c r="B675" s="92" t="s">
        <v>24</v>
      </c>
      <c r="C675" s="93" t="s">
        <v>445</v>
      </c>
      <c r="D675" s="88" t="s">
        <v>77</v>
      </c>
      <c r="E675" s="73"/>
      <c r="F675" s="73"/>
      <c r="G675" s="73"/>
      <c r="H675" s="73"/>
      <c r="I675" s="73"/>
      <c r="J675" s="73"/>
      <c r="K675" s="73"/>
      <c r="L675" s="73"/>
      <c r="M675" s="73"/>
      <c r="N675" s="73"/>
      <c r="O675" s="73"/>
      <c r="P675" s="73"/>
      <c r="Q675" s="73"/>
      <c r="R675" s="73"/>
      <c r="S675" s="73"/>
      <c r="T675" s="73"/>
      <c r="U675" s="73"/>
      <c r="V675" s="73"/>
      <c r="W675" s="73"/>
      <c r="X675" s="73"/>
      <c r="Y675" s="73"/>
      <c r="Z675" s="73"/>
      <c r="AA675" s="75"/>
      <c r="AB675" s="75"/>
      <c r="AC675" s="55"/>
      <c r="AD675" s="89"/>
      <c r="AE675" s="89"/>
      <c r="AF675" s="89"/>
      <c r="AG675" s="57"/>
      <c r="AH675" s="58"/>
      <c r="AI675" s="39"/>
      <c r="AK675" s="41"/>
    </row>
    <row r="676" spans="1:37" ht="53.25">
      <c r="A676" s="32" t="s">
        <v>2359</v>
      </c>
      <c r="B676" s="86">
        <v>11.03</v>
      </c>
      <c r="C676" s="87" t="s">
        <v>2570</v>
      </c>
      <c r="D676" s="88" t="s">
        <v>77</v>
      </c>
      <c r="E676" s="73"/>
      <c r="F676" s="73"/>
      <c r="G676" s="73"/>
      <c r="H676" s="73"/>
      <c r="I676" s="73"/>
      <c r="J676" s="73"/>
      <c r="K676" s="73"/>
      <c r="L676" s="73"/>
      <c r="M676" s="73"/>
      <c r="N676" s="73"/>
      <c r="O676" s="73"/>
      <c r="P676" s="73"/>
      <c r="Q676" s="73"/>
      <c r="R676" s="73"/>
      <c r="S676" s="73"/>
      <c r="T676" s="73"/>
      <c r="U676" s="73"/>
      <c r="V676" s="73"/>
      <c r="W676" s="73"/>
      <c r="X676" s="73"/>
      <c r="Y676" s="73"/>
      <c r="Z676" s="73"/>
      <c r="AA676" s="75"/>
      <c r="AB676" s="75"/>
      <c r="AC676" s="55"/>
      <c r="AD676" s="89"/>
      <c r="AE676" s="89"/>
      <c r="AF676" s="89"/>
      <c r="AG676" s="57"/>
      <c r="AH676" s="58"/>
      <c r="AI676" s="39"/>
      <c r="AK676" s="41"/>
    </row>
    <row r="677" spans="1:37" ht="27.75">
      <c r="A677" s="32" t="s">
        <v>2360</v>
      </c>
      <c r="B677" s="86">
        <v>11.04</v>
      </c>
      <c r="C677" s="87" t="s">
        <v>2571</v>
      </c>
      <c r="D677" s="88" t="s">
        <v>77</v>
      </c>
      <c r="E677" s="73"/>
      <c r="F677" s="73"/>
      <c r="G677" s="73"/>
      <c r="H677" s="73"/>
      <c r="I677" s="73"/>
      <c r="J677" s="73"/>
      <c r="K677" s="73"/>
      <c r="L677" s="73"/>
      <c r="M677" s="73"/>
      <c r="N677" s="73"/>
      <c r="O677" s="73"/>
      <c r="P677" s="73"/>
      <c r="Q677" s="73"/>
      <c r="R677" s="73"/>
      <c r="S677" s="73"/>
      <c r="T677" s="73"/>
      <c r="U677" s="73"/>
      <c r="V677" s="73"/>
      <c r="W677" s="73"/>
      <c r="X677" s="73"/>
      <c r="Y677" s="73"/>
      <c r="Z677" s="73"/>
      <c r="AA677" s="75"/>
      <c r="AB677" s="75"/>
      <c r="AC677" s="55"/>
      <c r="AD677" s="89"/>
      <c r="AE677" s="89"/>
      <c r="AF677" s="89"/>
      <c r="AG677" s="57"/>
      <c r="AH677" s="58"/>
      <c r="AI677" s="39"/>
      <c r="AK677" s="41"/>
    </row>
    <row r="678" spans="1:37" ht="53.25">
      <c r="A678" s="32" t="s">
        <v>2361</v>
      </c>
      <c r="B678" s="86">
        <v>11.05</v>
      </c>
      <c r="C678" s="87" t="s">
        <v>2572</v>
      </c>
      <c r="D678" s="88" t="s">
        <v>77</v>
      </c>
      <c r="E678" s="73"/>
      <c r="F678" s="73"/>
      <c r="G678" s="73"/>
      <c r="H678" s="73"/>
      <c r="I678" s="73"/>
      <c r="J678" s="73"/>
      <c r="K678" s="73"/>
      <c r="L678" s="73"/>
      <c r="M678" s="73"/>
      <c r="N678" s="73"/>
      <c r="O678" s="73"/>
      <c r="P678" s="73"/>
      <c r="Q678" s="73"/>
      <c r="R678" s="73"/>
      <c r="S678" s="73"/>
      <c r="T678" s="73"/>
      <c r="U678" s="73"/>
      <c r="V678" s="73"/>
      <c r="W678" s="73"/>
      <c r="X678" s="73"/>
      <c r="Y678" s="73"/>
      <c r="Z678" s="73"/>
      <c r="AA678" s="75"/>
      <c r="AB678" s="75"/>
      <c r="AC678" s="55"/>
      <c r="AD678" s="89"/>
      <c r="AE678" s="89"/>
      <c r="AF678" s="89"/>
      <c r="AG678" s="57"/>
      <c r="AH678" s="58"/>
      <c r="AI678" s="39"/>
      <c r="AK678" s="41"/>
    </row>
    <row r="679" spans="1:37" ht="21">
      <c r="A679" s="32" t="s">
        <v>2362</v>
      </c>
      <c r="B679" s="86">
        <v>11.06</v>
      </c>
      <c r="C679" s="87" t="s">
        <v>446</v>
      </c>
      <c r="D679" s="88" t="s">
        <v>77</v>
      </c>
      <c r="E679" s="73"/>
      <c r="F679" s="73"/>
      <c r="G679" s="73"/>
      <c r="H679" s="73"/>
      <c r="I679" s="73"/>
      <c r="J679" s="73"/>
      <c r="K679" s="73"/>
      <c r="L679" s="73"/>
      <c r="M679" s="73"/>
      <c r="N679" s="73"/>
      <c r="O679" s="73"/>
      <c r="P679" s="73"/>
      <c r="Q679" s="73"/>
      <c r="R679" s="73"/>
      <c r="S679" s="73"/>
      <c r="T679" s="73"/>
      <c r="U679" s="73"/>
      <c r="V679" s="73"/>
      <c r="W679" s="73"/>
      <c r="X679" s="73"/>
      <c r="Y679" s="73"/>
      <c r="Z679" s="73"/>
      <c r="AA679" s="75"/>
      <c r="AB679" s="75"/>
      <c r="AC679" s="55"/>
      <c r="AD679" s="89"/>
      <c r="AE679" s="89"/>
      <c r="AF679" s="89"/>
      <c r="AG679" s="57"/>
      <c r="AH679" s="58"/>
      <c r="AI679" s="39"/>
      <c r="AK679" s="41"/>
    </row>
    <row r="680" spans="1:37" ht="53.25">
      <c r="A680" s="32" t="s">
        <v>2364</v>
      </c>
      <c r="B680" s="86">
        <v>11.07</v>
      </c>
      <c r="C680" s="87" t="s">
        <v>2573</v>
      </c>
      <c r="D680" s="88" t="s">
        <v>81</v>
      </c>
      <c r="E680" s="73"/>
      <c r="F680" s="73"/>
      <c r="G680" s="73"/>
      <c r="H680" s="73"/>
      <c r="I680" s="73"/>
      <c r="J680" s="73"/>
      <c r="K680" s="73"/>
      <c r="L680" s="73"/>
      <c r="M680" s="73"/>
      <c r="N680" s="73"/>
      <c r="O680" s="73"/>
      <c r="P680" s="73"/>
      <c r="Q680" s="73"/>
      <c r="R680" s="73"/>
      <c r="S680" s="73"/>
      <c r="T680" s="73"/>
      <c r="U680" s="73"/>
      <c r="V680" s="73"/>
      <c r="W680" s="73"/>
      <c r="X680" s="73"/>
      <c r="Y680" s="73"/>
      <c r="Z680" s="73"/>
      <c r="AA680" s="75"/>
      <c r="AB680" s="75"/>
      <c r="AC680" s="55"/>
      <c r="AD680" s="89"/>
      <c r="AE680" s="89"/>
      <c r="AF680" s="89"/>
      <c r="AG680" s="57"/>
      <c r="AH680" s="58"/>
      <c r="AI680" s="39"/>
      <c r="AK680" s="41"/>
    </row>
    <row r="681" spans="1:37" ht="21">
      <c r="A681" s="32" t="s">
        <v>2363</v>
      </c>
      <c r="B681" s="92" t="s">
        <v>447</v>
      </c>
      <c r="C681" s="93" t="s">
        <v>448</v>
      </c>
      <c r="D681" s="88" t="s">
        <v>81</v>
      </c>
      <c r="E681" s="73"/>
      <c r="F681" s="73"/>
      <c r="G681" s="73"/>
      <c r="H681" s="73"/>
      <c r="I681" s="73"/>
      <c r="J681" s="73"/>
      <c r="K681" s="73"/>
      <c r="L681" s="73"/>
      <c r="M681" s="73"/>
      <c r="N681" s="73"/>
      <c r="O681" s="73"/>
      <c r="P681" s="73"/>
      <c r="Q681" s="73"/>
      <c r="R681" s="73"/>
      <c r="S681" s="73"/>
      <c r="T681" s="73"/>
      <c r="U681" s="73"/>
      <c r="V681" s="73"/>
      <c r="W681" s="73"/>
      <c r="X681" s="73"/>
      <c r="Y681" s="73"/>
      <c r="Z681" s="73"/>
      <c r="AA681" s="75"/>
      <c r="AB681" s="75"/>
      <c r="AC681" s="55"/>
      <c r="AD681" s="89"/>
      <c r="AE681" s="89"/>
      <c r="AF681" s="89"/>
      <c r="AG681" s="57"/>
      <c r="AH681" s="58"/>
      <c r="AI681" s="39"/>
      <c r="AK681" s="41"/>
    </row>
    <row r="682" spans="1:37" ht="21">
      <c r="A682" s="32" t="s">
        <v>2365</v>
      </c>
      <c r="B682" s="86">
        <v>11.08</v>
      </c>
      <c r="C682" s="87" t="s">
        <v>449</v>
      </c>
      <c r="D682" s="88" t="s">
        <v>450</v>
      </c>
      <c r="E682" s="73"/>
      <c r="F682" s="73"/>
      <c r="G682" s="73"/>
      <c r="H682" s="73"/>
      <c r="I682" s="73"/>
      <c r="J682" s="73"/>
      <c r="K682" s="73"/>
      <c r="L682" s="73"/>
      <c r="M682" s="73"/>
      <c r="N682" s="73"/>
      <c r="O682" s="73"/>
      <c r="P682" s="73"/>
      <c r="Q682" s="73"/>
      <c r="R682" s="73"/>
      <c r="S682" s="73"/>
      <c r="T682" s="73"/>
      <c r="U682" s="73"/>
      <c r="V682" s="73"/>
      <c r="W682" s="73"/>
      <c r="X682" s="73"/>
      <c r="Y682" s="73"/>
      <c r="Z682" s="73"/>
      <c r="AA682" s="75"/>
      <c r="AB682" s="75"/>
      <c r="AC682" s="55"/>
      <c r="AD682" s="89"/>
      <c r="AE682" s="89"/>
      <c r="AF682" s="89"/>
      <c r="AG682" s="57"/>
      <c r="AH682" s="58"/>
      <c r="AI682" s="39"/>
      <c r="AK682" s="41"/>
    </row>
    <row r="683" spans="1:37" ht="21">
      <c r="A683" s="32" t="s">
        <v>1025</v>
      </c>
      <c r="B683" s="92" t="s">
        <v>451</v>
      </c>
      <c r="C683" s="93" t="s">
        <v>452</v>
      </c>
      <c r="D683" s="88" t="s">
        <v>450</v>
      </c>
      <c r="E683" s="73"/>
      <c r="F683" s="73"/>
      <c r="G683" s="73"/>
      <c r="H683" s="73"/>
      <c r="I683" s="73"/>
      <c r="J683" s="73"/>
      <c r="K683" s="73"/>
      <c r="L683" s="73"/>
      <c r="M683" s="73"/>
      <c r="N683" s="73"/>
      <c r="O683" s="73"/>
      <c r="P683" s="73"/>
      <c r="Q683" s="73"/>
      <c r="R683" s="73"/>
      <c r="S683" s="73"/>
      <c r="T683" s="73"/>
      <c r="U683" s="73"/>
      <c r="V683" s="73"/>
      <c r="W683" s="73"/>
      <c r="X683" s="73"/>
      <c r="Y683" s="73"/>
      <c r="Z683" s="73"/>
      <c r="AA683" s="75"/>
      <c r="AB683" s="75"/>
      <c r="AC683" s="55"/>
      <c r="AD683" s="89"/>
      <c r="AE683" s="89"/>
      <c r="AF683" s="89"/>
      <c r="AG683" s="57"/>
      <c r="AH683" s="58"/>
      <c r="AI683" s="39"/>
      <c r="AK683" s="41"/>
    </row>
    <row r="684" spans="1:37" ht="53.25">
      <c r="A684" s="32" t="s">
        <v>2366</v>
      </c>
      <c r="B684" s="86">
        <v>11.09</v>
      </c>
      <c r="C684" s="87" t="s">
        <v>2574</v>
      </c>
      <c r="D684" s="88" t="s">
        <v>33</v>
      </c>
      <c r="E684" s="73"/>
      <c r="F684" s="73"/>
      <c r="G684" s="73"/>
      <c r="H684" s="73"/>
      <c r="I684" s="73"/>
      <c r="J684" s="73"/>
      <c r="K684" s="73"/>
      <c r="L684" s="73"/>
      <c r="M684" s="73"/>
      <c r="N684" s="73"/>
      <c r="O684" s="73"/>
      <c r="P684" s="73"/>
      <c r="Q684" s="73"/>
      <c r="R684" s="73"/>
      <c r="S684" s="73"/>
      <c r="T684" s="73"/>
      <c r="U684" s="73"/>
      <c r="V684" s="73"/>
      <c r="W684" s="73"/>
      <c r="X684" s="73"/>
      <c r="Y684" s="73"/>
      <c r="Z684" s="73"/>
      <c r="AA684" s="75"/>
      <c r="AB684" s="75"/>
      <c r="AC684" s="55"/>
      <c r="AD684" s="89"/>
      <c r="AE684" s="89"/>
      <c r="AF684" s="89"/>
      <c r="AG684" s="57"/>
      <c r="AH684" s="58"/>
      <c r="AI684" s="39"/>
      <c r="AK684" s="41"/>
    </row>
    <row r="685" spans="1:37" ht="66">
      <c r="A685" s="32" t="s">
        <v>453</v>
      </c>
      <c r="B685" s="86" t="s">
        <v>453</v>
      </c>
      <c r="C685" s="87" t="s">
        <v>2575</v>
      </c>
      <c r="D685" s="88" t="s">
        <v>77</v>
      </c>
      <c r="E685" s="73"/>
      <c r="F685" s="73"/>
      <c r="G685" s="73"/>
      <c r="H685" s="73"/>
      <c r="I685" s="73"/>
      <c r="J685" s="73"/>
      <c r="K685" s="73"/>
      <c r="L685" s="73"/>
      <c r="M685" s="73"/>
      <c r="N685" s="73"/>
      <c r="O685" s="73"/>
      <c r="P685" s="73"/>
      <c r="Q685" s="73"/>
      <c r="R685" s="73"/>
      <c r="S685" s="73"/>
      <c r="T685" s="73"/>
      <c r="U685" s="73"/>
      <c r="V685" s="73"/>
      <c r="W685" s="73"/>
      <c r="X685" s="73"/>
      <c r="Y685" s="73"/>
      <c r="Z685" s="73"/>
      <c r="AA685" s="75"/>
      <c r="AB685" s="75"/>
      <c r="AC685" s="55"/>
      <c r="AD685" s="89"/>
      <c r="AE685" s="89"/>
      <c r="AF685" s="89"/>
      <c r="AG685" s="57"/>
      <c r="AH685" s="58"/>
      <c r="AI685" s="39"/>
      <c r="AK685" s="41"/>
    </row>
    <row r="686" spans="1:37" ht="40.5">
      <c r="A686" s="32" t="s">
        <v>454</v>
      </c>
      <c r="B686" s="86" t="s">
        <v>454</v>
      </c>
      <c r="C686" s="87" t="s">
        <v>2576</v>
      </c>
      <c r="D686" s="88" t="s">
        <v>38</v>
      </c>
      <c r="E686" s="73"/>
      <c r="F686" s="73"/>
      <c r="G686" s="73"/>
      <c r="H686" s="73"/>
      <c r="I686" s="73"/>
      <c r="J686" s="73"/>
      <c r="K686" s="73"/>
      <c r="L686" s="73"/>
      <c r="M686" s="73"/>
      <c r="N686" s="73"/>
      <c r="O686" s="73"/>
      <c r="P686" s="73"/>
      <c r="Q686" s="73"/>
      <c r="R686" s="73"/>
      <c r="S686" s="73"/>
      <c r="T686" s="73"/>
      <c r="U686" s="73"/>
      <c r="V686" s="73"/>
      <c r="W686" s="73"/>
      <c r="X686" s="73"/>
      <c r="Y686" s="73"/>
      <c r="Z686" s="73"/>
      <c r="AA686" s="75"/>
      <c r="AB686" s="75"/>
      <c r="AC686" s="55"/>
      <c r="AD686" s="89"/>
      <c r="AE686" s="89"/>
      <c r="AF686" s="89"/>
      <c r="AG686" s="57"/>
      <c r="AH686" s="58"/>
      <c r="AI686" s="39"/>
      <c r="AK686" s="41"/>
    </row>
    <row r="687" spans="1:37" ht="27.75">
      <c r="A687" s="32" t="s">
        <v>455</v>
      </c>
      <c r="B687" s="86" t="s">
        <v>455</v>
      </c>
      <c r="C687" s="87" t="s">
        <v>2577</v>
      </c>
      <c r="D687" s="88" t="s">
        <v>456</v>
      </c>
      <c r="E687" s="73"/>
      <c r="F687" s="73"/>
      <c r="G687" s="73"/>
      <c r="H687" s="73"/>
      <c r="I687" s="73"/>
      <c r="J687" s="73"/>
      <c r="K687" s="73"/>
      <c r="L687" s="73"/>
      <c r="M687" s="73"/>
      <c r="N687" s="73"/>
      <c r="O687" s="73"/>
      <c r="P687" s="73"/>
      <c r="Q687" s="73"/>
      <c r="R687" s="73"/>
      <c r="S687" s="73"/>
      <c r="T687" s="73"/>
      <c r="U687" s="73"/>
      <c r="V687" s="73"/>
      <c r="W687" s="73"/>
      <c r="X687" s="73"/>
      <c r="Y687" s="73"/>
      <c r="Z687" s="73"/>
      <c r="AA687" s="75"/>
      <c r="AB687" s="75"/>
      <c r="AC687" s="55"/>
      <c r="AD687" s="89"/>
      <c r="AE687" s="89"/>
      <c r="AF687" s="89"/>
      <c r="AG687" s="57"/>
      <c r="AH687" s="58"/>
      <c r="AI687" s="39"/>
      <c r="AK687" s="41"/>
    </row>
    <row r="688" spans="1:37" ht="21">
      <c r="A688" s="32" t="s">
        <v>457</v>
      </c>
      <c r="B688" s="86" t="s">
        <v>457</v>
      </c>
      <c r="C688" s="87" t="s">
        <v>2578</v>
      </c>
      <c r="D688" s="88" t="s">
        <v>38</v>
      </c>
      <c r="E688" s="73"/>
      <c r="F688" s="73"/>
      <c r="G688" s="73"/>
      <c r="H688" s="73"/>
      <c r="I688" s="73"/>
      <c r="J688" s="73"/>
      <c r="K688" s="73"/>
      <c r="L688" s="73"/>
      <c r="M688" s="73"/>
      <c r="N688" s="73"/>
      <c r="O688" s="73"/>
      <c r="P688" s="73"/>
      <c r="Q688" s="73"/>
      <c r="R688" s="73"/>
      <c r="S688" s="73"/>
      <c r="T688" s="73"/>
      <c r="U688" s="73"/>
      <c r="V688" s="73"/>
      <c r="W688" s="73"/>
      <c r="X688" s="73"/>
      <c r="Y688" s="73"/>
      <c r="Z688" s="73"/>
      <c r="AA688" s="75"/>
      <c r="AB688" s="75"/>
      <c r="AC688" s="55"/>
      <c r="AD688" s="89"/>
      <c r="AE688" s="89"/>
      <c r="AF688" s="89"/>
      <c r="AG688" s="57"/>
      <c r="AH688" s="58"/>
      <c r="AI688" s="39"/>
      <c r="AK688" s="41"/>
    </row>
    <row r="689" spans="1:38" ht="66">
      <c r="A689" s="32" t="s">
        <v>458</v>
      </c>
      <c r="B689" s="86" t="s">
        <v>458</v>
      </c>
      <c r="C689" s="87" t="s">
        <v>2579</v>
      </c>
      <c r="D689" s="88" t="s">
        <v>33</v>
      </c>
      <c r="E689" s="73"/>
      <c r="F689" s="73"/>
      <c r="G689" s="73"/>
      <c r="H689" s="73"/>
      <c r="I689" s="73"/>
      <c r="J689" s="73"/>
      <c r="K689" s="73"/>
      <c r="L689" s="73"/>
      <c r="M689" s="73"/>
      <c r="N689" s="73"/>
      <c r="O689" s="73"/>
      <c r="P689" s="73"/>
      <c r="Q689" s="73"/>
      <c r="R689" s="73"/>
      <c r="S689" s="73"/>
      <c r="T689" s="73"/>
      <c r="U689" s="73"/>
      <c r="V689" s="73"/>
      <c r="W689" s="73"/>
      <c r="X689" s="73"/>
      <c r="Y689" s="73"/>
      <c r="Z689" s="73"/>
      <c r="AA689" s="75"/>
      <c r="AB689" s="75"/>
      <c r="AC689" s="55"/>
      <c r="AD689" s="89"/>
      <c r="AE689" s="89"/>
      <c r="AF689" s="89"/>
      <c r="AG689" s="57"/>
      <c r="AH689" s="58"/>
      <c r="AI689" s="39"/>
      <c r="AK689" s="41"/>
    </row>
    <row r="690" spans="1:38" ht="40.5">
      <c r="A690" s="32" t="s">
        <v>459</v>
      </c>
      <c r="B690" s="86" t="s">
        <v>459</v>
      </c>
      <c r="C690" s="87" t="s">
        <v>460</v>
      </c>
      <c r="D690" s="88" t="s">
        <v>81</v>
      </c>
      <c r="E690" s="73"/>
      <c r="F690" s="73"/>
      <c r="G690" s="73"/>
      <c r="H690" s="73"/>
      <c r="I690" s="73"/>
      <c r="J690" s="73"/>
      <c r="K690" s="73"/>
      <c r="L690" s="73"/>
      <c r="M690" s="73"/>
      <c r="N690" s="73"/>
      <c r="O690" s="73"/>
      <c r="P690" s="73"/>
      <c r="Q690" s="73"/>
      <c r="R690" s="73"/>
      <c r="S690" s="73"/>
      <c r="T690" s="73"/>
      <c r="U690" s="73"/>
      <c r="V690" s="73"/>
      <c r="W690" s="73"/>
      <c r="X690" s="73"/>
      <c r="Y690" s="73"/>
      <c r="Z690" s="73"/>
      <c r="AA690" s="75"/>
      <c r="AB690" s="75"/>
      <c r="AC690" s="55"/>
      <c r="AD690" s="89"/>
      <c r="AE690" s="89"/>
      <c r="AF690" s="89"/>
      <c r="AG690" s="57"/>
      <c r="AH690" s="58"/>
      <c r="AI690" s="39"/>
      <c r="AK690" s="41"/>
    </row>
    <row r="691" spans="1:38" ht="53.25">
      <c r="A691" s="32" t="s">
        <v>461</v>
      </c>
      <c r="B691" s="86" t="s">
        <v>461</v>
      </c>
      <c r="C691" s="87" t="s">
        <v>2580</v>
      </c>
      <c r="D691" s="88" t="s">
        <v>33</v>
      </c>
      <c r="E691" s="73"/>
      <c r="F691" s="73"/>
      <c r="G691" s="73"/>
      <c r="H691" s="73"/>
      <c r="I691" s="73"/>
      <c r="J691" s="73"/>
      <c r="K691" s="73"/>
      <c r="L691" s="73"/>
      <c r="M691" s="73"/>
      <c r="N691" s="73"/>
      <c r="O691" s="73"/>
      <c r="P691" s="73"/>
      <c r="Q691" s="73"/>
      <c r="R691" s="73"/>
      <c r="S691" s="73"/>
      <c r="T691" s="73"/>
      <c r="U691" s="73"/>
      <c r="V691" s="73"/>
      <c r="W691" s="73"/>
      <c r="X691" s="73"/>
      <c r="Y691" s="73"/>
      <c r="Z691" s="73"/>
      <c r="AA691" s="75"/>
      <c r="AB691" s="75"/>
      <c r="AC691" s="55"/>
      <c r="AD691" s="89"/>
      <c r="AE691" s="89"/>
      <c r="AF691" s="89"/>
      <c r="AG691" s="57"/>
      <c r="AH691" s="58"/>
      <c r="AI691" s="39"/>
      <c r="AK691" s="41"/>
    </row>
    <row r="692" spans="1:38" ht="66">
      <c r="A692" s="32" t="s">
        <v>462</v>
      </c>
      <c r="B692" s="86" t="s">
        <v>462</v>
      </c>
      <c r="C692" s="87" t="s">
        <v>2581</v>
      </c>
      <c r="D692" s="88" t="s">
        <v>33</v>
      </c>
      <c r="E692" s="73"/>
      <c r="F692" s="73"/>
      <c r="G692" s="73"/>
      <c r="H692" s="73"/>
      <c r="I692" s="73"/>
      <c r="J692" s="73"/>
      <c r="K692" s="73"/>
      <c r="L692" s="73"/>
      <c r="M692" s="73"/>
      <c r="N692" s="73"/>
      <c r="O692" s="73"/>
      <c r="P692" s="73"/>
      <c r="Q692" s="73"/>
      <c r="R692" s="73"/>
      <c r="S692" s="73"/>
      <c r="T692" s="73"/>
      <c r="U692" s="73"/>
      <c r="V692" s="73"/>
      <c r="W692" s="73"/>
      <c r="X692" s="73"/>
      <c r="Y692" s="73"/>
      <c r="Z692" s="73"/>
      <c r="AA692" s="75"/>
      <c r="AB692" s="75"/>
      <c r="AC692" s="55"/>
      <c r="AD692" s="89"/>
      <c r="AE692" s="89"/>
      <c r="AF692" s="89"/>
      <c r="AG692" s="57"/>
      <c r="AH692" s="58"/>
      <c r="AI692" s="39"/>
      <c r="AK692" s="41"/>
    </row>
    <row r="693" spans="1:38" ht="53.25">
      <c r="A693" s="32" t="s">
        <v>463</v>
      </c>
      <c r="B693" s="86" t="s">
        <v>463</v>
      </c>
      <c r="C693" s="87" t="s">
        <v>2582</v>
      </c>
      <c r="D693" s="88" t="s">
        <v>456</v>
      </c>
      <c r="E693" s="73"/>
      <c r="F693" s="73"/>
      <c r="G693" s="73"/>
      <c r="H693" s="73"/>
      <c r="I693" s="73"/>
      <c r="J693" s="73"/>
      <c r="K693" s="73"/>
      <c r="L693" s="73"/>
      <c r="M693" s="73"/>
      <c r="N693" s="73"/>
      <c r="O693" s="73"/>
      <c r="P693" s="73"/>
      <c r="Q693" s="73"/>
      <c r="R693" s="73"/>
      <c r="S693" s="73"/>
      <c r="T693" s="73"/>
      <c r="U693" s="73"/>
      <c r="V693" s="73"/>
      <c r="W693" s="73"/>
      <c r="X693" s="73"/>
      <c r="Y693" s="73"/>
      <c r="Z693" s="73"/>
      <c r="AA693" s="75"/>
      <c r="AB693" s="75"/>
      <c r="AC693" s="55"/>
      <c r="AD693" s="89"/>
      <c r="AE693" s="89"/>
      <c r="AF693" s="89"/>
      <c r="AG693" s="57"/>
      <c r="AH693" s="58"/>
      <c r="AI693" s="39"/>
      <c r="AK693" s="41"/>
    </row>
    <row r="694" spans="1:38" ht="53.25">
      <c r="A694" s="32" t="s">
        <v>464</v>
      </c>
      <c r="B694" s="86" t="s">
        <v>464</v>
      </c>
      <c r="C694" s="87" t="s">
        <v>2583</v>
      </c>
      <c r="D694" s="88" t="s">
        <v>465</v>
      </c>
      <c r="E694" s="73"/>
      <c r="F694" s="73"/>
      <c r="G694" s="73"/>
      <c r="H694" s="73"/>
      <c r="I694" s="73"/>
      <c r="J694" s="73"/>
      <c r="K694" s="73"/>
      <c r="L694" s="73"/>
      <c r="M694" s="73"/>
      <c r="N694" s="73"/>
      <c r="O694" s="73"/>
      <c r="P694" s="73"/>
      <c r="Q694" s="73"/>
      <c r="R694" s="73"/>
      <c r="S694" s="73"/>
      <c r="T694" s="73"/>
      <c r="U694" s="73"/>
      <c r="V694" s="73"/>
      <c r="W694" s="73"/>
      <c r="X694" s="73"/>
      <c r="Y694" s="73"/>
      <c r="Z694" s="73"/>
      <c r="AA694" s="75"/>
      <c r="AB694" s="75"/>
      <c r="AC694" s="55"/>
      <c r="AD694" s="89"/>
      <c r="AE694" s="89"/>
      <c r="AF694" s="89"/>
      <c r="AG694" s="57"/>
      <c r="AH694" s="58"/>
      <c r="AI694" s="39"/>
      <c r="AK694" s="41"/>
    </row>
    <row r="695" spans="1:38" ht="40.5">
      <c r="A695" s="32" t="s">
        <v>466</v>
      </c>
      <c r="B695" s="86" t="s">
        <v>466</v>
      </c>
      <c r="C695" s="87" t="s">
        <v>2584</v>
      </c>
      <c r="D695" s="88" t="s">
        <v>465</v>
      </c>
      <c r="E695" s="73"/>
      <c r="F695" s="73"/>
      <c r="G695" s="73"/>
      <c r="H695" s="73"/>
      <c r="I695" s="73"/>
      <c r="J695" s="73"/>
      <c r="K695" s="73"/>
      <c r="L695" s="73"/>
      <c r="M695" s="73"/>
      <c r="N695" s="73"/>
      <c r="O695" s="73"/>
      <c r="P695" s="73"/>
      <c r="Q695" s="73"/>
      <c r="R695" s="73"/>
      <c r="S695" s="73"/>
      <c r="T695" s="73"/>
      <c r="U695" s="73"/>
      <c r="V695" s="73"/>
      <c r="W695" s="73"/>
      <c r="X695" s="73"/>
      <c r="Y695" s="73"/>
      <c r="Z695" s="73"/>
      <c r="AA695" s="75"/>
      <c r="AB695" s="75"/>
      <c r="AC695" s="55"/>
      <c r="AD695" s="89"/>
      <c r="AE695" s="89"/>
      <c r="AF695" s="89"/>
      <c r="AG695" s="57"/>
      <c r="AH695" s="58"/>
      <c r="AI695" s="39"/>
      <c r="AK695" s="41"/>
    </row>
    <row r="696" spans="1:38" ht="53.25">
      <c r="A696" s="32" t="s">
        <v>467</v>
      </c>
      <c r="B696" s="86" t="s">
        <v>467</v>
      </c>
      <c r="C696" s="87" t="s">
        <v>2585</v>
      </c>
      <c r="D696" s="88" t="s">
        <v>26</v>
      </c>
      <c r="E696" s="73"/>
      <c r="F696" s="73"/>
      <c r="G696" s="73"/>
      <c r="H696" s="73"/>
      <c r="I696" s="73"/>
      <c r="J696" s="73"/>
      <c r="K696" s="73"/>
      <c r="L696" s="73"/>
      <c r="M696" s="73"/>
      <c r="N696" s="73"/>
      <c r="O696" s="73"/>
      <c r="P696" s="73"/>
      <c r="Q696" s="73"/>
      <c r="R696" s="73"/>
      <c r="S696" s="73"/>
      <c r="T696" s="73"/>
      <c r="U696" s="73"/>
      <c r="V696" s="73"/>
      <c r="W696" s="73"/>
      <c r="X696" s="73"/>
      <c r="Y696" s="73"/>
      <c r="Z696" s="73"/>
      <c r="AA696" s="75"/>
      <c r="AB696" s="75"/>
      <c r="AC696" s="55"/>
      <c r="AD696" s="89"/>
      <c r="AE696" s="89"/>
      <c r="AF696" s="89"/>
      <c r="AG696" s="57"/>
      <c r="AH696" s="58"/>
      <c r="AI696" s="39"/>
      <c r="AK696" s="41"/>
    </row>
    <row r="697" spans="1:38" ht="104.45" customHeight="1">
      <c r="B697" s="86" t="s">
        <v>2706</v>
      </c>
      <c r="C697" s="87" t="s">
        <v>2707</v>
      </c>
      <c r="D697" s="88" t="s">
        <v>322</v>
      </c>
      <c r="E697" s="73"/>
      <c r="F697" s="73"/>
      <c r="G697" s="73"/>
      <c r="H697" s="73"/>
      <c r="I697" s="73"/>
      <c r="J697" s="73"/>
      <c r="K697" s="73"/>
      <c r="L697" s="73"/>
      <c r="M697" s="73"/>
      <c r="N697" s="73"/>
      <c r="O697" s="73"/>
      <c r="P697" s="73"/>
      <c r="Q697" s="73"/>
      <c r="R697" s="73"/>
      <c r="S697" s="73"/>
      <c r="T697" s="73"/>
      <c r="U697" s="73"/>
      <c r="V697" s="73"/>
      <c r="W697" s="73"/>
      <c r="X697" s="73"/>
      <c r="Y697" s="73"/>
      <c r="Z697" s="73"/>
      <c r="AA697" s="75"/>
      <c r="AB697" s="75"/>
      <c r="AC697" s="55"/>
      <c r="AD697" s="89"/>
      <c r="AE697" s="89"/>
      <c r="AF697" s="89"/>
      <c r="AG697" s="57"/>
      <c r="AH697" s="58"/>
      <c r="AI697" s="39"/>
      <c r="AK697" s="41"/>
    </row>
    <row r="698" spans="1:38" ht="21">
      <c r="A698" s="32" t="s">
        <v>1473</v>
      </c>
      <c r="B698" s="80"/>
      <c r="C698" s="33" t="s">
        <v>1474</v>
      </c>
      <c r="D698" s="80"/>
      <c r="E698" s="81"/>
      <c r="F698" s="81"/>
      <c r="G698" s="81"/>
      <c r="H698" s="81"/>
      <c r="I698" s="81"/>
      <c r="J698" s="81"/>
      <c r="K698" s="81"/>
      <c r="L698" s="81"/>
      <c r="M698" s="81"/>
      <c r="N698" s="81"/>
      <c r="O698" s="81"/>
      <c r="P698" s="81"/>
      <c r="Q698" s="81"/>
      <c r="R698" s="81"/>
      <c r="S698" s="81"/>
      <c r="T698" s="81"/>
      <c r="U698" s="81"/>
      <c r="V698" s="81"/>
      <c r="W698" s="81"/>
      <c r="X698" s="81"/>
      <c r="Y698" s="81"/>
      <c r="Z698" s="81"/>
      <c r="AA698" s="83"/>
      <c r="AB698" s="83"/>
      <c r="AC698" s="55"/>
      <c r="AD698" s="89"/>
      <c r="AE698" s="89"/>
      <c r="AF698" s="89"/>
      <c r="AG698" s="91"/>
      <c r="AH698" s="48"/>
      <c r="AI698" s="39"/>
      <c r="AK698" s="41"/>
      <c r="AL698" s="85"/>
    </row>
    <row r="699" spans="1:38" ht="40.5">
      <c r="A699" s="32">
        <v>12.01</v>
      </c>
      <c r="B699" s="86">
        <v>12.01</v>
      </c>
      <c r="C699" s="87" t="s">
        <v>2549</v>
      </c>
      <c r="D699" s="88"/>
      <c r="E699" s="73"/>
      <c r="F699" s="73"/>
      <c r="G699" s="73"/>
      <c r="H699" s="73"/>
      <c r="I699" s="73"/>
      <c r="J699" s="73"/>
      <c r="K699" s="73"/>
      <c r="L699" s="73"/>
      <c r="M699" s="73"/>
      <c r="N699" s="73"/>
      <c r="O699" s="73"/>
      <c r="P699" s="73"/>
      <c r="Q699" s="73"/>
      <c r="R699" s="73"/>
      <c r="S699" s="73"/>
      <c r="T699" s="73"/>
      <c r="U699" s="73"/>
      <c r="V699" s="73"/>
      <c r="W699" s="73"/>
      <c r="X699" s="73"/>
      <c r="Y699" s="73"/>
      <c r="Z699" s="73"/>
      <c r="AA699" s="75"/>
      <c r="AB699" s="75"/>
      <c r="AC699" s="55"/>
      <c r="AD699" s="89"/>
      <c r="AE699" s="89"/>
      <c r="AF699" s="89"/>
      <c r="AG699" s="91"/>
      <c r="AH699" s="48"/>
      <c r="AI699" s="39"/>
      <c r="AK699" s="41"/>
    </row>
    <row r="700" spans="1:38" ht="21">
      <c r="A700" s="32" t="s">
        <v>2367</v>
      </c>
      <c r="B700" s="94" t="s">
        <v>35</v>
      </c>
      <c r="C700" s="95" t="s">
        <v>105</v>
      </c>
      <c r="D700" s="88"/>
      <c r="E700" s="73"/>
      <c r="F700" s="73"/>
      <c r="G700" s="73"/>
      <c r="H700" s="73"/>
      <c r="I700" s="73"/>
      <c r="J700" s="73"/>
      <c r="K700" s="73"/>
      <c r="L700" s="73"/>
      <c r="M700" s="73"/>
      <c r="N700" s="73"/>
      <c r="O700" s="73"/>
      <c r="P700" s="73"/>
      <c r="Q700" s="73"/>
      <c r="R700" s="73"/>
      <c r="S700" s="73"/>
      <c r="T700" s="73"/>
      <c r="U700" s="73"/>
      <c r="V700" s="73"/>
      <c r="W700" s="73"/>
      <c r="X700" s="73"/>
      <c r="Y700" s="73"/>
      <c r="Z700" s="73"/>
      <c r="AA700" s="75"/>
      <c r="AB700" s="75"/>
      <c r="AC700" s="55"/>
      <c r="AD700" s="89"/>
      <c r="AE700" s="89"/>
      <c r="AF700" s="89"/>
      <c r="AG700" s="91"/>
      <c r="AH700" s="48"/>
      <c r="AI700" s="39"/>
      <c r="AK700" s="41"/>
    </row>
    <row r="701" spans="1:38" ht="21">
      <c r="A701" s="32" t="s">
        <v>2368</v>
      </c>
      <c r="B701" s="94" t="s">
        <v>14</v>
      </c>
      <c r="C701" s="95" t="s">
        <v>128</v>
      </c>
      <c r="D701" s="88"/>
      <c r="E701" s="73"/>
      <c r="F701" s="73"/>
      <c r="G701" s="73"/>
      <c r="H701" s="73"/>
      <c r="I701" s="73"/>
      <c r="J701" s="73"/>
      <c r="K701" s="73"/>
      <c r="L701" s="73"/>
      <c r="M701" s="73"/>
      <c r="N701" s="73"/>
      <c r="O701" s="73"/>
      <c r="P701" s="73"/>
      <c r="Q701" s="73"/>
      <c r="R701" s="73"/>
      <c r="S701" s="73"/>
      <c r="T701" s="73"/>
      <c r="U701" s="73"/>
      <c r="V701" s="73"/>
      <c r="W701" s="73"/>
      <c r="X701" s="73"/>
      <c r="Y701" s="73"/>
      <c r="Z701" s="73"/>
      <c r="AA701" s="75"/>
      <c r="AB701" s="75"/>
      <c r="AC701" s="55"/>
      <c r="AD701" s="89"/>
      <c r="AE701" s="89"/>
      <c r="AF701" s="89"/>
      <c r="AG701" s="91"/>
      <c r="AH701" s="48"/>
      <c r="AI701" s="39"/>
      <c r="AK701" s="41"/>
    </row>
    <row r="702" spans="1:38" ht="21">
      <c r="A702" s="32" t="s">
        <v>2369</v>
      </c>
      <c r="B702" s="92" t="s">
        <v>104</v>
      </c>
      <c r="C702" s="93" t="s">
        <v>374</v>
      </c>
      <c r="D702" s="88" t="s">
        <v>38</v>
      </c>
      <c r="E702" s="73"/>
      <c r="F702" s="73"/>
      <c r="G702" s="73"/>
      <c r="H702" s="73"/>
      <c r="I702" s="73"/>
      <c r="J702" s="73"/>
      <c r="K702" s="73"/>
      <c r="L702" s="73"/>
      <c r="M702" s="73"/>
      <c r="N702" s="73"/>
      <c r="O702" s="73"/>
      <c r="P702" s="73"/>
      <c r="Q702" s="73"/>
      <c r="R702" s="73"/>
      <c r="S702" s="73"/>
      <c r="T702" s="73"/>
      <c r="U702" s="73"/>
      <c r="V702" s="73"/>
      <c r="W702" s="73"/>
      <c r="X702" s="73"/>
      <c r="Y702" s="73"/>
      <c r="Z702" s="73"/>
      <c r="AA702" s="75"/>
      <c r="AB702" s="75"/>
      <c r="AC702" s="55"/>
      <c r="AD702" s="89"/>
      <c r="AE702" s="89"/>
      <c r="AF702" s="89"/>
      <c r="AG702" s="57"/>
      <c r="AH702" s="58"/>
      <c r="AI702" s="39"/>
      <c r="AK702" s="41"/>
    </row>
    <row r="703" spans="1:38" ht="21">
      <c r="A703" s="32" t="s">
        <v>2370</v>
      </c>
      <c r="B703" s="92" t="s">
        <v>24</v>
      </c>
      <c r="C703" s="93" t="s">
        <v>375</v>
      </c>
      <c r="D703" s="88" t="s">
        <v>38</v>
      </c>
      <c r="E703" s="73"/>
      <c r="F703" s="73"/>
      <c r="G703" s="73"/>
      <c r="H703" s="73"/>
      <c r="I703" s="73"/>
      <c r="J703" s="73"/>
      <c r="K703" s="73"/>
      <c r="L703" s="73"/>
      <c r="M703" s="73"/>
      <c r="N703" s="73"/>
      <c r="O703" s="73"/>
      <c r="P703" s="73"/>
      <c r="Q703" s="73"/>
      <c r="R703" s="73"/>
      <c r="S703" s="73"/>
      <c r="T703" s="73"/>
      <c r="U703" s="73"/>
      <c r="V703" s="73"/>
      <c r="W703" s="73"/>
      <c r="X703" s="73"/>
      <c r="Y703" s="73"/>
      <c r="Z703" s="73"/>
      <c r="AA703" s="75"/>
      <c r="AB703" s="75"/>
      <c r="AC703" s="55"/>
      <c r="AD703" s="89"/>
      <c r="AE703" s="89"/>
      <c r="AF703" s="89"/>
      <c r="AG703" s="57"/>
      <c r="AH703" s="58"/>
      <c r="AI703" s="39"/>
      <c r="AK703" s="41"/>
    </row>
    <row r="704" spans="1:38" ht="21">
      <c r="A704" s="32" t="s">
        <v>2371</v>
      </c>
      <c r="B704" s="92" t="s">
        <v>25</v>
      </c>
      <c r="C704" s="93" t="s">
        <v>376</v>
      </c>
      <c r="D704" s="88" t="s">
        <v>38</v>
      </c>
      <c r="E704" s="73"/>
      <c r="F704" s="73"/>
      <c r="G704" s="73"/>
      <c r="H704" s="73"/>
      <c r="I704" s="73"/>
      <c r="J704" s="73"/>
      <c r="K704" s="73"/>
      <c r="L704" s="73"/>
      <c r="M704" s="73"/>
      <c r="N704" s="73"/>
      <c r="O704" s="73"/>
      <c r="P704" s="73"/>
      <c r="Q704" s="73"/>
      <c r="R704" s="73"/>
      <c r="S704" s="73"/>
      <c r="T704" s="73"/>
      <c r="U704" s="73"/>
      <c r="V704" s="73"/>
      <c r="W704" s="73"/>
      <c r="X704" s="73"/>
      <c r="Y704" s="73"/>
      <c r="Z704" s="73"/>
      <c r="AA704" s="75"/>
      <c r="AB704" s="75"/>
      <c r="AC704" s="55"/>
      <c r="AD704" s="89"/>
      <c r="AE704" s="89"/>
      <c r="AF704" s="89"/>
      <c r="AG704" s="57"/>
      <c r="AH704" s="58"/>
      <c r="AI704" s="39"/>
      <c r="AK704" s="41"/>
    </row>
    <row r="705" spans="1:37" ht="21">
      <c r="A705" s="32" t="s">
        <v>2372</v>
      </c>
      <c r="B705" s="94" t="s">
        <v>15</v>
      </c>
      <c r="C705" s="95" t="s">
        <v>112</v>
      </c>
      <c r="D705" s="88"/>
      <c r="E705" s="73"/>
      <c r="F705" s="73"/>
      <c r="G705" s="73"/>
      <c r="H705" s="73"/>
      <c r="I705" s="73"/>
      <c r="J705" s="73"/>
      <c r="K705" s="73"/>
      <c r="L705" s="73"/>
      <c r="M705" s="73"/>
      <c r="N705" s="73"/>
      <c r="O705" s="73"/>
      <c r="P705" s="73"/>
      <c r="Q705" s="73"/>
      <c r="R705" s="73"/>
      <c r="S705" s="73"/>
      <c r="T705" s="73"/>
      <c r="U705" s="73"/>
      <c r="V705" s="73"/>
      <c r="W705" s="73"/>
      <c r="X705" s="73"/>
      <c r="Y705" s="73"/>
      <c r="Z705" s="73"/>
      <c r="AA705" s="75"/>
      <c r="AB705" s="75"/>
      <c r="AC705" s="55"/>
      <c r="AD705" s="89"/>
      <c r="AE705" s="89"/>
      <c r="AF705" s="89"/>
      <c r="AG705" s="91"/>
      <c r="AH705" s="48"/>
      <c r="AI705" s="39"/>
      <c r="AK705" s="41"/>
    </row>
    <row r="706" spans="1:37" ht="21">
      <c r="A706" s="32" t="s">
        <v>2373</v>
      </c>
      <c r="B706" s="92" t="s">
        <v>104</v>
      </c>
      <c r="C706" s="93" t="s">
        <v>377</v>
      </c>
      <c r="D706" s="88" t="s">
        <v>38</v>
      </c>
      <c r="E706" s="73"/>
      <c r="F706" s="73"/>
      <c r="G706" s="73"/>
      <c r="H706" s="73"/>
      <c r="I706" s="73"/>
      <c r="J706" s="73"/>
      <c r="K706" s="73"/>
      <c r="L706" s="73"/>
      <c r="M706" s="73"/>
      <c r="N706" s="73"/>
      <c r="O706" s="73"/>
      <c r="P706" s="73"/>
      <c r="Q706" s="73"/>
      <c r="R706" s="73"/>
      <c r="S706" s="73"/>
      <c r="T706" s="73"/>
      <c r="U706" s="73"/>
      <c r="V706" s="73"/>
      <c r="W706" s="73"/>
      <c r="X706" s="73"/>
      <c r="Y706" s="73"/>
      <c r="Z706" s="73"/>
      <c r="AA706" s="75"/>
      <c r="AB706" s="75"/>
      <c r="AC706" s="55"/>
      <c r="AD706" s="89"/>
      <c r="AE706" s="89"/>
      <c r="AF706" s="89"/>
      <c r="AG706" s="57"/>
      <c r="AH706" s="58"/>
      <c r="AI706" s="39"/>
      <c r="AK706" s="41"/>
    </row>
    <row r="707" spans="1:37" ht="21">
      <c r="A707" s="32" t="s">
        <v>2374</v>
      </c>
      <c r="B707" s="92" t="s">
        <v>24</v>
      </c>
      <c r="C707" s="93" t="s">
        <v>378</v>
      </c>
      <c r="D707" s="88" t="s">
        <v>38</v>
      </c>
      <c r="E707" s="73"/>
      <c r="F707" s="73"/>
      <c r="G707" s="73"/>
      <c r="H707" s="73"/>
      <c r="I707" s="73"/>
      <c r="J707" s="73"/>
      <c r="K707" s="73"/>
      <c r="L707" s="73"/>
      <c r="M707" s="73"/>
      <c r="N707" s="73"/>
      <c r="O707" s="73"/>
      <c r="P707" s="73"/>
      <c r="Q707" s="73"/>
      <c r="R707" s="73"/>
      <c r="S707" s="73"/>
      <c r="T707" s="73"/>
      <c r="U707" s="73"/>
      <c r="V707" s="73"/>
      <c r="W707" s="73"/>
      <c r="X707" s="73"/>
      <c r="Y707" s="73"/>
      <c r="Z707" s="73"/>
      <c r="AA707" s="75"/>
      <c r="AB707" s="75"/>
      <c r="AC707" s="55"/>
      <c r="AD707" s="89"/>
      <c r="AE707" s="89"/>
      <c r="AF707" s="89"/>
      <c r="AG707" s="57"/>
      <c r="AH707" s="58"/>
      <c r="AI707" s="39"/>
      <c r="AK707" s="41"/>
    </row>
    <row r="708" spans="1:37" ht="21">
      <c r="A708" s="32" t="s">
        <v>2375</v>
      </c>
      <c r="B708" s="92" t="s">
        <v>25</v>
      </c>
      <c r="C708" s="93" t="s">
        <v>379</v>
      </c>
      <c r="D708" s="88" t="s">
        <v>38</v>
      </c>
      <c r="E708" s="73"/>
      <c r="F708" s="73"/>
      <c r="G708" s="73"/>
      <c r="H708" s="73"/>
      <c r="I708" s="73"/>
      <c r="J708" s="73"/>
      <c r="K708" s="73"/>
      <c r="L708" s="73"/>
      <c r="M708" s="73"/>
      <c r="N708" s="73"/>
      <c r="O708" s="73"/>
      <c r="P708" s="73"/>
      <c r="Q708" s="73"/>
      <c r="R708" s="73"/>
      <c r="S708" s="73"/>
      <c r="T708" s="73"/>
      <c r="U708" s="73"/>
      <c r="V708" s="73"/>
      <c r="W708" s="73"/>
      <c r="X708" s="73"/>
      <c r="Y708" s="73"/>
      <c r="Z708" s="73"/>
      <c r="AA708" s="75"/>
      <c r="AB708" s="75"/>
      <c r="AC708" s="55"/>
      <c r="AD708" s="89"/>
      <c r="AE708" s="89"/>
      <c r="AF708" s="89"/>
      <c r="AG708" s="57"/>
      <c r="AH708" s="58"/>
      <c r="AI708" s="39"/>
      <c r="AK708" s="41"/>
    </row>
    <row r="709" spans="1:37" ht="21">
      <c r="A709" s="32" t="s">
        <v>2376</v>
      </c>
      <c r="B709" s="94" t="s">
        <v>42</v>
      </c>
      <c r="C709" s="95" t="s">
        <v>380</v>
      </c>
      <c r="D709" s="88"/>
      <c r="E709" s="73"/>
      <c r="F709" s="73"/>
      <c r="G709" s="73"/>
      <c r="H709" s="73"/>
      <c r="I709" s="73"/>
      <c r="J709" s="73"/>
      <c r="K709" s="73"/>
      <c r="L709" s="73"/>
      <c r="M709" s="73"/>
      <c r="N709" s="73"/>
      <c r="O709" s="73"/>
      <c r="P709" s="73"/>
      <c r="Q709" s="73"/>
      <c r="R709" s="73"/>
      <c r="S709" s="73"/>
      <c r="T709" s="73"/>
      <c r="U709" s="73"/>
      <c r="V709" s="73"/>
      <c r="W709" s="73"/>
      <c r="X709" s="73"/>
      <c r="Y709" s="73"/>
      <c r="Z709" s="73"/>
      <c r="AA709" s="75"/>
      <c r="AB709" s="75"/>
      <c r="AC709" s="55"/>
      <c r="AD709" s="89"/>
      <c r="AE709" s="89"/>
      <c r="AF709" s="89"/>
      <c r="AG709" s="91"/>
      <c r="AH709" s="48"/>
      <c r="AI709" s="39"/>
      <c r="AK709" s="41"/>
    </row>
    <row r="710" spans="1:37" ht="21">
      <c r="A710" s="32" t="s">
        <v>2377</v>
      </c>
      <c r="B710" s="94" t="s">
        <v>14</v>
      </c>
      <c r="C710" s="95" t="s">
        <v>128</v>
      </c>
      <c r="D710" s="88"/>
      <c r="E710" s="73"/>
      <c r="F710" s="73"/>
      <c r="G710" s="73"/>
      <c r="H710" s="73"/>
      <c r="I710" s="73"/>
      <c r="J710" s="73"/>
      <c r="K710" s="73"/>
      <c r="L710" s="73"/>
      <c r="M710" s="73"/>
      <c r="N710" s="73"/>
      <c r="O710" s="73"/>
      <c r="P710" s="73"/>
      <c r="Q710" s="73"/>
      <c r="R710" s="73"/>
      <c r="S710" s="73"/>
      <c r="T710" s="73"/>
      <c r="U710" s="73"/>
      <c r="V710" s="73"/>
      <c r="W710" s="73"/>
      <c r="X710" s="73"/>
      <c r="Y710" s="73"/>
      <c r="Z710" s="73"/>
      <c r="AA710" s="75"/>
      <c r="AB710" s="75"/>
      <c r="AC710" s="55"/>
      <c r="AD710" s="89"/>
      <c r="AE710" s="89"/>
      <c r="AF710" s="89"/>
      <c r="AG710" s="91"/>
      <c r="AH710" s="48"/>
      <c r="AI710" s="39"/>
      <c r="AK710" s="41"/>
    </row>
    <row r="711" spans="1:37" ht="21">
      <c r="A711" s="32" t="s">
        <v>2378</v>
      </c>
      <c r="B711" s="92" t="s">
        <v>104</v>
      </c>
      <c r="C711" s="93" t="s">
        <v>381</v>
      </c>
      <c r="D711" s="88" t="s">
        <v>38</v>
      </c>
      <c r="E711" s="73"/>
      <c r="F711" s="73"/>
      <c r="G711" s="73"/>
      <c r="H711" s="73"/>
      <c r="I711" s="73"/>
      <c r="J711" s="73"/>
      <c r="K711" s="73"/>
      <c r="L711" s="73"/>
      <c r="M711" s="73"/>
      <c r="N711" s="73"/>
      <c r="O711" s="73"/>
      <c r="P711" s="73"/>
      <c r="Q711" s="73"/>
      <c r="R711" s="73"/>
      <c r="S711" s="73"/>
      <c r="T711" s="73"/>
      <c r="U711" s="73"/>
      <c r="V711" s="73"/>
      <c r="W711" s="73"/>
      <c r="X711" s="73"/>
      <c r="Y711" s="73"/>
      <c r="Z711" s="73"/>
      <c r="AA711" s="75"/>
      <c r="AB711" s="75"/>
      <c r="AC711" s="55"/>
      <c r="AD711" s="89"/>
      <c r="AE711" s="89"/>
      <c r="AF711" s="89"/>
      <c r="AG711" s="57"/>
      <c r="AH711" s="58"/>
      <c r="AI711" s="39"/>
      <c r="AK711" s="41"/>
    </row>
    <row r="712" spans="1:37" ht="21">
      <c r="A712" s="32" t="s">
        <v>2379</v>
      </c>
      <c r="B712" s="94" t="s">
        <v>15</v>
      </c>
      <c r="C712" s="95" t="s">
        <v>112</v>
      </c>
      <c r="D712" s="88" t="s">
        <v>38</v>
      </c>
      <c r="E712" s="73"/>
      <c r="F712" s="73"/>
      <c r="G712" s="73"/>
      <c r="H712" s="73"/>
      <c r="I712" s="73"/>
      <c r="J712" s="73"/>
      <c r="K712" s="73"/>
      <c r="L712" s="73"/>
      <c r="M712" s="73"/>
      <c r="N712" s="73"/>
      <c r="O712" s="73"/>
      <c r="P712" s="73"/>
      <c r="Q712" s="73"/>
      <c r="R712" s="73"/>
      <c r="S712" s="73"/>
      <c r="T712" s="73"/>
      <c r="U712" s="73"/>
      <c r="V712" s="73"/>
      <c r="W712" s="73"/>
      <c r="X712" s="73"/>
      <c r="Y712" s="73"/>
      <c r="Z712" s="73"/>
      <c r="AA712" s="75"/>
      <c r="AB712" s="75"/>
      <c r="AC712" s="55"/>
      <c r="AD712" s="89"/>
      <c r="AE712" s="89"/>
      <c r="AF712" s="89"/>
      <c r="AG712" s="57"/>
      <c r="AH712" s="58"/>
      <c r="AI712" s="39"/>
      <c r="AK712" s="41"/>
    </row>
    <row r="713" spans="1:37" ht="21">
      <c r="A713" s="32" t="s">
        <v>2380</v>
      </c>
      <c r="B713" s="94" t="s">
        <v>382</v>
      </c>
      <c r="C713" s="95" t="s">
        <v>110</v>
      </c>
      <c r="D713" s="88"/>
      <c r="E713" s="73"/>
      <c r="F713" s="73"/>
      <c r="G713" s="73"/>
      <c r="H713" s="73"/>
      <c r="I713" s="73"/>
      <c r="J713" s="73"/>
      <c r="K713" s="73"/>
      <c r="L713" s="73"/>
      <c r="M713" s="73"/>
      <c r="N713" s="73"/>
      <c r="O713" s="73"/>
      <c r="P713" s="73"/>
      <c r="Q713" s="73"/>
      <c r="R713" s="73"/>
      <c r="S713" s="73"/>
      <c r="T713" s="73"/>
      <c r="U713" s="73"/>
      <c r="V713" s="73"/>
      <c r="W713" s="73"/>
      <c r="X713" s="73"/>
      <c r="Y713" s="73"/>
      <c r="Z713" s="73"/>
      <c r="AA713" s="75"/>
      <c r="AB713" s="75"/>
      <c r="AC713" s="55"/>
      <c r="AD713" s="89"/>
      <c r="AE713" s="89"/>
      <c r="AF713" s="89"/>
      <c r="AG713" s="91"/>
      <c r="AH713" s="48"/>
      <c r="AI713" s="39"/>
      <c r="AK713" s="41"/>
    </row>
    <row r="714" spans="1:37" ht="21">
      <c r="A714" s="32" t="s">
        <v>2381</v>
      </c>
      <c r="B714" s="92" t="s">
        <v>14</v>
      </c>
      <c r="C714" s="93" t="s">
        <v>128</v>
      </c>
      <c r="D714" s="88" t="s">
        <v>38</v>
      </c>
      <c r="E714" s="73"/>
      <c r="F714" s="73"/>
      <c r="G714" s="73"/>
      <c r="H714" s="73"/>
      <c r="I714" s="73"/>
      <c r="J714" s="73"/>
      <c r="K714" s="73"/>
      <c r="L714" s="73"/>
      <c r="M714" s="73"/>
      <c r="N714" s="73"/>
      <c r="O714" s="73"/>
      <c r="P714" s="73"/>
      <c r="Q714" s="73"/>
      <c r="R714" s="73"/>
      <c r="S714" s="73"/>
      <c r="T714" s="73"/>
      <c r="U714" s="73"/>
      <c r="V714" s="73"/>
      <c r="W714" s="73"/>
      <c r="X714" s="73"/>
      <c r="Y714" s="73"/>
      <c r="Z714" s="73"/>
      <c r="AA714" s="75"/>
      <c r="AB714" s="75"/>
      <c r="AC714" s="55"/>
      <c r="AD714" s="89"/>
      <c r="AE714" s="89"/>
      <c r="AF714" s="89"/>
      <c r="AG714" s="57"/>
      <c r="AH714" s="58"/>
      <c r="AI714" s="39"/>
      <c r="AK714" s="41"/>
    </row>
    <row r="715" spans="1:37" ht="21">
      <c r="A715" s="32" t="s">
        <v>2382</v>
      </c>
      <c r="B715" s="94" t="s">
        <v>383</v>
      </c>
      <c r="C715" s="95" t="s">
        <v>111</v>
      </c>
      <c r="D715" s="88"/>
      <c r="E715" s="73"/>
      <c r="F715" s="73"/>
      <c r="G715" s="73"/>
      <c r="H715" s="73"/>
      <c r="I715" s="73"/>
      <c r="J715" s="73"/>
      <c r="K715" s="73"/>
      <c r="L715" s="73"/>
      <c r="M715" s="73"/>
      <c r="N715" s="73"/>
      <c r="O715" s="73"/>
      <c r="P715" s="73"/>
      <c r="Q715" s="73"/>
      <c r="R715" s="73"/>
      <c r="S715" s="73"/>
      <c r="T715" s="73"/>
      <c r="U715" s="73"/>
      <c r="V715" s="73"/>
      <c r="W715" s="73"/>
      <c r="X715" s="73"/>
      <c r="Y715" s="73"/>
      <c r="Z715" s="73"/>
      <c r="AA715" s="75"/>
      <c r="AB715" s="75"/>
      <c r="AC715" s="55"/>
      <c r="AD715" s="89"/>
      <c r="AE715" s="89"/>
      <c r="AF715" s="89"/>
      <c r="AG715" s="91"/>
      <c r="AH715" s="48"/>
      <c r="AI715" s="39"/>
      <c r="AK715" s="41"/>
    </row>
    <row r="716" spans="1:37" ht="21">
      <c r="A716" s="133" t="s">
        <v>2383</v>
      </c>
      <c r="B716" s="92" t="s">
        <v>14</v>
      </c>
      <c r="C716" s="93" t="s">
        <v>112</v>
      </c>
      <c r="D716" s="88" t="s">
        <v>38</v>
      </c>
      <c r="E716" s="73"/>
      <c r="F716" s="73"/>
      <c r="G716" s="73"/>
      <c r="H716" s="73"/>
      <c r="I716" s="73"/>
      <c r="J716" s="73"/>
      <c r="K716" s="73"/>
      <c r="L716" s="73"/>
      <c r="M716" s="73"/>
      <c r="N716" s="73"/>
      <c r="O716" s="73"/>
      <c r="P716" s="73"/>
      <c r="Q716" s="73"/>
      <c r="R716" s="73"/>
      <c r="S716" s="73"/>
      <c r="T716" s="73"/>
      <c r="U716" s="73"/>
      <c r="V716" s="73"/>
      <c r="W716" s="73"/>
      <c r="X716" s="73"/>
      <c r="Y716" s="73"/>
      <c r="Z716" s="73"/>
      <c r="AA716" s="75"/>
      <c r="AB716" s="75"/>
      <c r="AC716" s="55"/>
      <c r="AD716" s="89"/>
      <c r="AE716" s="89"/>
      <c r="AF716" s="89"/>
      <c r="AG716" s="57"/>
      <c r="AH716" s="58"/>
      <c r="AI716" s="39"/>
      <c r="AK716" s="41"/>
    </row>
    <row r="717" spans="1:37" ht="21">
      <c r="A717" s="32" t="s">
        <v>2384</v>
      </c>
      <c r="B717" s="94" t="s">
        <v>384</v>
      </c>
      <c r="C717" s="95" t="s">
        <v>113</v>
      </c>
      <c r="D717" s="88"/>
      <c r="E717" s="73"/>
      <c r="F717" s="73"/>
      <c r="G717" s="73"/>
      <c r="H717" s="73"/>
      <c r="I717" s="73"/>
      <c r="J717" s="73"/>
      <c r="K717" s="73"/>
      <c r="L717" s="73"/>
      <c r="M717" s="73"/>
      <c r="N717" s="73"/>
      <c r="O717" s="73"/>
      <c r="P717" s="73"/>
      <c r="Q717" s="73"/>
      <c r="R717" s="73"/>
      <c r="S717" s="73"/>
      <c r="T717" s="73"/>
      <c r="U717" s="73"/>
      <c r="V717" s="73"/>
      <c r="W717" s="73"/>
      <c r="X717" s="73"/>
      <c r="Y717" s="73"/>
      <c r="Z717" s="73"/>
      <c r="AA717" s="75"/>
      <c r="AB717" s="75"/>
      <c r="AC717" s="55"/>
      <c r="AD717" s="89"/>
      <c r="AE717" s="89"/>
      <c r="AF717" s="89"/>
      <c r="AG717" s="91"/>
      <c r="AH717" s="48"/>
      <c r="AI717" s="39"/>
      <c r="AK717" s="41"/>
    </row>
    <row r="718" spans="1:37" ht="21">
      <c r="A718" s="32" t="s">
        <v>2385</v>
      </c>
      <c r="B718" s="94" t="s">
        <v>104</v>
      </c>
      <c r="C718" s="95" t="s">
        <v>374</v>
      </c>
      <c r="D718" s="88"/>
      <c r="E718" s="73"/>
      <c r="F718" s="73"/>
      <c r="G718" s="73"/>
      <c r="H718" s="73"/>
      <c r="I718" s="73"/>
      <c r="J718" s="73"/>
      <c r="K718" s="73"/>
      <c r="L718" s="73"/>
      <c r="M718" s="73"/>
      <c r="N718" s="73"/>
      <c r="O718" s="73"/>
      <c r="P718" s="73"/>
      <c r="Q718" s="73"/>
      <c r="R718" s="73"/>
      <c r="S718" s="73"/>
      <c r="T718" s="73"/>
      <c r="U718" s="73"/>
      <c r="V718" s="73"/>
      <c r="W718" s="73"/>
      <c r="X718" s="73"/>
      <c r="Y718" s="73"/>
      <c r="Z718" s="73"/>
      <c r="AA718" s="75"/>
      <c r="AB718" s="75"/>
      <c r="AC718" s="55"/>
      <c r="AD718" s="89"/>
      <c r="AE718" s="89"/>
      <c r="AF718" s="89"/>
      <c r="AG718" s="91"/>
      <c r="AH718" s="48"/>
      <c r="AI718" s="39"/>
      <c r="AK718" s="41"/>
    </row>
    <row r="719" spans="1:37" ht="21">
      <c r="A719" s="32" t="s">
        <v>2386</v>
      </c>
      <c r="B719" s="92" t="s">
        <v>14</v>
      </c>
      <c r="C719" s="93" t="s">
        <v>385</v>
      </c>
      <c r="D719" s="88" t="s">
        <v>38</v>
      </c>
      <c r="E719" s="73"/>
      <c r="F719" s="73"/>
      <c r="G719" s="73"/>
      <c r="H719" s="73"/>
      <c r="I719" s="73"/>
      <c r="J719" s="73"/>
      <c r="K719" s="73"/>
      <c r="L719" s="73"/>
      <c r="M719" s="73"/>
      <c r="N719" s="73"/>
      <c r="O719" s="73"/>
      <c r="P719" s="73"/>
      <c r="Q719" s="73"/>
      <c r="R719" s="73"/>
      <c r="S719" s="73"/>
      <c r="T719" s="73"/>
      <c r="U719" s="73"/>
      <c r="V719" s="73"/>
      <c r="W719" s="73"/>
      <c r="X719" s="73"/>
      <c r="Y719" s="73"/>
      <c r="Z719" s="73"/>
      <c r="AA719" s="75"/>
      <c r="AB719" s="75"/>
      <c r="AC719" s="55"/>
      <c r="AD719" s="89"/>
      <c r="AE719" s="89"/>
      <c r="AF719" s="89"/>
      <c r="AG719" s="57"/>
      <c r="AH719" s="58"/>
      <c r="AI719" s="39"/>
      <c r="AK719" s="41"/>
    </row>
    <row r="720" spans="1:37" ht="21">
      <c r="A720" s="32" t="s">
        <v>2387</v>
      </c>
      <c r="B720" s="92" t="s">
        <v>15</v>
      </c>
      <c r="C720" s="93" t="s">
        <v>112</v>
      </c>
      <c r="D720" s="88" t="s">
        <v>38</v>
      </c>
      <c r="E720" s="73"/>
      <c r="F720" s="73"/>
      <c r="G720" s="73"/>
      <c r="H720" s="73"/>
      <c r="I720" s="73"/>
      <c r="J720" s="73"/>
      <c r="K720" s="73"/>
      <c r="L720" s="73"/>
      <c r="M720" s="73"/>
      <c r="N720" s="73"/>
      <c r="O720" s="73"/>
      <c r="P720" s="73"/>
      <c r="Q720" s="73"/>
      <c r="R720" s="73"/>
      <c r="S720" s="73"/>
      <c r="T720" s="73"/>
      <c r="U720" s="73"/>
      <c r="V720" s="73"/>
      <c r="W720" s="73"/>
      <c r="X720" s="73"/>
      <c r="Y720" s="73"/>
      <c r="Z720" s="73"/>
      <c r="AA720" s="75"/>
      <c r="AB720" s="75"/>
      <c r="AC720" s="55"/>
      <c r="AD720" s="89"/>
      <c r="AE720" s="89"/>
      <c r="AF720" s="89"/>
      <c r="AG720" s="57"/>
      <c r="AH720" s="58"/>
      <c r="AI720" s="39"/>
      <c r="AK720" s="41"/>
    </row>
    <row r="721" spans="1:37" ht="21">
      <c r="A721" s="32" t="s">
        <v>2388</v>
      </c>
      <c r="B721" s="92" t="s">
        <v>386</v>
      </c>
      <c r="C721" s="93" t="s">
        <v>387</v>
      </c>
      <c r="D721" s="88" t="s">
        <v>38</v>
      </c>
      <c r="E721" s="73"/>
      <c r="F721" s="73"/>
      <c r="G721" s="73"/>
      <c r="H721" s="73"/>
      <c r="I721" s="73"/>
      <c r="J721" s="73"/>
      <c r="K721" s="73"/>
      <c r="L721" s="73"/>
      <c r="M721" s="73"/>
      <c r="N721" s="73"/>
      <c r="O721" s="73"/>
      <c r="P721" s="73"/>
      <c r="Q721" s="73"/>
      <c r="R721" s="73"/>
      <c r="S721" s="73"/>
      <c r="T721" s="73"/>
      <c r="U721" s="73"/>
      <c r="V721" s="73"/>
      <c r="W721" s="73"/>
      <c r="X721" s="73"/>
      <c r="Y721" s="73"/>
      <c r="Z721" s="73"/>
      <c r="AA721" s="75"/>
      <c r="AB721" s="75"/>
      <c r="AC721" s="55"/>
      <c r="AD721" s="89"/>
      <c r="AE721" s="89"/>
      <c r="AF721" s="89"/>
      <c r="AG721" s="57"/>
      <c r="AH721" s="58"/>
      <c r="AI721" s="39"/>
      <c r="AK721" s="41"/>
    </row>
    <row r="722" spans="1:37" ht="27.75">
      <c r="A722" s="32" t="s">
        <v>2389</v>
      </c>
      <c r="B722" s="86">
        <v>12.02</v>
      </c>
      <c r="C722" s="87" t="s">
        <v>2586</v>
      </c>
      <c r="D722" s="88" t="s">
        <v>38</v>
      </c>
      <c r="E722" s="73"/>
      <c r="F722" s="73"/>
      <c r="G722" s="73"/>
      <c r="H722" s="73"/>
      <c r="I722" s="73"/>
      <c r="J722" s="73"/>
      <c r="K722" s="73"/>
      <c r="L722" s="73"/>
      <c r="M722" s="73"/>
      <c r="N722" s="73"/>
      <c r="O722" s="73"/>
      <c r="P722" s="73"/>
      <c r="Q722" s="73"/>
      <c r="R722" s="73"/>
      <c r="S722" s="73"/>
      <c r="T722" s="73"/>
      <c r="U722" s="73"/>
      <c r="V722" s="73"/>
      <c r="W722" s="73"/>
      <c r="X722" s="73"/>
      <c r="Y722" s="73"/>
      <c r="Z722" s="73"/>
      <c r="AA722" s="75"/>
      <c r="AB722" s="75"/>
      <c r="AC722" s="55"/>
      <c r="AD722" s="89"/>
      <c r="AE722" s="89"/>
      <c r="AF722" s="89"/>
      <c r="AG722" s="57"/>
      <c r="AH722" s="58"/>
      <c r="AI722" s="39"/>
      <c r="AK722" s="41"/>
    </row>
    <row r="723" spans="1:37" ht="21">
      <c r="A723" s="32" t="s">
        <v>2390</v>
      </c>
      <c r="B723" s="86">
        <v>12.03</v>
      </c>
      <c r="C723" s="87" t="s">
        <v>468</v>
      </c>
      <c r="D723" s="88" t="s">
        <v>38</v>
      </c>
      <c r="E723" s="73"/>
      <c r="F723" s="73"/>
      <c r="G723" s="73"/>
      <c r="H723" s="73"/>
      <c r="I723" s="73"/>
      <c r="J723" s="73"/>
      <c r="K723" s="73"/>
      <c r="L723" s="73"/>
      <c r="M723" s="73"/>
      <c r="N723" s="73"/>
      <c r="O723" s="73"/>
      <c r="P723" s="73"/>
      <c r="Q723" s="73"/>
      <c r="R723" s="73"/>
      <c r="S723" s="73"/>
      <c r="T723" s="73"/>
      <c r="U723" s="73"/>
      <c r="V723" s="73"/>
      <c r="W723" s="73"/>
      <c r="X723" s="73"/>
      <c r="Y723" s="73"/>
      <c r="Z723" s="73"/>
      <c r="AA723" s="75"/>
      <c r="AB723" s="75"/>
      <c r="AC723" s="55"/>
      <c r="AD723" s="89"/>
      <c r="AE723" s="89"/>
      <c r="AF723" s="89"/>
      <c r="AG723" s="57"/>
      <c r="AH723" s="58"/>
      <c r="AI723" s="39"/>
      <c r="AK723" s="41"/>
    </row>
    <row r="724" spans="1:37" ht="40.5">
      <c r="A724" s="32" t="s">
        <v>2391</v>
      </c>
      <c r="B724" s="86">
        <v>12.04</v>
      </c>
      <c r="C724" s="87" t="s">
        <v>2587</v>
      </c>
      <c r="D724" s="88" t="s">
        <v>38</v>
      </c>
      <c r="E724" s="73"/>
      <c r="F724" s="73"/>
      <c r="G724" s="73"/>
      <c r="H724" s="73"/>
      <c r="I724" s="73"/>
      <c r="J724" s="73"/>
      <c r="K724" s="73"/>
      <c r="L724" s="73"/>
      <c r="M724" s="73"/>
      <c r="N724" s="73"/>
      <c r="O724" s="73"/>
      <c r="P724" s="73"/>
      <c r="Q724" s="73"/>
      <c r="R724" s="73"/>
      <c r="S724" s="73"/>
      <c r="T724" s="73"/>
      <c r="U724" s="73"/>
      <c r="V724" s="73"/>
      <c r="W724" s="73"/>
      <c r="X724" s="73"/>
      <c r="Y724" s="73"/>
      <c r="Z724" s="73"/>
      <c r="AA724" s="75"/>
      <c r="AB724" s="75"/>
      <c r="AC724" s="55"/>
      <c r="AD724" s="89"/>
      <c r="AE724" s="89"/>
      <c r="AF724" s="89"/>
      <c r="AG724" s="57"/>
      <c r="AH724" s="58"/>
      <c r="AI724" s="39"/>
      <c r="AK724" s="41"/>
    </row>
    <row r="725" spans="1:37" ht="27.75">
      <c r="A725" s="32" t="s">
        <v>2392</v>
      </c>
      <c r="B725" s="86">
        <v>12.05</v>
      </c>
      <c r="C725" s="87" t="s">
        <v>469</v>
      </c>
      <c r="D725" s="88" t="s">
        <v>38</v>
      </c>
      <c r="E725" s="73"/>
      <c r="F725" s="73"/>
      <c r="G725" s="73"/>
      <c r="H725" s="73"/>
      <c r="I725" s="73"/>
      <c r="J725" s="73"/>
      <c r="K725" s="73"/>
      <c r="L725" s="73"/>
      <c r="M725" s="73"/>
      <c r="N725" s="73"/>
      <c r="O725" s="73"/>
      <c r="P725" s="73"/>
      <c r="Q725" s="73"/>
      <c r="R725" s="73"/>
      <c r="S725" s="73"/>
      <c r="T725" s="73"/>
      <c r="U725" s="73"/>
      <c r="V725" s="73"/>
      <c r="W725" s="73"/>
      <c r="X725" s="73"/>
      <c r="Y725" s="73"/>
      <c r="Z725" s="73"/>
      <c r="AA725" s="75"/>
      <c r="AB725" s="75"/>
      <c r="AC725" s="55"/>
      <c r="AD725" s="89"/>
      <c r="AE725" s="89"/>
      <c r="AF725" s="89"/>
      <c r="AG725" s="57"/>
      <c r="AH725" s="58"/>
      <c r="AI725" s="39"/>
      <c r="AK725" s="41"/>
    </row>
    <row r="726" spans="1:37" ht="21">
      <c r="A726" s="32" t="s">
        <v>2393</v>
      </c>
      <c r="B726" s="86" t="s">
        <v>1919</v>
      </c>
      <c r="C726" s="87" t="s">
        <v>470</v>
      </c>
      <c r="D726" s="88" t="s">
        <v>38</v>
      </c>
      <c r="E726" s="73"/>
      <c r="F726" s="73"/>
      <c r="G726" s="73"/>
      <c r="H726" s="73"/>
      <c r="I726" s="73"/>
      <c r="J726" s="73"/>
      <c r="K726" s="73"/>
      <c r="L726" s="73"/>
      <c r="M726" s="73"/>
      <c r="N726" s="73"/>
      <c r="O726" s="73"/>
      <c r="P726" s="73"/>
      <c r="Q726" s="73"/>
      <c r="R726" s="73"/>
      <c r="S726" s="73"/>
      <c r="T726" s="73"/>
      <c r="U726" s="73"/>
      <c r="V726" s="73"/>
      <c r="W726" s="73"/>
      <c r="X726" s="73"/>
      <c r="Y726" s="73"/>
      <c r="Z726" s="73"/>
      <c r="AA726" s="75"/>
      <c r="AB726" s="75"/>
      <c r="AC726" s="55"/>
      <c r="AD726" s="89"/>
      <c r="AE726" s="89"/>
      <c r="AF726" s="89"/>
      <c r="AG726" s="57"/>
      <c r="AH726" s="58"/>
      <c r="AI726" s="39"/>
      <c r="AK726" s="41"/>
    </row>
    <row r="727" spans="1:37" ht="21">
      <c r="A727" s="32" t="s">
        <v>2394</v>
      </c>
      <c r="B727" s="94" t="s">
        <v>15</v>
      </c>
      <c r="C727" s="95" t="s">
        <v>471</v>
      </c>
      <c r="D727" s="88" t="s">
        <v>38</v>
      </c>
      <c r="E727" s="73"/>
      <c r="F727" s="73"/>
      <c r="G727" s="73"/>
      <c r="H727" s="73"/>
      <c r="I727" s="73"/>
      <c r="J727" s="73"/>
      <c r="K727" s="73"/>
      <c r="L727" s="73"/>
      <c r="M727" s="73"/>
      <c r="N727" s="73"/>
      <c r="O727" s="73"/>
      <c r="P727" s="73"/>
      <c r="Q727" s="73"/>
      <c r="R727" s="73"/>
      <c r="S727" s="73"/>
      <c r="T727" s="73"/>
      <c r="U727" s="73"/>
      <c r="V727" s="73"/>
      <c r="W727" s="73"/>
      <c r="X727" s="73"/>
      <c r="Y727" s="73"/>
      <c r="Z727" s="73"/>
      <c r="AA727" s="75"/>
      <c r="AB727" s="75"/>
      <c r="AC727" s="55"/>
      <c r="AD727" s="89"/>
      <c r="AE727" s="89"/>
      <c r="AF727" s="89"/>
      <c r="AG727" s="57"/>
      <c r="AH727" s="58"/>
      <c r="AI727" s="39"/>
      <c r="AK727" s="41"/>
    </row>
    <row r="728" spans="1:37" ht="21">
      <c r="A728" s="32" t="s">
        <v>2395</v>
      </c>
      <c r="B728" s="94" t="s">
        <v>40</v>
      </c>
      <c r="C728" s="95" t="s">
        <v>472</v>
      </c>
      <c r="D728" s="88" t="s">
        <v>38</v>
      </c>
      <c r="E728" s="73"/>
      <c r="F728" s="73"/>
      <c r="G728" s="73"/>
      <c r="H728" s="73"/>
      <c r="I728" s="73"/>
      <c r="J728" s="73"/>
      <c r="K728" s="73"/>
      <c r="L728" s="73"/>
      <c r="M728" s="73"/>
      <c r="N728" s="73"/>
      <c r="O728" s="73"/>
      <c r="P728" s="73"/>
      <c r="Q728" s="73"/>
      <c r="R728" s="73"/>
      <c r="S728" s="73"/>
      <c r="T728" s="73"/>
      <c r="U728" s="73"/>
      <c r="V728" s="73"/>
      <c r="W728" s="73"/>
      <c r="X728" s="73"/>
      <c r="Y728" s="73"/>
      <c r="Z728" s="73"/>
      <c r="AA728" s="75"/>
      <c r="AB728" s="75"/>
      <c r="AC728" s="55"/>
      <c r="AD728" s="89"/>
      <c r="AE728" s="89"/>
      <c r="AF728" s="89"/>
      <c r="AG728" s="57"/>
      <c r="AH728" s="58"/>
      <c r="AI728" s="39"/>
      <c r="AK728" s="41"/>
    </row>
    <row r="729" spans="1:37" ht="21">
      <c r="A729" s="32" t="s">
        <v>2396</v>
      </c>
      <c r="B729" s="94" t="s">
        <v>48</v>
      </c>
      <c r="C729" s="95" t="s">
        <v>473</v>
      </c>
      <c r="D729" s="88" t="s">
        <v>38</v>
      </c>
      <c r="E729" s="73"/>
      <c r="F729" s="73"/>
      <c r="G729" s="73"/>
      <c r="H729" s="73"/>
      <c r="I729" s="73"/>
      <c r="J729" s="73"/>
      <c r="K729" s="73"/>
      <c r="L729" s="73"/>
      <c r="M729" s="73"/>
      <c r="N729" s="73"/>
      <c r="O729" s="73"/>
      <c r="P729" s="73"/>
      <c r="Q729" s="73"/>
      <c r="R729" s="73"/>
      <c r="S729" s="73"/>
      <c r="T729" s="73"/>
      <c r="U729" s="73"/>
      <c r="V729" s="73"/>
      <c r="W729" s="73"/>
      <c r="X729" s="73"/>
      <c r="Y729" s="73"/>
      <c r="Z729" s="73"/>
      <c r="AA729" s="75"/>
      <c r="AB729" s="75"/>
      <c r="AC729" s="55"/>
      <c r="AD729" s="89"/>
      <c r="AE729" s="89"/>
      <c r="AF729" s="89"/>
      <c r="AG729" s="57"/>
      <c r="AH729" s="58"/>
      <c r="AI729" s="39"/>
      <c r="AK729" s="41"/>
    </row>
    <row r="730" spans="1:37" ht="27.75">
      <c r="A730" s="32" t="s">
        <v>2397</v>
      </c>
      <c r="B730" s="86">
        <v>12.07</v>
      </c>
      <c r="C730" s="87" t="s">
        <v>474</v>
      </c>
      <c r="D730" s="88"/>
      <c r="E730" s="73"/>
      <c r="F730" s="73"/>
      <c r="G730" s="73"/>
      <c r="H730" s="73"/>
      <c r="I730" s="73"/>
      <c r="J730" s="73"/>
      <c r="K730" s="73"/>
      <c r="L730" s="73"/>
      <c r="M730" s="73"/>
      <c r="N730" s="73"/>
      <c r="O730" s="73"/>
      <c r="P730" s="73"/>
      <c r="Q730" s="73"/>
      <c r="R730" s="73"/>
      <c r="S730" s="73"/>
      <c r="T730" s="73"/>
      <c r="U730" s="73"/>
      <c r="V730" s="73"/>
      <c r="W730" s="73"/>
      <c r="X730" s="73"/>
      <c r="Y730" s="73"/>
      <c r="Z730" s="73"/>
      <c r="AA730" s="75"/>
      <c r="AB730" s="75"/>
      <c r="AC730" s="55"/>
      <c r="AD730" s="89"/>
      <c r="AE730" s="89"/>
      <c r="AF730" s="89"/>
      <c r="AG730" s="91"/>
      <c r="AH730" s="48"/>
      <c r="AI730" s="39"/>
      <c r="AK730" s="41"/>
    </row>
    <row r="731" spans="1:37" ht="21">
      <c r="A731" s="32" t="s">
        <v>2398</v>
      </c>
      <c r="B731" s="92" t="s">
        <v>475</v>
      </c>
      <c r="C731" s="93" t="s">
        <v>476</v>
      </c>
      <c r="D731" s="88" t="s">
        <v>38</v>
      </c>
      <c r="E731" s="73"/>
      <c r="F731" s="73"/>
      <c r="G731" s="73"/>
      <c r="H731" s="73"/>
      <c r="I731" s="73"/>
      <c r="J731" s="73"/>
      <c r="K731" s="73"/>
      <c r="L731" s="73"/>
      <c r="M731" s="73"/>
      <c r="N731" s="73"/>
      <c r="O731" s="73"/>
      <c r="P731" s="73"/>
      <c r="Q731" s="73"/>
      <c r="R731" s="73"/>
      <c r="S731" s="73"/>
      <c r="T731" s="73"/>
      <c r="U731" s="73"/>
      <c r="V731" s="73"/>
      <c r="W731" s="73"/>
      <c r="X731" s="73"/>
      <c r="Y731" s="73"/>
      <c r="Z731" s="73"/>
      <c r="AA731" s="75"/>
      <c r="AB731" s="75"/>
      <c r="AC731" s="55"/>
      <c r="AD731" s="89"/>
      <c r="AE731" s="89"/>
      <c r="AF731" s="89"/>
      <c r="AG731" s="57"/>
      <c r="AH731" s="58"/>
      <c r="AI731" s="39"/>
      <c r="AK731" s="41"/>
    </row>
    <row r="732" spans="1:37" ht="21">
      <c r="A732" s="32" t="s">
        <v>2399</v>
      </c>
      <c r="B732" s="92" t="s">
        <v>477</v>
      </c>
      <c r="C732" s="93" t="s">
        <v>394</v>
      </c>
      <c r="D732" s="88" t="s">
        <v>38</v>
      </c>
      <c r="E732" s="73"/>
      <c r="F732" s="73"/>
      <c r="G732" s="73"/>
      <c r="H732" s="73"/>
      <c r="I732" s="73"/>
      <c r="J732" s="73"/>
      <c r="K732" s="73"/>
      <c r="L732" s="73"/>
      <c r="M732" s="73"/>
      <c r="N732" s="73"/>
      <c r="O732" s="73"/>
      <c r="P732" s="73"/>
      <c r="Q732" s="73"/>
      <c r="R732" s="73"/>
      <c r="S732" s="73"/>
      <c r="T732" s="73"/>
      <c r="U732" s="73"/>
      <c r="V732" s="73"/>
      <c r="W732" s="73"/>
      <c r="X732" s="73"/>
      <c r="Y732" s="73"/>
      <c r="Z732" s="73"/>
      <c r="AA732" s="75"/>
      <c r="AB732" s="75"/>
      <c r="AC732" s="55"/>
      <c r="AD732" s="89"/>
      <c r="AE732" s="89"/>
      <c r="AF732" s="89"/>
      <c r="AG732" s="57"/>
      <c r="AH732" s="58"/>
      <c r="AI732" s="39"/>
      <c r="AK732" s="41"/>
    </row>
    <row r="733" spans="1:37" ht="27.75">
      <c r="A733" s="32" t="s">
        <v>2400</v>
      </c>
      <c r="B733" s="86">
        <v>12.08</v>
      </c>
      <c r="C733" s="87" t="s">
        <v>478</v>
      </c>
      <c r="D733" s="88"/>
      <c r="E733" s="73"/>
      <c r="F733" s="73"/>
      <c r="G733" s="73"/>
      <c r="H733" s="73"/>
      <c r="I733" s="73"/>
      <c r="J733" s="73"/>
      <c r="K733" s="73"/>
      <c r="L733" s="73"/>
      <c r="M733" s="73"/>
      <c r="N733" s="73"/>
      <c r="O733" s="73"/>
      <c r="P733" s="73"/>
      <c r="Q733" s="73"/>
      <c r="R733" s="73"/>
      <c r="S733" s="73"/>
      <c r="T733" s="73"/>
      <c r="U733" s="73"/>
      <c r="V733" s="73"/>
      <c r="W733" s="73"/>
      <c r="X733" s="73"/>
      <c r="Y733" s="73"/>
      <c r="Z733" s="73"/>
      <c r="AA733" s="75"/>
      <c r="AB733" s="75"/>
      <c r="AC733" s="55"/>
      <c r="AD733" s="89"/>
      <c r="AE733" s="89"/>
      <c r="AF733" s="89"/>
      <c r="AG733" s="91"/>
      <c r="AH733" s="48"/>
      <c r="AI733" s="39"/>
      <c r="AK733" s="41"/>
    </row>
    <row r="734" spans="1:37" ht="21">
      <c r="A734" s="32" t="s">
        <v>2401</v>
      </c>
      <c r="B734" s="131" t="s">
        <v>14</v>
      </c>
      <c r="C734" s="95" t="s">
        <v>400</v>
      </c>
      <c r="D734" s="88"/>
      <c r="E734" s="73"/>
      <c r="F734" s="73"/>
      <c r="G734" s="73"/>
      <c r="H734" s="73"/>
      <c r="I734" s="73"/>
      <c r="J734" s="73"/>
      <c r="K734" s="73"/>
      <c r="L734" s="73"/>
      <c r="M734" s="73"/>
      <c r="N734" s="73"/>
      <c r="O734" s="73"/>
      <c r="P734" s="73"/>
      <c r="Q734" s="73"/>
      <c r="R734" s="73"/>
      <c r="S734" s="73"/>
      <c r="T734" s="73"/>
      <c r="U734" s="73"/>
      <c r="V734" s="73"/>
      <c r="W734" s="73"/>
      <c r="X734" s="73"/>
      <c r="Y734" s="73"/>
      <c r="Z734" s="73"/>
      <c r="AA734" s="75"/>
      <c r="AB734" s="75"/>
      <c r="AC734" s="55"/>
      <c r="AD734" s="89"/>
      <c r="AE734" s="89"/>
      <c r="AF734" s="89"/>
      <c r="AG734" s="91"/>
      <c r="AH734" s="48"/>
      <c r="AI734" s="39"/>
      <c r="AK734" s="41"/>
    </row>
    <row r="735" spans="1:37" ht="21">
      <c r="A735" s="32" t="s">
        <v>2402</v>
      </c>
      <c r="B735" s="92" t="s">
        <v>401</v>
      </c>
      <c r="C735" s="93" t="s">
        <v>402</v>
      </c>
      <c r="D735" s="88" t="s">
        <v>38</v>
      </c>
      <c r="E735" s="73"/>
      <c r="F735" s="73"/>
      <c r="G735" s="73"/>
      <c r="H735" s="73"/>
      <c r="I735" s="73"/>
      <c r="J735" s="73"/>
      <c r="K735" s="73"/>
      <c r="L735" s="73"/>
      <c r="M735" s="73"/>
      <c r="N735" s="73"/>
      <c r="O735" s="73"/>
      <c r="P735" s="73"/>
      <c r="Q735" s="73"/>
      <c r="R735" s="73"/>
      <c r="S735" s="73"/>
      <c r="T735" s="73"/>
      <c r="U735" s="73"/>
      <c r="V735" s="73"/>
      <c r="W735" s="73"/>
      <c r="X735" s="73"/>
      <c r="Y735" s="73"/>
      <c r="Z735" s="73"/>
      <c r="AA735" s="75"/>
      <c r="AB735" s="75"/>
      <c r="AC735" s="55"/>
      <c r="AD735" s="89"/>
      <c r="AE735" s="89"/>
      <c r="AF735" s="89"/>
      <c r="AG735" s="57"/>
      <c r="AH735" s="58"/>
      <c r="AI735" s="39"/>
      <c r="AK735" s="41"/>
    </row>
    <row r="736" spans="1:37" ht="21">
      <c r="A736" s="32" t="s">
        <v>2403</v>
      </c>
      <c r="B736" s="92" t="s">
        <v>403</v>
      </c>
      <c r="C736" s="93" t="s">
        <v>404</v>
      </c>
      <c r="D736" s="88" t="s">
        <v>38</v>
      </c>
      <c r="E736" s="73"/>
      <c r="F736" s="73"/>
      <c r="G736" s="73"/>
      <c r="H736" s="73"/>
      <c r="I736" s="73"/>
      <c r="J736" s="73"/>
      <c r="K736" s="73"/>
      <c r="L736" s="73"/>
      <c r="M736" s="73"/>
      <c r="N736" s="73"/>
      <c r="O736" s="73"/>
      <c r="P736" s="73"/>
      <c r="Q736" s="73"/>
      <c r="R736" s="73"/>
      <c r="S736" s="73"/>
      <c r="T736" s="73"/>
      <c r="U736" s="73"/>
      <c r="V736" s="73"/>
      <c r="W736" s="73"/>
      <c r="X736" s="73"/>
      <c r="Y736" s="73"/>
      <c r="Z736" s="73"/>
      <c r="AA736" s="75"/>
      <c r="AB736" s="75"/>
      <c r="AC736" s="55"/>
      <c r="AD736" s="89"/>
      <c r="AE736" s="89"/>
      <c r="AF736" s="89"/>
      <c r="AG736" s="57"/>
      <c r="AH736" s="58"/>
      <c r="AI736" s="39"/>
      <c r="AK736" s="41"/>
    </row>
    <row r="737" spans="1:37" ht="21">
      <c r="A737" s="32" t="s">
        <v>2404</v>
      </c>
      <c r="B737" s="131" t="s">
        <v>15</v>
      </c>
      <c r="C737" s="95" t="s">
        <v>405</v>
      </c>
      <c r="D737" s="88"/>
      <c r="E737" s="73"/>
      <c r="F737" s="73"/>
      <c r="G737" s="73"/>
      <c r="H737" s="73"/>
      <c r="I737" s="73"/>
      <c r="J737" s="73"/>
      <c r="K737" s="73"/>
      <c r="L737" s="73"/>
      <c r="M737" s="73"/>
      <c r="N737" s="73"/>
      <c r="O737" s="73"/>
      <c r="P737" s="73"/>
      <c r="Q737" s="73"/>
      <c r="R737" s="73"/>
      <c r="S737" s="73"/>
      <c r="T737" s="73"/>
      <c r="U737" s="73"/>
      <c r="V737" s="73"/>
      <c r="W737" s="73"/>
      <c r="X737" s="73"/>
      <c r="Y737" s="73"/>
      <c r="Z737" s="73"/>
      <c r="AA737" s="75"/>
      <c r="AB737" s="75"/>
      <c r="AC737" s="55"/>
      <c r="AD737" s="89"/>
      <c r="AE737" s="89"/>
      <c r="AF737" s="89"/>
      <c r="AG737" s="91"/>
      <c r="AH737" s="48"/>
      <c r="AI737" s="39"/>
      <c r="AK737" s="41"/>
    </row>
    <row r="738" spans="1:37" ht="21">
      <c r="A738" s="32" t="s">
        <v>2405</v>
      </c>
      <c r="B738" s="92" t="s">
        <v>401</v>
      </c>
      <c r="C738" s="93" t="s">
        <v>402</v>
      </c>
      <c r="D738" s="88" t="s">
        <v>38</v>
      </c>
      <c r="E738" s="73"/>
      <c r="F738" s="73"/>
      <c r="G738" s="73"/>
      <c r="H738" s="73"/>
      <c r="I738" s="73"/>
      <c r="J738" s="73"/>
      <c r="K738" s="73"/>
      <c r="L738" s="73"/>
      <c r="M738" s="73"/>
      <c r="N738" s="73"/>
      <c r="O738" s="73"/>
      <c r="P738" s="73"/>
      <c r="Q738" s="73"/>
      <c r="R738" s="73"/>
      <c r="S738" s="73"/>
      <c r="T738" s="73"/>
      <c r="U738" s="73"/>
      <c r="V738" s="73"/>
      <c r="W738" s="73"/>
      <c r="X738" s="73"/>
      <c r="Y738" s="73"/>
      <c r="Z738" s="73"/>
      <c r="AA738" s="75"/>
      <c r="AB738" s="75"/>
      <c r="AC738" s="55"/>
      <c r="AD738" s="89"/>
      <c r="AE738" s="89"/>
      <c r="AF738" s="89"/>
      <c r="AG738" s="57"/>
      <c r="AH738" s="58"/>
      <c r="AI738" s="39"/>
      <c r="AK738" s="41"/>
    </row>
    <row r="739" spans="1:37" ht="21">
      <c r="A739" s="32" t="s">
        <v>2406</v>
      </c>
      <c r="B739" s="92" t="s">
        <v>403</v>
      </c>
      <c r="C739" s="93" t="s">
        <v>404</v>
      </c>
      <c r="D739" s="88" t="s">
        <v>38</v>
      </c>
      <c r="E739" s="73"/>
      <c r="F739" s="73"/>
      <c r="G739" s="73"/>
      <c r="H739" s="73"/>
      <c r="I739" s="73"/>
      <c r="J739" s="73"/>
      <c r="K739" s="73"/>
      <c r="L739" s="73"/>
      <c r="M739" s="73"/>
      <c r="N739" s="73"/>
      <c r="O739" s="73"/>
      <c r="P739" s="73"/>
      <c r="Q739" s="73"/>
      <c r="R739" s="73"/>
      <c r="S739" s="73"/>
      <c r="T739" s="73"/>
      <c r="U739" s="73"/>
      <c r="V739" s="73"/>
      <c r="W739" s="73"/>
      <c r="X739" s="73"/>
      <c r="Y739" s="73"/>
      <c r="Z739" s="73"/>
      <c r="AA739" s="75"/>
      <c r="AB739" s="75"/>
      <c r="AC739" s="55"/>
      <c r="AD739" s="89"/>
      <c r="AE739" s="89"/>
      <c r="AF739" s="89"/>
      <c r="AG739" s="57"/>
      <c r="AH739" s="58"/>
      <c r="AI739" s="39"/>
      <c r="AK739" s="41"/>
    </row>
    <row r="740" spans="1:37" ht="21">
      <c r="A740" s="32" t="s">
        <v>2407</v>
      </c>
      <c r="B740" s="94" t="s">
        <v>40</v>
      </c>
      <c r="C740" s="95" t="s">
        <v>406</v>
      </c>
      <c r="D740" s="88"/>
      <c r="E740" s="73"/>
      <c r="F740" s="73"/>
      <c r="G740" s="73"/>
      <c r="H740" s="73"/>
      <c r="I740" s="73"/>
      <c r="J740" s="73"/>
      <c r="K740" s="73"/>
      <c r="L740" s="73"/>
      <c r="M740" s="73"/>
      <c r="N740" s="73"/>
      <c r="O740" s="73"/>
      <c r="P740" s="73"/>
      <c r="Q740" s="73"/>
      <c r="R740" s="73"/>
      <c r="S740" s="73"/>
      <c r="T740" s="73"/>
      <c r="U740" s="73"/>
      <c r="V740" s="73"/>
      <c r="W740" s="73"/>
      <c r="X740" s="73"/>
      <c r="Y740" s="73"/>
      <c r="Z740" s="73"/>
      <c r="AA740" s="75"/>
      <c r="AB740" s="75"/>
      <c r="AC740" s="55"/>
      <c r="AD740" s="89"/>
      <c r="AE740" s="89"/>
      <c r="AF740" s="89"/>
      <c r="AG740" s="91"/>
      <c r="AH740" s="48"/>
      <c r="AI740" s="39"/>
      <c r="AK740" s="41"/>
    </row>
    <row r="741" spans="1:37" ht="21">
      <c r="A741" s="32" t="s">
        <v>2408</v>
      </c>
      <c r="B741" s="92" t="s">
        <v>401</v>
      </c>
      <c r="C741" s="93" t="s">
        <v>402</v>
      </c>
      <c r="D741" s="88" t="s">
        <v>38</v>
      </c>
      <c r="E741" s="73"/>
      <c r="F741" s="73"/>
      <c r="G741" s="73"/>
      <c r="H741" s="73"/>
      <c r="I741" s="73"/>
      <c r="J741" s="73"/>
      <c r="K741" s="73"/>
      <c r="L741" s="73"/>
      <c r="M741" s="73"/>
      <c r="N741" s="73"/>
      <c r="O741" s="73"/>
      <c r="P741" s="73"/>
      <c r="Q741" s="73"/>
      <c r="R741" s="73"/>
      <c r="S741" s="73"/>
      <c r="T741" s="73"/>
      <c r="U741" s="73"/>
      <c r="V741" s="73"/>
      <c r="W741" s="73"/>
      <c r="X741" s="73"/>
      <c r="Y741" s="73"/>
      <c r="Z741" s="73"/>
      <c r="AA741" s="75"/>
      <c r="AB741" s="75"/>
      <c r="AC741" s="55"/>
      <c r="AD741" s="89"/>
      <c r="AE741" s="89"/>
      <c r="AF741" s="89"/>
      <c r="AG741" s="57"/>
      <c r="AH741" s="58"/>
      <c r="AI741" s="39"/>
      <c r="AK741" s="41"/>
    </row>
    <row r="742" spans="1:37" ht="21">
      <c r="A742" s="32" t="s">
        <v>2409</v>
      </c>
      <c r="B742" s="92" t="s">
        <v>403</v>
      </c>
      <c r="C742" s="93" t="s">
        <v>404</v>
      </c>
      <c r="D742" s="88" t="s">
        <v>38</v>
      </c>
      <c r="E742" s="73"/>
      <c r="F742" s="73"/>
      <c r="G742" s="73"/>
      <c r="H742" s="73"/>
      <c r="I742" s="73"/>
      <c r="J742" s="73"/>
      <c r="K742" s="73"/>
      <c r="L742" s="73"/>
      <c r="M742" s="73"/>
      <c r="N742" s="73"/>
      <c r="O742" s="73"/>
      <c r="P742" s="73"/>
      <c r="Q742" s="73"/>
      <c r="R742" s="73"/>
      <c r="S742" s="73"/>
      <c r="T742" s="73"/>
      <c r="U742" s="73"/>
      <c r="V742" s="73"/>
      <c r="W742" s="73"/>
      <c r="X742" s="73"/>
      <c r="Y742" s="73"/>
      <c r="Z742" s="73"/>
      <c r="AA742" s="75"/>
      <c r="AB742" s="75"/>
      <c r="AC742" s="55"/>
      <c r="AD742" s="89"/>
      <c r="AE742" s="89"/>
      <c r="AF742" s="89"/>
      <c r="AG742" s="57"/>
      <c r="AH742" s="58"/>
      <c r="AI742" s="39"/>
      <c r="AK742" s="41"/>
    </row>
    <row r="743" spans="1:37" ht="21">
      <c r="A743" s="32" t="s">
        <v>2410</v>
      </c>
      <c r="B743" s="94" t="s">
        <v>48</v>
      </c>
      <c r="C743" s="95" t="s">
        <v>407</v>
      </c>
      <c r="D743" s="88"/>
      <c r="E743" s="73"/>
      <c r="F743" s="73"/>
      <c r="G743" s="73"/>
      <c r="H743" s="73"/>
      <c r="I743" s="73"/>
      <c r="J743" s="73"/>
      <c r="K743" s="73"/>
      <c r="L743" s="73"/>
      <c r="M743" s="73"/>
      <c r="N743" s="73"/>
      <c r="O743" s="73"/>
      <c r="P743" s="73"/>
      <c r="Q743" s="73"/>
      <c r="R743" s="73"/>
      <c r="S743" s="73"/>
      <c r="T743" s="73"/>
      <c r="U743" s="73"/>
      <c r="V743" s="73"/>
      <c r="W743" s="73"/>
      <c r="X743" s="73"/>
      <c r="Y743" s="73"/>
      <c r="Z743" s="73"/>
      <c r="AA743" s="75"/>
      <c r="AB743" s="75"/>
      <c r="AC743" s="55"/>
      <c r="AD743" s="89"/>
      <c r="AE743" s="89"/>
      <c r="AF743" s="89"/>
      <c r="AG743" s="91"/>
      <c r="AH743" s="48"/>
      <c r="AI743" s="39"/>
      <c r="AK743" s="41"/>
    </row>
    <row r="744" spans="1:37" ht="21">
      <c r="A744" s="32" t="s">
        <v>2411</v>
      </c>
      <c r="B744" s="92" t="s">
        <v>401</v>
      </c>
      <c r="C744" s="93" t="s">
        <v>402</v>
      </c>
      <c r="D744" s="88" t="s">
        <v>38</v>
      </c>
      <c r="E744" s="73"/>
      <c r="F744" s="73"/>
      <c r="G744" s="73"/>
      <c r="H744" s="73"/>
      <c r="I744" s="73"/>
      <c r="J744" s="73"/>
      <c r="K744" s="73"/>
      <c r="L744" s="73"/>
      <c r="M744" s="73"/>
      <c r="N744" s="73"/>
      <c r="O744" s="73"/>
      <c r="P744" s="73"/>
      <c r="Q744" s="73"/>
      <c r="R744" s="73"/>
      <c r="S744" s="73"/>
      <c r="T744" s="73"/>
      <c r="U744" s="73"/>
      <c r="V744" s="73"/>
      <c r="W744" s="73"/>
      <c r="X744" s="73"/>
      <c r="Y744" s="73"/>
      <c r="Z744" s="73"/>
      <c r="AA744" s="75"/>
      <c r="AB744" s="75"/>
      <c r="AC744" s="55"/>
      <c r="AD744" s="89"/>
      <c r="AE744" s="89"/>
      <c r="AF744" s="89"/>
      <c r="AG744" s="57"/>
      <c r="AH744" s="58"/>
      <c r="AI744" s="39"/>
      <c r="AK744" s="41"/>
    </row>
    <row r="745" spans="1:37" ht="21">
      <c r="A745" s="32" t="s">
        <v>2412</v>
      </c>
      <c r="B745" s="92" t="s">
        <v>403</v>
      </c>
      <c r="C745" s="93" t="s">
        <v>404</v>
      </c>
      <c r="D745" s="88" t="s">
        <v>38</v>
      </c>
      <c r="E745" s="73"/>
      <c r="F745" s="73"/>
      <c r="G745" s="73"/>
      <c r="H745" s="73"/>
      <c r="I745" s="73"/>
      <c r="J745" s="73"/>
      <c r="K745" s="73"/>
      <c r="L745" s="73"/>
      <c r="M745" s="73"/>
      <c r="N745" s="73"/>
      <c r="O745" s="73"/>
      <c r="P745" s="73"/>
      <c r="Q745" s="73"/>
      <c r="R745" s="73"/>
      <c r="S745" s="73"/>
      <c r="T745" s="73"/>
      <c r="U745" s="73"/>
      <c r="V745" s="73"/>
      <c r="W745" s="73"/>
      <c r="X745" s="73"/>
      <c r="Y745" s="73"/>
      <c r="Z745" s="73"/>
      <c r="AA745" s="75"/>
      <c r="AB745" s="75"/>
      <c r="AC745" s="55"/>
      <c r="AD745" s="89"/>
      <c r="AE745" s="89"/>
      <c r="AF745" s="89"/>
      <c r="AG745" s="57"/>
      <c r="AH745" s="58"/>
      <c r="AI745" s="39"/>
      <c r="AK745" s="41"/>
    </row>
    <row r="746" spans="1:37" ht="21">
      <c r="A746" s="32" t="s">
        <v>2413</v>
      </c>
      <c r="B746" s="94" t="s">
        <v>55</v>
      </c>
      <c r="C746" s="95" t="s">
        <v>408</v>
      </c>
      <c r="D746" s="88"/>
      <c r="E746" s="73"/>
      <c r="F746" s="73"/>
      <c r="G746" s="73"/>
      <c r="H746" s="73"/>
      <c r="I746" s="73"/>
      <c r="J746" s="73"/>
      <c r="K746" s="73"/>
      <c r="L746" s="73"/>
      <c r="M746" s="73"/>
      <c r="N746" s="73"/>
      <c r="O746" s="73"/>
      <c r="P746" s="73"/>
      <c r="Q746" s="73"/>
      <c r="R746" s="73"/>
      <c r="S746" s="73"/>
      <c r="T746" s="73"/>
      <c r="U746" s="73"/>
      <c r="V746" s="73"/>
      <c r="W746" s="73"/>
      <c r="X746" s="73"/>
      <c r="Y746" s="73"/>
      <c r="Z746" s="73"/>
      <c r="AA746" s="75"/>
      <c r="AB746" s="75"/>
      <c r="AC746" s="55"/>
      <c r="AD746" s="89"/>
      <c r="AE746" s="89"/>
      <c r="AF746" s="89"/>
      <c r="AG746" s="91"/>
      <c r="AH746" s="48"/>
      <c r="AI746" s="39"/>
      <c r="AK746" s="41"/>
    </row>
    <row r="747" spans="1:37" ht="21">
      <c r="A747" s="32" t="s">
        <v>2414</v>
      </c>
      <c r="B747" s="92" t="s">
        <v>401</v>
      </c>
      <c r="C747" s="93" t="s">
        <v>402</v>
      </c>
      <c r="D747" s="88" t="s">
        <v>38</v>
      </c>
      <c r="E747" s="73"/>
      <c r="F747" s="73"/>
      <c r="G747" s="73"/>
      <c r="H747" s="73"/>
      <c r="I747" s="73"/>
      <c r="J747" s="73"/>
      <c r="K747" s="73"/>
      <c r="L747" s="73"/>
      <c r="M747" s="73"/>
      <c r="N747" s="73"/>
      <c r="O747" s="73"/>
      <c r="P747" s="73"/>
      <c r="Q747" s="73"/>
      <c r="R747" s="73"/>
      <c r="S747" s="73"/>
      <c r="T747" s="73"/>
      <c r="U747" s="73"/>
      <c r="V747" s="73"/>
      <c r="W747" s="73"/>
      <c r="X747" s="73"/>
      <c r="Y747" s="73"/>
      <c r="Z747" s="73"/>
      <c r="AA747" s="75"/>
      <c r="AB747" s="75"/>
      <c r="AC747" s="55"/>
      <c r="AD747" s="89"/>
      <c r="AE747" s="89"/>
      <c r="AF747" s="89"/>
      <c r="AG747" s="57"/>
      <c r="AH747" s="58"/>
      <c r="AI747" s="39"/>
      <c r="AK747" s="41"/>
    </row>
    <row r="748" spans="1:37" ht="21">
      <c r="A748" s="32" t="s">
        <v>2415</v>
      </c>
      <c r="B748" s="92" t="s">
        <v>403</v>
      </c>
      <c r="C748" s="93" t="s">
        <v>404</v>
      </c>
      <c r="D748" s="88" t="s">
        <v>38</v>
      </c>
      <c r="E748" s="73"/>
      <c r="F748" s="73"/>
      <c r="G748" s="73"/>
      <c r="H748" s="73"/>
      <c r="I748" s="73"/>
      <c r="J748" s="73"/>
      <c r="K748" s="73"/>
      <c r="L748" s="73"/>
      <c r="M748" s="73"/>
      <c r="N748" s="73"/>
      <c r="O748" s="73"/>
      <c r="P748" s="73"/>
      <c r="Q748" s="73"/>
      <c r="R748" s="73"/>
      <c r="S748" s="73"/>
      <c r="T748" s="73"/>
      <c r="U748" s="73"/>
      <c r="V748" s="73"/>
      <c r="W748" s="73"/>
      <c r="X748" s="73"/>
      <c r="Y748" s="73"/>
      <c r="Z748" s="73"/>
      <c r="AA748" s="75"/>
      <c r="AB748" s="75"/>
      <c r="AC748" s="55"/>
      <c r="AD748" s="89"/>
      <c r="AE748" s="89"/>
      <c r="AF748" s="89"/>
      <c r="AG748" s="57"/>
      <c r="AH748" s="58"/>
      <c r="AI748" s="39"/>
      <c r="AK748" s="41"/>
    </row>
    <row r="749" spans="1:37" ht="21">
      <c r="A749" s="32" t="s">
        <v>2416</v>
      </c>
      <c r="B749" s="94" t="s">
        <v>57</v>
      </c>
      <c r="C749" s="95" t="s">
        <v>409</v>
      </c>
      <c r="D749" s="88"/>
      <c r="E749" s="73"/>
      <c r="F749" s="73"/>
      <c r="G749" s="73"/>
      <c r="H749" s="73"/>
      <c r="I749" s="73"/>
      <c r="J749" s="73"/>
      <c r="K749" s="73"/>
      <c r="L749" s="73"/>
      <c r="M749" s="73"/>
      <c r="N749" s="73"/>
      <c r="O749" s="73"/>
      <c r="P749" s="73"/>
      <c r="Q749" s="73"/>
      <c r="R749" s="73"/>
      <c r="S749" s="73"/>
      <c r="T749" s="73"/>
      <c r="U749" s="73"/>
      <c r="V749" s="73"/>
      <c r="W749" s="73"/>
      <c r="X749" s="73"/>
      <c r="Y749" s="73"/>
      <c r="Z749" s="73"/>
      <c r="AA749" s="75"/>
      <c r="AB749" s="75"/>
      <c r="AC749" s="55"/>
      <c r="AD749" s="89"/>
      <c r="AE749" s="89"/>
      <c r="AF749" s="89"/>
      <c r="AG749" s="91"/>
      <c r="AH749" s="48"/>
      <c r="AI749" s="39"/>
      <c r="AK749" s="41"/>
    </row>
    <row r="750" spans="1:37" ht="21">
      <c r="A750" s="32" t="s">
        <v>2417</v>
      </c>
      <c r="B750" s="92" t="s">
        <v>401</v>
      </c>
      <c r="C750" s="93" t="s">
        <v>402</v>
      </c>
      <c r="D750" s="88" t="s">
        <v>38</v>
      </c>
      <c r="E750" s="73"/>
      <c r="F750" s="73"/>
      <c r="G750" s="73"/>
      <c r="H750" s="73"/>
      <c r="I750" s="73"/>
      <c r="J750" s="73"/>
      <c r="K750" s="73"/>
      <c r="L750" s="73"/>
      <c r="M750" s="73"/>
      <c r="N750" s="73"/>
      <c r="O750" s="73"/>
      <c r="P750" s="73"/>
      <c r="Q750" s="73"/>
      <c r="R750" s="73"/>
      <c r="S750" s="73"/>
      <c r="T750" s="73"/>
      <c r="U750" s="73"/>
      <c r="V750" s="73"/>
      <c r="W750" s="73"/>
      <c r="X750" s="73"/>
      <c r="Y750" s="73"/>
      <c r="Z750" s="73"/>
      <c r="AA750" s="75"/>
      <c r="AB750" s="75"/>
      <c r="AC750" s="55"/>
      <c r="AD750" s="89"/>
      <c r="AE750" s="89"/>
      <c r="AF750" s="89"/>
      <c r="AG750" s="57"/>
      <c r="AH750" s="58"/>
      <c r="AI750" s="39"/>
      <c r="AK750" s="41"/>
    </row>
    <row r="751" spans="1:37" ht="21">
      <c r="A751" s="32" t="s">
        <v>2418</v>
      </c>
      <c r="B751" s="92" t="s">
        <v>403</v>
      </c>
      <c r="C751" s="93" t="s">
        <v>404</v>
      </c>
      <c r="D751" s="88" t="s">
        <v>38</v>
      </c>
      <c r="E751" s="73"/>
      <c r="F751" s="73"/>
      <c r="G751" s="73"/>
      <c r="H751" s="73"/>
      <c r="I751" s="73"/>
      <c r="J751" s="73"/>
      <c r="K751" s="73"/>
      <c r="L751" s="73"/>
      <c r="M751" s="73"/>
      <c r="N751" s="73"/>
      <c r="O751" s="73"/>
      <c r="P751" s="73"/>
      <c r="Q751" s="73"/>
      <c r="R751" s="73"/>
      <c r="S751" s="73"/>
      <c r="T751" s="73"/>
      <c r="U751" s="73"/>
      <c r="V751" s="73"/>
      <c r="W751" s="73"/>
      <c r="X751" s="73"/>
      <c r="Y751" s="73"/>
      <c r="Z751" s="73"/>
      <c r="AA751" s="75"/>
      <c r="AB751" s="75"/>
      <c r="AC751" s="55"/>
      <c r="AD751" s="89"/>
      <c r="AE751" s="89"/>
      <c r="AF751" s="89"/>
      <c r="AG751" s="57"/>
      <c r="AH751" s="58"/>
      <c r="AI751" s="39"/>
      <c r="AK751" s="41"/>
    </row>
    <row r="752" spans="1:37" ht="21">
      <c r="A752" s="32" t="s">
        <v>2419</v>
      </c>
      <c r="B752" s="94" t="s">
        <v>360</v>
      </c>
      <c r="C752" s="95" t="s">
        <v>410</v>
      </c>
      <c r="D752" s="88"/>
      <c r="E752" s="73"/>
      <c r="F752" s="73"/>
      <c r="G752" s="73"/>
      <c r="H752" s="73"/>
      <c r="I752" s="73"/>
      <c r="J752" s="73"/>
      <c r="K752" s="73"/>
      <c r="L752" s="73"/>
      <c r="M752" s="73"/>
      <c r="N752" s="73"/>
      <c r="O752" s="73"/>
      <c r="P752" s="73"/>
      <c r="Q752" s="73"/>
      <c r="R752" s="73"/>
      <c r="S752" s="73"/>
      <c r="T752" s="73"/>
      <c r="U752" s="73"/>
      <c r="V752" s="73"/>
      <c r="W752" s="73"/>
      <c r="X752" s="73"/>
      <c r="Y752" s="73"/>
      <c r="Z752" s="73"/>
      <c r="AA752" s="75"/>
      <c r="AB752" s="75"/>
      <c r="AC752" s="55"/>
      <c r="AD752" s="89"/>
      <c r="AE752" s="89"/>
      <c r="AF752" s="89"/>
      <c r="AG752" s="91"/>
      <c r="AH752" s="48"/>
      <c r="AI752" s="39"/>
      <c r="AK752" s="41"/>
    </row>
    <row r="753" spans="1:37" ht="21">
      <c r="A753" s="32" t="s">
        <v>2420</v>
      </c>
      <c r="B753" s="92" t="s">
        <v>401</v>
      </c>
      <c r="C753" s="93" t="s">
        <v>402</v>
      </c>
      <c r="D753" s="88" t="s">
        <v>38</v>
      </c>
      <c r="E753" s="73"/>
      <c r="F753" s="73"/>
      <c r="G753" s="73"/>
      <c r="H753" s="73"/>
      <c r="I753" s="73"/>
      <c r="J753" s="73"/>
      <c r="K753" s="73"/>
      <c r="L753" s="73"/>
      <c r="M753" s="73"/>
      <c r="N753" s="73"/>
      <c r="O753" s="73"/>
      <c r="P753" s="73"/>
      <c r="Q753" s="73"/>
      <c r="R753" s="73"/>
      <c r="S753" s="73"/>
      <c r="T753" s="73"/>
      <c r="U753" s="73"/>
      <c r="V753" s="73"/>
      <c r="W753" s="73"/>
      <c r="X753" s="73"/>
      <c r="Y753" s="73"/>
      <c r="Z753" s="73"/>
      <c r="AA753" s="75"/>
      <c r="AB753" s="75"/>
      <c r="AC753" s="55"/>
      <c r="AD753" s="89"/>
      <c r="AE753" s="89"/>
      <c r="AF753" s="89"/>
      <c r="AG753" s="57"/>
      <c r="AH753" s="58"/>
      <c r="AI753" s="39"/>
      <c r="AK753" s="41"/>
    </row>
    <row r="754" spans="1:37" ht="21">
      <c r="A754" s="32" t="s">
        <v>2421</v>
      </c>
      <c r="B754" s="92" t="s">
        <v>411</v>
      </c>
      <c r="C754" s="93" t="s">
        <v>404</v>
      </c>
      <c r="D754" s="88" t="s">
        <v>38</v>
      </c>
      <c r="E754" s="73"/>
      <c r="F754" s="73"/>
      <c r="G754" s="73"/>
      <c r="H754" s="73"/>
      <c r="I754" s="73"/>
      <c r="J754" s="73"/>
      <c r="K754" s="73"/>
      <c r="L754" s="73"/>
      <c r="M754" s="73"/>
      <c r="N754" s="73"/>
      <c r="O754" s="73"/>
      <c r="P754" s="73"/>
      <c r="Q754" s="73"/>
      <c r="R754" s="73"/>
      <c r="S754" s="73"/>
      <c r="T754" s="73"/>
      <c r="U754" s="73"/>
      <c r="V754" s="73"/>
      <c r="W754" s="73"/>
      <c r="X754" s="73"/>
      <c r="Y754" s="73"/>
      <c r="Z754" s="73"/>
      <c r="AA754" s="75"/>
      <c r="AB754" s="75"/>
      <c r="AC754" s="55"/>
      <c r="AD754" s="89"/>
      <c r="AE754" s="89"/>
      <c r="AF754" s="89"/>
      <c r="AG754" s="57"/>
      <c r="AH754" s="58"/>
      <c r="AI754" s="39"/>
      <c r="AK754" s="41"/>
    </row>
    <row r="755" spans="1:37" ht="21">
      <c r="A755" s="32" t="s">
        <v>2422</v>
      </c>
      <c r="B755" s="94" t="s">
        <v>365</v>
      </c>
      <c r="C755" s="95" t="s">
        <v>412</v>
      </c>
      <c r="D755" s="88"/>
      <c r="E755" s="73"/>
      <c r="F755" s="73"/>
      <c r="G755" s="73"/>
      <c r="H755" s="73"/>
      <c r="I755" s="73"/>
      <c r="J755" s="73"/>
      <c r="K755" s="73"/>
      <c r="L755" s="73"/>
      <c r="M755" s="73"/>
      <c r="N755" s="73"/>
      <c r="O755" s="73"/>
      <c r="P755" s="73"/>
      <c r="Q755" s="73"/>
      <c r="R755" s="73"/>
      <c r="S755" s="73"/>
      <c r="T755" s="73"/>
      <c r="U755" s="73"/>
      <c r="V755" s="73"/>
      <c r="W755" s="73"/>
      <c r="X755" s="73"/>
      <c r="Y755" s="73"/>
      <c r="Z755" s="73"/>
      <c r="AA755" s="75"/>
      <c r="AB755" s="75"/>
      <c r="AC755" s="55"/>
      <c r="AD755" s="89"/>
      <c r="AE755" s="89"/>
      <c r="AF755" s="89"/>
      <c r="AG755" s="91"/>
      <c r="AH755" s="48"/>
      <c r="AI755" s="39"/>
      <c r="AK755" s="41"/>
    </row>
    <row r="756" spans="1:37" ht="21">
      <c r="A756" s="32" t="s">
        <v>2423</v>
      </c>
      <c r="B756" s="92" t="s">
        <v>401</v>
      </c>
      <c r="C756" s="93" t="s">
        <v>402</v>
      </c>
      <c r="D756" s="88" t="s">
        <v>38</v>
      </c>
      <c r="E756" s="73"/>
      <c r="F756" s="73"/>
      <c r="G756" s="73"/>
      <c r="H756" s="73"/>
      <c r="I756" s="73"/>
      <c r="J756" s="73"/>
      <c r="K756" s="73"/>
      <c r="L756" s="73"/>
      <c r="M756" s="73"/>
      <c r="N756" s="73"/>
      <c r="O756" s="73"/>
      <c r="P756" s="73"/>
      <c r="Q756" s="73"/>
      <c r="R756" s="73"/>
      <c r="S756" s="73"/>
      <c r="T756" s="73"/>
      <c r="U756" s="73"/>
      <c r="V756" s="73"/>
      <c r="W756" s="73"/>
      <c r="X756" s="73"/>
      <c r="Y756" s="73"/>
      <c r="Z756" s="73"/>
      <c r="AA756" s="75"/>
      <c r="AB756" s="75"/>
      <c r="AC756" s="55"/>
      <c r="AD756" s="89"/>
      <c r="AE756" s="89"/>
      <c r="AF756" s="89"/>
      <c r="AG756" s="57"/>
      <c r="AH756" s="58"/>
      <c r="AI756" s="39"/>
      <c r="AK756" s="41"/>
    </row>
    <row r="757" spans="1:37" ht="21">
      <c r="A757" s="32" t="s">
        <v>2424</v>
      </c>
      <c r="B757" s="92" t="s">
        <v>403</v>
      </c>
      <c r="C757" s="93" t="s">
        <v>404</v>
      </c>
      <c r="D757" s="88" t="s">
        <v>38</v>
      </c>
      <c r="E757" s="73"/>
      <c r="F757" s="73"/>
      <c r="G757" s="73"/>
      <c r="H757" s="73"/>
      <c r="I757" s="73"/>
      <c r="J757" s="73"/>
      <c r="K757" s="73"/>
      <c r="L757" s="73"/>
      <c r="M757" s="73"/>
      <c r="N757" s="73"/>
      <c r="O757" s="73"/>
      <c r="P757" s="73"/>
      <c r="Q757" s="73"/>
      <c r="R757" s="73"/>
      <c r="S757" s="73"/>
      <c r="T757" s="73"/>
      <c r="U757" s="73"/>
      <c r="V757" s="73"/>
      <c r="W757" s="73"/>
      <c r="X757" s="73"/>
      <c r="Y757" s="73"/>
      <c r="Z757" s="73"/>
      <c r="AA757" s="75"/>
      <c r="AB757" s="75"/>
      <c r="AC757" s="55"/>
      <c r="AD757" s="89"/>
      <c r="AE757" s="89"/>
      <c r="AF757" s="89"/>
      <c r="AG757" s="57"/>
      <c r="AH757" s="58"/>
      <c r="AI757" s="39"/>
      <c r="AK757" s="41"/>
    </row>
    <row r="758" spans="1:37" ht="21">
      <c r="A758" s="32" t="s">
        <v>2425</v>
      </c>
      <c r="B758" s="94" t="s">
        <v>35</v>
      </c>
      <c r="C758" s="95" t="s">
        <v>413</v>
      </c>
      <c r="D758" s="88"/>
      <c r="E758" s="73"/>
      <c r="F758" s="73"/>
      <c r="G758" s="73"/>
      <c r="H758" s="73"/>
      <c r="I758" s="73"/>
      <c r="J758" s="73"/>
      <c r="K758" s="73"/>
      <c r="L758" s="73"/>
      <c r="M758" s="73"/>
      <c r="N758" s="73"/>
      <c r="O758" s="73"/>
      <c r="P758" s="73"/>
      <c r="Q758" s="73"/>
      <c r="R758" s="73"/>
      <c r="S758" s="73"/>
      <c r="T758" s="73"/>
      <c r="U758" s="73"/>
      <c r="V758" s="73"/>
      <c r="W758" s="73"/>
      <c r="X758" s="73"/>
      <c r="Y758" s="73"/>
      <c r="Z758" s="73"/>
      <c r="AA758" s="75"/>
      <c r="AB758" s="75"/>
      <c r="AC758" s="55"/>
      <c r="AD758" s="89"/>
      <c r="AE758" s="89"/>
      <c r="AF758" s="89"/>
      <c r="AG758" s="91"/>
      <c r="AH758" s="48"/>
      <c r="AI758" s="39"/>
      <c r="AK758" s="41"/>
    </row>
    <row r="759" spans="1:37" ht="21">
      <c r="A759" s="32" t="s">
        <v>2426</v>
      </c>
      <c r="B759" s="92" t="s">
        <v>401</v>
      </c>
      <c r="C759" s="93" t="s">
        <v>402</v>
      </c>
      <c r="D759" s="88" t="s">
        <v>38</v>
      </c>
      <c r="E759" s="73"/>
      <c r="F759" s="73"/>
      <c r="G759" s="73"/>
      <c r="H759" s="73"/>
      <c r="I759" s="73"/>
      <c r="J759" s="73"/>
      <c r="K759" s="73"/>
      <c r="L759" s="73"/>
      <c r="M759" s="73"/>
      <c r="N759" s="73"/>
      <c r="O759" s="73"/>
      <c r="P759" s="73"/>
      <c r="Q759" s="73"/>
      <c r="R759" s="73"/>
      <c r="S759" s="73"/>
      <c r="T759" s="73"/>
      <c r="U759" s="73"/>
      <c r="V759" s="73"/>
      <c r="W759" s="73"/>
      <c r="X759" s="73"/>
      <c r="Y759" s="73"/>
      <c r="Z759" s="73"/>
      <c r="AA759" s="75"/>
      <c r="AB759" s="75"/>
      <c r="AC759" s="55"/>
      <c r="AD759" s="89"/>
      <c r="AE759" s="89"/>
      <c r="AF759" s="89"/>
      <c r="AG759" s="57"/>
      <c r="AH759" s="58"/>
      <c r="AI759" s="39"/>
      <c r="AK759" s="41"/>
    </row>
    <row r="760" spans="1:37" ht="21">
      <c r="A760" s="32" t="s">
        <v>2427</v>
      </c>
      <c r="B760" s="92" t="s">
        <v>403</v>
      </c>
      <c r="C760" s="93" t="s">
        <v>404</v>
      </c>
      <c r="D760" s="88" t="s">
        <v>38</v>
      </c>
      <c r="E760" s="73"/>
      <c r="F760" s="73"/>
      <c r="G760" s="73"/>
      <c r="H760" s="73"/>
      <c r="I760" s="73"/>
      <c r="J760" s="73"/>
      <c r="K760" s="73"/>
      <c r="L760" s="73"/>
      <c r="M760" s="73"/>
      <c r="N760" s="73"/>
      <c r="O760" s="73"/>
      <c r="P760" s="73"/>
      <c r="Q760" s="73"/>
      <c r="R760" s="73"/>
      <c r="S760" s="73"/>
      <c r="T760" s="73"/>
      <c r="U760" s="73"/>
      <c r="V760" s="73"/>
      <c r="W760" s="73"/>
      <c r="X760" s="73"/>
      <c r="Y760" s="73"/>
      <c r="Z760" s="73"/>
      <c r="AA760" s="75"/>
      <c r="AB760" s="75"/>
      <c r="AC760" s="55"/>
      <c r="AD760" s="89"/>
      <c r="AE760" s="89"/>
      <c r="AF760" s="89"/>
      <c r="AG760" s="57"/>
      <c r="AH760" s="58"/>
      <c r="AI760" s="39"/>
      <c r="AK760" s="41"/>
    </row>
    <row r="761" spans="1:37" ht="21">
      <c r="A761" s="32" t="s">
        <v>2428</v>
      </c>
      <c r="B761" s="94" t="s">
        <v>479</v>
      </c>
      <c r="C761" s="95" t="s">
        <v>480</v>
      </c>
      <c r="D761" s="88"/>
      <c r="E761" s="73"/>
      <c r="F761" s="73"/>
      <c r="G761" s="73"/>
      <c r="H761" s="73"/>
      <c r="I761" s="73"/>
      <c r="J761" s="73"/>
      <c r="K761" s="73"/>
      <c r="L761" s="73"/>
      <c r="M761" s="73"/>
      <c r="N761" s="73"/>
      <c r="O761" s="73"/>
      <c r="P761" s="73"/>
      <c r="Q761" s="73"/>
      <c r="R761" s="73"/>
      <c r="S761" s="73"/>
      <c r="T761" s="73"/>
      <c r="U761" s="73"/>
      <c r="V761" s="73"/>
      <c r="W761" s="73"/>
      <c r="X761" s="73"/>
      <c r="Y761" s="73"/>
      <c r="Z761" s="73"/>
      <c r="AA761" s="75"/>
      <c r="AB761" s="75"/>
      <c r="AC761" s="55"/>
      <c r="AD761" s="89"/>
      <c r="AE761" s="89"/>
      <c r="AF761" s="89"/>
      <c r="AG761" s="91"/>
      <c r="AH761" s="48"/>
      <c r="AI761" s="39"/>
      <c r="AK761" s="41"/>
    </row>
    <row r="762" spans="1:37" ht="21">
      <c r="A762" s="32" t="s">
        <v>2429</v>
      </c>
      <c r="B762" s="92" t="s">
        <v>401</v>
      </c>
      <c r="C762" s="93" t="s">
        <v>402</v>
      </c>
      <c r="D762" s="88" t="s">
        <v>38</v>
      </c>
      <c r="E762" s="73"/>
      <c r="F762" s="73"/>
      <c r="G762" s="73"/>
      <c r="H762" s="73"/>
      <c r="I762" s="73"/>
      <c r="J762" s="73"/>
      <c r="K762" s="73"/>
      <c r="L762" s="73"/>
      <c r="M762" s="73"/>
      <c r="N762" s="73"/>
      <c r="O762" s="73"/>
      <c r="P762" s="73"/>
      <c r="Q762" s="73"/>
      <c r="R762" s="73"/>
      <c r="S762" s="73"/>
      <c r="T762" s="73"/>
      <c r="U762" s="73"/>
      <c r="V762" s="73"/>
      <c r="W762" s="73"/>
      <c r="X762" s="73"/>
      <c r="Y762" s="73"/>
      <c r="Z762" s="73"/>
      <c r="AA762" s="75"/>
      <c r="AB762" s="75"/>
      <c r="AC762" s="55"/>
      <c r="AD762" s="89"/>
      <c r="AE762" s="89"/>
      <c r="AF762" s="89"/>
      <c r="AG762" s="57"/>
      <c r="AH762" s="58"/>
      <c r="AI762" s="39"/>
      <c r="AK762" s="41"/>
    </row>
    <row r="763" spans="1:37" ht="21">
      <c r="A763" s="32" t="s">
        <v>2430</v>
      </c>
      <c r="B763" s="92" t="s">
        <v>403</v>
      </c>
      <c r="C763" s="93" t="s">
        <v>404</v>
      </c>
      <c r="D763" s="88" t="s">
        <v>38</v>
      </c>
      <c r="E763" s="73"/>
      <c r="F763" s="73"/>
      <c r="G763" s="73"/>
      <c r="H763" s="73"/>
      <c r="I763" s="73"/>
      <c r="J763" s="73"/>
      <c r="K763" s="73"/>
      <c r="L763" s="73"/>
      <c r="M763" s="73"/>
      <c r="N763" s="73"/>
      <c r="O763" s="73"/>
      <c r="P763" s="73"/>
      <c r="Q763" s="73"/>
      <c r="R763" s="73"/>
      <c r="S763" s="73"/>
      <c r="T763" s="73"/>
      <c r="U763" s="73"/>
      <c r="V763" s="73"/>
      <c r="W763" s="73"/>
      <c r="X763" s="73"/>
      <c r="Y763" s="73"/>
      <c r="Z763" s="73"/>
      <c r="AA763" s="75"/>
      <c r="AB763" s="75"/>
      <c r="AC763" s="55"/>
      <c r="AD763" s="89"/>
      <c r="AE763" s="89"/>
      <c r="AF763" s="89"/>
      <c r="AG763" s="57"/>
      <c r="AH763" s="58"/>
      <c r="AI763" s="39"/>
      <c r="AK763" s="41"/>
    </row>
    <row r="764" spans="1:37" ht="27.75">
      <c r="A764" s="32" t="s">
        <v>2431</v>
      </c>
      <c r="B764" s="86">
        <v>12.09</v>
      </c>
      <c r="C764" s="87" t="s">
        <v>481</v>
      </c>
      <c r="D764" s="88"/>
      <c r="E764" s="73"/>
      <c r="F764" s="73"/>
      <c r="G764" s="73"/>
      <c r="H764" s="73"/>
      <c r="I764" s="73"/>
      <c r="J764" s="73"/>
      <c r="K764" s="73"/>
      <c r="L764" s="73"/>
      <c r="M764" s="73"/>
      <c r="N764" s="73"/>
      <c r="O764" s="73"/>
      <c r="P764" s="73"/>
      <c r="Q764" s="73"/>
      <c r="R764" s="73"/>
      <c r="S764" s="73"/>
      <c r="T764" s="73"/>
      <c r="U764" s="73"/>
      <c r="V764" s="73"/>
      <c r="W764" s="73"/>
      <c r="X764" s="73"/>
      <c r="Y764" s="73"/>
      <c r="Z764" s="73"/>
      <c r="AA764" s="75"/>
      <c r="AB764" s="75"/>
      <c r="AC764" s="55"/>
      <c r="AD764" s="89"/>
      <c r="AE764" s="89"/>
      <c r="AF764" s="89"/>
      <c r="AG764" s="91"/>
      <c r="AH764" s="48"/>
      <c r="AI764" s="39"/>
      <c r="AK764" s="41"/>
    </row>
    <row r="765" spans="1:37" ht="21">
      <c r="A765" s="32" t="s">
        <v>2432</v>
      </c>
      <c r="B765" s="92" t="s">
        <v>14</v>
      </c>
      <c r="C765" s="93" t="s">
        <v>482</v>
      </c>
      <c r="D765" s="88" t="s">
        <v>33</v>
      </c>
      <c r="E765" s="73"/>
      <c r="F765" s="73"/>
      <c r="G765" s="73"/>
      <c r="H765" s="73"/>
      <c r="I765" s="73"/>
      <c r="J765" s="73"/>
      <c r="K765" s="73"/>
      <c r="L765" s="73"/>
      <c r="M765" s="73"/>
      <c r="N765" s="73"/>
      <c r="O765" s="73"/>
      <c r="P765" s="73"/>
      <c r="Q765" s="73"/>
      <c r="R765" s="73"/>
      <c r="S765" s="73"/>
      <c r="T765" s="73"/>
      <c r="U765" s="73"/>
      <c r="V765" s="73"/>
      <c r="W765" s="73"/>
      <c r="X765" s="73"/>
      <c r="Y765" s="73"/>
      <c r="Z765" s="73"/>
      <c r="AA765" s="75"/>
      <c r="AB765" s="75"/>
      <c r="AC765" s="55"/>
      <c r="AD765" s="89"/>
      <c r="AE765" s="89"/>
      <c r="AF765" s="89"/>
      <c r="AG765" s="57"/>
      <c r="AH765" s="58"/>
      <c r="AI765" s="39"/>
      <c r="AK765" s="41"/>
    </row>
    <row r="766" spans="1:37" ht="21">
      <c r="A766" s="32" t="s">
        <v>2433</v>
      </c>
      <c r="B766" s="92" t="s">
        <v>15</v>
      </c>
      <c r="C766" s="93" t="s">
        <v>483</v>
      </c>
      <c r="D766" s="88" t="s">
        <v>33</v>
      </c>
      <c r="E766" s="73"/>
      <c r="F766" s="73"/>
      <c r="G766" s="73"/>
      <c r="H766" s="73"/>
      <c r="I766" s="73"/>
      <c r="J766" s="73"/>
      <c r="K766" s="73"/>
      <c r="L766" s="73"/>
      <c r="M766" s="73"/>
      <c r="N766" s="73"/>
      <c r="O766" s="73"/>
      <c r="P766" s="73"/>
      <c r="Q766" s="73"/>
      <c r="R766" s="73"/>
      <c r="S766" s="73"/>
      <c r="T766" s="73"/>
      <c r="U766" s="73"/>
      <c r="V766" s="73"/>
      <c r="W766" s="73"/>
      <c r="X766" s="73"/>
      <c r="Y766" s="73"/>
      <c r="Z766" s="73"/>
      <c r="AA766" s="75"/>
      <c r="AB766" s="75"/>
      <c r="AC766" s="55"/>
      <c r="AD766" s="89"/>
      <c r="AE766" s="89"/>
      <c r="AF766" s="89"/>
      <c r="AG766" s="57"/>
      <c r="AH766" s="58"/>
      <c r="AI766" s="39"/>
      <c r="AK766" s="41"/>
    </row>
    <row r="767" spans="1:37" ht="27.75">
      <c r="A767" s="32" t="s">
        <v>2434</v>
      </c>
      <c r="B767" s="92" t="s">
        <v>40</v>
      </c>
      <c r="C767" s="93" t="s">
        <v>484</v>
      </c>
      <c r="D767" s="88" t="s">
        <v>81</v>
      </c>
      <c r="E767" s="73"/>
      <c r="F767" s="73"/>
      <c r="G767" s="73"/>
      <c r="H767" s="73"/>
      <c r="I767" s="73"/>
      <c r="J767" s="73"/>
      <c r="K767" s="73"/>
      <c r="L767" s="73"/>
      <c r="M767" s="73"/>
      <c r="N767" s="73"/>
      <c r="O767" s="73"/>
      <c r="P767" s="73"/>
      <c r="Q767" s="73"/>
      <c r="R767" s="73"/>
      <c r="S767" s="73"/>
      <c r="T767" s="73"/>
      <c r="U767" s="73"/>
      <c r="V767" s="73"/>
      <c r="W767" s="73"/>
      <c r="X767" s="73"/>
      <c r="Y767" s="73"/>
      <c r="Z767" s="73"/>
      <c r="AA767" s="75"/>
      <c r="AB767" s="75"/>
      <c r="AC767" s="55"/>
      <c r="AD767" s="89"/>
      <c r="AE767" s="89"/>
      <c r="AF767" s="89"/>
      <c r="AG767" s="57"/>
      <c r="AH767" s="58"/>
      <c r="AI767" s="39"/>
      <c r="AK767" s="41"/>
    </row>
    <row r="768" spans="1:37" ht="27.75">
      <c r="A768" s="32" t="s">
        <v>485</v>
      </c>
      <c r="B768" s="86" t="s">
        <v>485</v>
      </c>
      <c r="C768" s="87" t="s">
        <v>486</v>
      </c>
      <c r="D768" s="88" t="s">
        <v>13</v>
      </c>
      <c r="E768" s="73"/>
      <c r="F768" s="73"/>
      <c r="G768" s="73"/>
      <c r="H768" s="73"/>
      <c r="I768" s="73"/>
      <c r="J768" s="73"/>
      <c r="K768" s="73"/>
      <c r="L768" s="73"/>
      <c r="M768" s="73"/>
      <c r="N768" s="73"/>
      <c r="O768" s="73"/>
      <c r="P768" s="73"/>
      <c r="Q768" s="73"/>
      <c r="R768" s="73"/>
      <c r="S768" s="73"/>
      <c r="T768" s="73"/>
      <c r="U768" s="73"/>
      <c r="V768" s="73"/>
      <c r="W768" s="73"/>
      <c r="X768" s="73"/>
      <c r="Y768" s="73"/>
      <c r="Z768" s="73"/>
      <c r="AA768" s="75"/>
      <c r="AB768" s="75"/>
      <c r="AC768" s="55"/>
      <c r="AD768" s="89"/>
      <c r="AE768" s="89"/>
      <c r="AF768" s="89"/>
      <c r="AG768" s="57"/>
      <c r="AH768" s="58"/>
      <c r="AI768" s="39"/>
      <c r="AK768" s="41"/>
    </row>
    <row r="769" spans="1:37" ht="27.75">
      <c r="A769" s="32" t="s">
        <v>487</v>
      </c>
      <c r="B769" s="86" t="s">
        <v>487</v>
      </c>
      <c r="C769" s="87" t="s">
        <v>488</v>
      </c>
      <c r="D769" s="88"/>
      <c r="E769" s="73"/>
      <c r="F769" s="73"/>
      <c r="G769" s="73"/>
      <c r="H769" s="73"/>
      <c r="I769" s="73"/>
      <c r="J769" s="73"/>
      <c r="K769" s="73"/>
      <c r="L769" s="73"/>
      <c r="M769" s="73"/>
      <c r="N769" s="73"/>
      <c r="O769" s="73"/>
      <c r="P769" s="73"/>
      <c r="Q769" s="73"/>
      <c r="R769" s="73"/>
      <c r="S769" s="73"/>
      <c r="T769" s="73"/>
      <c r="U769" s="73"/>
      <c r="V769" s="73"/>
      <c r="W769" s="73"/>
      <c r="X769" s="73"/>
      <c r="Y769" s="73"/>
      <c r="Z769" s="73"/>
      <c r="AA769" s="75"/>
      <c r="AB769" s="75"/>
      <c r="AC769" s="55"/>
      <c r="AD769" s="89"/>
      <c r="AE769" s="89"/>
      <c r="AF769" s="89"/>
      <c r="AG769" s="91"/>
      <c r="AH769" s="48"/>
      <c r="AI769" s="39"/>
      <c r="AK769" s="41"/>
    </row>
    <row r="770" spans="1:37" ht="21">
      <c r="A770" s="32" t="s">
        <v>1026</v>
      </c>
      <c r="B770" s="94" t="s">
        <v>14</v>
      </c>
      <c r="C770" s="95" t="s">
        <v>489</v>
      </c>
      <c r="D770" s="88"/>
      <c r="E770" s="73"/>
      <c r="F770" s="73"/>
      <c r="G770" s="73"/>
      <c r="H770" s="73"/>
      <c r="I770" s="73"/>
      <c r="J770" s="73"/>
      <c r="K770" s="73"/>
      <c r="L770" s="73"/>
      <c r="M770" s="73"/>
      <c r="N770" s="73"/>
      <c r="O770" s="73"/>
      <c r="P770" s="73"/>
      <c r="Q770" s="73"/>
      <c r="R770" s="73"/>
      <c r="S770" s="73"/>
      <c r="T770" s="73"/>
      <c r="U770" s="73"/>
      <c r="V770" s="73"/>
      <c r="W770" s="73"/>
      <c r="X770" s="73"/>
      <c r="Y770" s="73"/>
      <c r="Z770" s="73"/>
      <c r="AA770" s="75"/>
      <c r="AB770" s="75"/>
      <c r="AC770" s="55"/>
      <c r="AD770" s="89"/>
      <c r="AE770" s="89"/>
      <c r="AF770" s="89"/>
      <c r="AG770" s="91"/>
      <c r="AH770" s="48"/>
      <c r="AI770" s="39"/>
      <c r="AK770" s="41"/>
    </row>
    <row r="771" spans="1:37" ht="21">
      <c r="A771" s="32" t="s">
        <v>1027</v>
      </c>
      <c r="B771" s="94" t="s">
        <v>169</v>
      </c>
      <c r="C771" s="95" t="s">
        <v>490</v>
      </c>
      <c r="D771" s="88"/>
      <c r="E771" s="73"/>
      <c r="F771" s="73"/>
      <c r="G771" s="73"/>
      <c r="H771" s="73"/>
      <c r="I771" s="73"/>
      <c r="J771" s="73"/>
      <c r="K771" s="73"/>
      <c r="L771" s="73"/>
      <c r="M771" s="73"/>
      <c r="N771" s="73"/>
      <c r="O771" s="73"/>
      <c r="P771" s="73"/>
      <c r="Q771" s="73"/>
      <c r="R771" s="73"/>
      <c r="S771" s="73"/>
      <c r="T771" s="73"/>
      <c r="U771" s="73"/>
      <c r="V771" s="73"/>
      <c r="W771" s="73"/>
      <c r="X771" s="73"/>
      <c r="Y771" s="73"/>
      <c r="Z771" s="73"/>
      <c r="AA771" s="75"/>
      <c r="AB771" s="75"/>
      <c r="AC771" s="55"/>
      <c r="AD771" s="89"/>
      <c r="AE771" s="89"/>
      <c r="AF771" s="89"/>
      <c r="AG771" s="91"/>
      <c r="AH771" s="48"/>
      <c r="AI771" s="39"/>
      <c r="AK771" s="41"/>
    </row>
    <row r="772" spans="1:37" ht="21">
      <c r="A772" s="32" t="s">
        <v>1028</v>
      </c>
      <c r="B772" s="92" t="s">
        <v>401</v>
      </c>
      <c r="C772" s="93" t="s">
        <v>402</v>
      </c>
      <c r="D772" s="88" t="s">
        <v>38</v>
      </c>
      <c r="E772" s="73"/>
      <c r="F772" s="73"/>
      <c r="G772" s="73"/>
      <c r="H772" s="73"/>
      <c r="I772" s="73"/>
      <c r="J772" s="73"/>
      <c r="K772" s="73"/>
      <c r="L772" s="73"/>
      <c r="M772" s="73"/>
      <c r="N772" s="73"/>
      <c r="O772" s="73"/>
      <c r="P772" s="73"/>
      <c r="Q772" s="73"/>
      <c r="R772" s="73"/>
      <c r="S772" s="73"/>
      <c r="T772" s="73"/>
      <c r="U772" s="73"/>
      <c r="V772" s="73"/>
      <c r="W772" s="73"/>
      <c r="X772" s="73"/>
      <c r="Y772" s="73"/>
      <c r="Z772" s="73"/>
      <c r="AA772" s="75"/>
      <c r="AB772" s="75"/>
      <c r="AC772" s="55"/>
      <c r="AD772" s="89"/>
      <c r="AE772" s="89"/>
      <c r="AF772" s="89"/>
      <c r="AG772" s="57"/>
      <c r="AH772" s="58"/>
      <c r="AI772" s="39"/>
      <c r="AK772" s="41"/>
    </row>
    <row r="773" spans="1:37" ht="21">
      <c r="A773" s="32" t="s">
        <v>1029</v>
      </c>
      <c r="B773" s="92" t="s">
        <v>403</v>
      </c>
      <c r="C773" s="93" t="s">
        <v>404</v>
      </c>
      <c r="D773" s="88" t="s">
        <v>38</v>
      </c>
      <c r="E773" s="73"/>
      <c r="F773" s="73"/>
      <c r="G773" s="73"/>
      <c r="H773" s="73"/>
      <c r="I773" s="73"/>
      <c r="J773" s="73"/>
      <c r="K773" s="73"/>
      <c r="L773" s="73"/>
      <c r="M773" s="73"/>
      <c r="N773" s="73"/>
      <c r="O773" s="73"/>
      <c r="P773" s="73"/>
      <c r="Q773" s="73"/>
      <c r="R773" s="73"/>
      <c r="S773" s="73"/>
      <c r="T773" s="73"/>
      <c r="U773" s="73"/>
      <c r="V773" s="73"/>
      <c r="W773" s="73"/>
      <c r="X773" s="73"/>
      <c r="Y773" s="73"/>
      <c r="Z773" s="73"/>
      <c r="AA773" s="75"/>
      <c r="AB773" s="75"/>
      <c r="AC773" s="55"/>
      <c r="AD773" s="89"/>
      <c r="AE773" s="89"/>
      <c r="AF773" s="89"/>
      <c r="AG773" s="57"/>
      <c r="AH773" s="58"/>
      <c r="AI773" s="39"/>
      <c r="AK773" s="41"/>
    </row>
    <row r="774" spans="1:37" ht="21">
      <c r="A774" s="32" t="s">
        <v>1030</v>
      </c>
      <c r="B774" s="94" t="s">
        <v>171</v>
      </c>
      <c r="C774" s="95" t="s">
        <v>491</v>
      </c>
      <c r="D774" s="88"/>
      <c r="E774" s="73"/>
      <c r="F774" s="73"/>
      <c r="G774" s="73"/>
      <c r="H774" s="73"/>
      <c r="I774" s="73"/>
      <c r="J774" s="73"/>
      <c r="K774" s="73"/>
      <c r="L774" s="73"/>
      <c r="M774" s="73"/>
      <c r="N774" s="73"/>
      <c r="O774" s="73"/>
      <c r="P774" s="73"/>
      <c r="Q774" s="73"/>
      <c r="R774" s="73"/>
      <c r="S774" s="73"/>
      <c r="T774" s="73"/>
      <c r="U774" s="73"/>
      <c r="V774" s="73"/>
      <c r="W774" s="73"/>
      <c r="X774" s="73"/>
      <c r="Y774" s="73"/>
      <c r="Z774" s="73"/>
      <c r="AA774" s="75"/>
      <c r="AB774" s="75"/>
      <c r="AC774" s="55"/>
      <c r="AD774" s="89"/>
      <c r="AE774" s="89"/>
      <c r="AF774" s="89"/>
      <c r="AG774" s="91"/>
      <c r="AH774" s="48"/>
      <c r="AI774" s="39"/>
      <c r="AK774" s="41"/>
    </row>
    <row r="775" spans="1:37" ht="21">
      <c r="A775" s="32" t="s">
        <v>1031</v>
      </c>
      <c r="B775" s="92" t="s">
        <v>401</v>
      </c>
      <c r="C775" s="93" t="s">
        <v>402</v>
      </c>
      <c r="D775" s="88" t="s">
        <v>38</v>
      </c>
      <c r="E775" s="73"/>
      <c r="F775" s="73"/>
      <c r="G775" s="73"/>
      <c r="H775" s="73"/>
      <c r="I775" s="73"/>
      <c r="J775" s="73"/>
      <c r="K775" s="73"/>
      <c r="L775" s="73"/>
      <c r="M775" s="73"/>
      <c r="N775" s="73"/>
      <c r="O775" s="73"/>
      <c r="P775" s="73"/>
      <c r="Q775" s="73"/>
      <c r="R775" s="73"/>
      <c r="S775" s="73"/>
      <c r="T775" s="73"/>
      <c r="U775" s="73"/>
      <c r="V775" s="73"/>
      <c r="W775" s="73"/>
      <c r="X775" s="73"/>
      <c r="Y775" s="73"/>
      <c r="Z775" s="73"/>
      <c r="AA775" s="75"/>
      <c r="AB775" s="75"/>
      <c r="AC775" s="55"/>
      <c r="AD775" s="89"/>
      <c r="AE775" s="89"/>
      <c r="AF775" s="89"/>
      <c r="AG775" s="57"/>
      <c r="AH775" s="58"/>
      <c r="AI775" s="39"/>
      <c r="AK775" s="41"/>
    </row>
    <row r="776" spans="1:37" ht="21">
      <c r="A776" s="32" t="s">
        <v>1032</v>
      </c>
      <c r="B776" s="92" t="s">
        <v>403</v>
      </c>
      <c r="C776" s="93" t="s">
        <v>404</v>
      </c>
      <c r="D776" s="88" t="s">
        <v>38</v>
      </c>
      <c r="E776" s="73"/>
      <c r="F776" s="73"/>
      <c r="G776" s="73"/>
      <c r="H776" s="73"/>
      <c r="I776" s="73"/>
      <c r="J776" s="73"/>
      <c r="K776" s="73"/>
      <c r="L776" s="73"/>
      <c r="M776" s="73"/>
      <c r="N776" s="73"/>
      <c r="O776" s="73"/>
      <c r="P776" s="73"/>
      <c r="Q776" s="73"/>
      <c r="R776" s="73"/>
      <c r="S776" s="73"/>
      <c r="T776" s="73"/>
      <c r="U776" s="73"/>
      <c r="V776" s="73"/>
      <c r="W776" s="73"/>
      <c r="X776" s="73"/>
      <c r="Y776" s="73"/>
      <c r="Z776" s="73"/>
      <c r="AA776" s="75"/>
      <c r="AB776" s="75"/>
      <c r="AC776" s="55"/>
      <c r="AD776" s="89"/>
      <c r="AE776" s="89"/>
      <c r="AF776" s="89"/>
      <c r="AG776" s="57"/>
      <c r="AH776" s="58"/>
      <c r="AI776" s="39"/>
      <c r="AK776" s="41"/>
    </row>
    <row r="777" spans="1:37" ht="21">
      <c r="A777" s="32" t="s">
        <v>1033</v>
      </c>
      <c r="B777" s="94" t="s">
        <v>492</v>
      </c>
      <c r="C777" s="95" t="s">
        <v>493</v>
      </c>
      <c r="D777" s="88"/>
      <c r="E777" s="73"/>
      <c r="F777" s="73"/>
      <c r="G777" s="73"/>
      <c r="H777" s="73"/>
      <c r="I777" s="73"/>
      <c r="J777" s="73"/>
      <c r="K777" s="73"/>
      <c r="L777" s="73"/>
      <c r="M777" s="73"/>
      <c r="N777" s="73"/>
      <c r="O777" s="73"/>
      <c r="P777" s="73"/>
      <c r="Q777" s="73"/>
      <c r="R777" s="73"/>
      <c r="S777" s="73"/>
      <c r="T777" s="73"/>
      <c r="U777" s="73"/>
      <c r="V777" s="73"/>
      <c r="W777" s="73"/>
      <c r="X777" s="73"/>
      <c r="Y777" s="73"/>
      <c r="Z777" s="73"/>
      <c r="AA777" s="75"/>
      <c r="AB777" s="75"/>
      <c r="AC777" s="55"/>
      <c r="AD777" s="89"/>
      <c r="AE777" s="89"/>
      <c r="AF777" s="89"/>
      <c r="AG777" s="91"/>
      <c r="AH777" s="48"/>
      <c r="AI777" s="39"/>
      <c r="AK777" s="41"/>
    </row>
    <row r="778" spans="1:37" ht="21">
      <c r="A778" s="32" t="s">
        <v>1034</v>
      </c>
      <c r="B778" s="92" t="s">
        <v>401</v>
      </c>
      <c r="C778" s="93" t="s">
        <v>402</v>
      </c>
      <c r="D778" s="88" t="s">
        <v>38</v>
      </c>
      <c r="E778" s="73"/>
      <c r="F778" s="73"/>
      <c r="G778" s="73"/>
      <c r="H778" s="73"/>
      <c r="I778" s="73"/>
      <c r="J778" s="73"/>
      <c r="K778" s="73"/>
      <c r="L778" s="73"/>
      <c r="M778" s="73"/>
      <c r="N778" s="73"/>
      <c r="O778" s="73"/>
      <c r="P778" s="73"/>
      <c r="Q778" s="73"/>
      <c r="R778" s="73"/>
      <c r="S778" s="73"/>
      <c r="T778" s="73"/>
      <c r="U778" s="73"/>
      <c r="V778" s="73"/>
      <c r="W778" s="73"/>
      <c r="X778" s="73"/>
      <c r="Y778" s="73"/>
      <c r="Z778" s="73"/>
      <c r="AA778" s="75"/>
      <c r="AB778" s="75"/>
      <c r="AC778" s="55"/>
      <c r="AD778" s="89"/>
      <c r="AE778" s="89"/>
      <c r="AF778" s="89"/>
      <c r="AG778" s="57"/>
      <c r="AH778" s="58"/>
      <c r="AI778" s="39"/>
      <c r="AK778" s="41"/>
    </row>
    <row r="779" spans="1:37" ht="21">
      <c r="A779" s="32" t="s">
        <v>1035</v>
      </c>
      <c r="B779" s="92" t="s">
        <v>403</v>
      </c>
      <c r="C779" s="93" t="s">
        <v>404</v>
      </c>
      <c r="D779" s="88" t="s">
        <v>38</v>
      </c>
      <c r="E779" s="73"/>
      <c r="F779" s="73"/>
      <c r="G779" s="73"/>
      <c r="H779" s="73"/>
      <c r="I779" s="73"/>
      <c r="J779" s="73"/>
      <c r="K779" s="73"/>
      <c r="L779" s="73"/>
      <c r="M779" s="73"/>
      <c r="N779" s="73"/>
      <c r="O779" s="73"/>
      <c r="P779" s="73"/>
      <c r="Q779" s="73"/>
      <c r="R779" s="73"/>
      <c r="S779" s="73"/>
      <c r="T779" s="73"/>
      <c r="U779" s="73"/>
      <c r="V779" s="73"/>
      <c r="W779" s="73"/>
      <c r="X779" s="73"/>
      <c r="Y779" s="73"/>
      <c r="Z779" s="73"/>
      <c r="AA779" s="75"/>
      <c r="AB779" s="75"/>
      <c r="AC779" s="55"/>
      <c r="AD779" s="89"/>
      <c r="AE779" s="89"/>
      <c r="AF779" s="89"/>
      <c r="AG779" s="57"/>
      <c r="AH779" s="58"/>
      <c r="AI779" s="39"/>
      <c r="AK779" s="41"/>
    </row>
    <row r="780" spans="1:37" ht="21">
      <c r="A780" s="32" t="s">
        <v>1036</v>
      </c>
      <c r="B780" s="94" t="s">
        <v>494</v>
      </c>
      <c r="C780" s="95" t="s">
        <v>495</v>
      </c>
      <c r="D780" s="88"/>
      <c r="E780" s="73"/>
      <c r="F780" s="73"/>
      <c r="G780" s="73"/>
      <c r="H780" s="73"/>
      <c r="I780" s="73"/>
      <c r="J780" s="73"/>
      <c r="K780" s="73"/>
      <c r="L780" s="73"/>
      <c r="M780" s="73"/>
      <c r="N780" s="73"/>
      <c r="O780" s="73"/>
      <c r="P780" s="73"/>
      <c r="Q780" s="73"/>
      <c r="R780" s="73"/>
      <c r="S780" s="73"/>
      <c r="T780" s="73"/>
      <c r="U780" s="73"/>
      <c r="V780" s="73"/>
      <c r="W780" s="73"/>
      <c r="X780" s="73"/>
      <c r="Y780" s="73"/>
      <c r="Z780" s="73"/>
      <c r="AA780" s="75"/>
      <c r="AB780" s="75"/>
      <c r="AC780" s="55"/>
      <c r="AD780" s="89"/>
      <c r="AE780" s="89"/>
      <c r="AF780" s="89"/>
      <c r="AG780" s="91"/>
      <c r="AH780" s="48"/>
      <c r="AI780" s="39"/>
      <c r="AK780" s="41"/>
    </row>
    <row r="781" spans="1:37" ht="21">
      <c r="A781" s="32" t="s">
        <v>1037</v>
      </c>
      <c r="B781" s="92" t="s">
        <v>401</v>
      </c>
      <c r="C781" s="93" t="s">
        <v>402</v>
      </c>
      <c r="D781" s="88" t="s">
        <v>38</v>
      </c>
      <c r="E781" s="73"/>
      <c r="F781" s="73"/>
      <c r="G781" s="73"/>
      <c r="H781" s="73"/>
      <c r="I781" s="73"/>
      <c r="J781" s="73"/>
      <c r="K781" s="73"/>
      <c r="L781" s="73"/>
      <c r="M781" s="73"/>
      <c r="N781" s="73"/>
      <c r="O781" s="73"/>
      <c r="P781" s="73"/>
      <c r="Q781" s="73"/>
      <c r="R781" s="73"/>
      <c r="S781" s="73"/>
      <c r="T781" s="73"/>
      <c r="U781" s="73"/>
      <c r="V781" s="73"/>
      <c r="W781" s="73"/>
      <c r="X781" s="73"/>
      <c r="Y781" s="73"/>
      <c r="Z781" s="73"/>
      <c r="AA781" s="75"/>
      <c r="AB781" s="75"/>
      <c r="AC781" s="55"/>
      <c r="AD781" s="89"/>
      <c r="AE781" s="89"/>
      <c r="AF781" s="89"/>
      <c r="AG781" s="57"/>
      <c r="AH781" s="58"/>
      <c r="AI781" s="39"/>
      <c r="AK781" s="41"/>
    </row>
    <row r="782" spans="1:37" ht="21">
      <c r="A782" s="32" t="s">
        <v>1038</v>
      </c>
      <c r="B782" s="92" t="s">
        <v>403</v>
      </c>
      <c r="C782" s="93" t="s">
        <v>404</v>
      </c>
      <c r="D782" s="88" t="s">
        <v>38</v>
      </c>
      <c r="E782" s="73"/>
      <c r="F782" s="73"/>
      <c r="G782" s="73"/>
      <c r="H782" s="73"/>
      <c r="I782" s="73"/>
      <c r="J782" s="73"/>
      <c r="K782" s="73"/>
      <c r="L782" s="73"/>
      <c r="M782" s="73"/>
      <c r="N782" s="73"/>
      <c r="O782" s="73"/>
      <c r="P782" s="73"/>
      <c r="Q782" s="73"/>
      <c r="R782" s="73"/>
      <c r="S782" s="73"/>
      <c r="T782" s="73"/>
      <c r="U782" s="73"/>
      <c r="V782" s="73"/>
      <c r="W782" s="73"/>
      <c r="X782" s="73"/>
      <c r="Y782" s="73"/>
      <c r="Z782" s="73"/>
      <c r="AA782" s="75"/>
      <c r="AB782" s="75"/>
      <c r="AC782" s="55"/>
      <c r="AD782" s="89"/>
      <c r="AE782" s="89"/>
      <c r="AF782" s="89"/>
      <c r="AG782" s="57"/>
      <c r="AH782" s="58"/>
      <c r="AI782" s="39"/>
      <c r="AK782" s="41"/>
    </row>
    <row r="783" spans="1:37" ht="21">
      <c r="A783" s="32" t="s">
        <v>1039</v>
      </c>
      <c r="B783" s="94" t="s">
        <v>496</v>
      </c>
      <c r="C783" s="95" t="s">
        <v>497</v>
      </c>
      <c r="D783" s="88"/>
      <c r="E783" s="73"/>
      <c r="F783" s="73"/>
      <c r="G783" s="73"/>
      <c r="H783" s="73"/>
      <c r="I783" s="73"/>
      <c r="J783" s="73"/>
      <c r="K783" s="73"/>
      <c r="L783" s="73"/>
      <c r="M783" s="73"/>
      <c r="N783" s="73"/>
      <c r="O783" s="73"/>
      <c r="P783" s="73"/>
      <c r="Q783" s="73"/>
      <c r="R783" s="73"/>
      <c r="S783" s="73"/>
      <c r="T783" s="73"/>
      <c r="U783" s="73"/>
      <c r="V783" s="73"/>
      <c r="W783" s="73"/>
      <c r="X783" s="73"/>
      <c r="Y783" s="73"/>
      <c r="Z783" s="73"/>
      <c r="AA783" s="75"/>
      <c r="AB783" s="75"/>
      <c r="AC783" s="55"/>
      <c r="AD783" s="89"/>
      <c r="AE783" s="89"/>
      <c r="AF783" s="89"/>
      <c r="AG783" s="91"/>
      <c r="AH783" s="48"/>
      <c r="AI783" s="39"/>
      <c r="AK783" s="41"/>
    </row>
    <row r="784" spans="1:37" ht="21">
      <c r="A784" s="32" t="s">
        <v>1040</v>
      </c>
      <c r="B784" s="92" t="s">
        <v>401</v>
      </c>
      <c r="C784" s="93" t="s">
        <v>402</v>
      </c>
      <c r="D784" s="88" t="s">
        <v>38</v>
      </c>
      <c r="E784" s="73"/>
      <c r="F784" s="73"/>
      <c r="G784" s="73"/>
      <c r="H784" s="73"/>
      <c r="I784" s="73"/>
      <c r="J784" s="73"/>
      <c r="K784" s="73"/>
      <c r="L784" s="73"/>
      <c r="M784" s="73"/>
      <c r="N784" s="73"/>
      <c r="O784" s="73"/>
      <c r="P784" s="73"/>
      <c r="Q784" s="73"/>
      <c r="R784" s="73"/>
      <c r="S784" s="73"/>
      <c r="T784" s="73"/>
      <c r="U784" s="73"/>
      <c r="V784" s="73"/>
      <c r="W784" s="73"/>
      <c r="X784" s="73"/>
      <c r="Y784" s="73"/>
      <c r="Z784" s="73"/>
      <c r="AA784" s="75"/>
      <c r="AB784" s="75"/>
      <c r="AC784" s="55"/>
      <c r="AD784" s="89"/>
      <c r="AE784" s="89"/>
      <c r="AF784" s="89"/>
      <c r="AG784" s="57"/>
      <c r="AH784" s="58"/>
      <c r="AI784" s="39"/>
      <c r="AK784" s="41"/>
    </row>
    <row r="785" spans="1:37" ht="21">
      <c r="A785" s="32" t="s">
        <v>1041</v>
      </c>
      <c r="B785" s="92" t="s">
        <v>403</v>
      </c>
      <c r="C785" s="93" t="s">
        <v>404</v>
      </c>
      <c r="D785" s="88" t="s">
        <v>38</v>
      </c>
      <c r="E785" s="73"/>
      <c r="F785" s="73"/>
      <c r="G785" s="73"/>
      <c r="H785" s="73"/>
      <c r="I785" s="73"/>
      <c r="J785" s="73"/>
      <c r="K785" s="73"/>
      <c r="L785" s="73"/>
      <c r="M785" s="73"/>
      <c r="N785" s="73"/>
      <c r="O785" s="73"/>
      <c r="P785" s="73"/>
      <c r="Q785" s="73"/>
      <c r="R785" s="73"/>
      <c r="S785" s="73"/>
      <c r="T785" s="73"/>
      <c r="U785" s="73"/>
      <c r="V785" s="73"/>
      <c r="W785" s="73"/>
      <c r="X785" s="73"/>
      <c r="Y785" s="73"/>
      <c r="Z785" s="73"/>
      <c r="AA785" s="75"/>
      <c r="AB785" s="75"/>
      <c r="AC785" s="55"/>
      <c r="AD785" s="89"/>
      <c r="AE785" s="89"/>
      <c r="AF785" s="89"/>
      <c r="AG785" s="57"/>
      <c r="AH785" s="58"/>
      <c r="AI785" s="39"/>
      <c r="AK785" s="41"/>
    </row>
    <row r="786" spans="1:37" ht="21">
      <c r="A786" s="32" t="s">
        <v>1042</v>
      </c>
      <c r="B786" s="94" t="s">
        <v>15</v>
      </c>
      <c r="C786" s="95" t="s">
        <v>498</v>
      </c>
      <c r="D786" s="88"/>
      <c r="E786" s="73"/>
      <c r="F786" s="73"/>
      <c r="G786" s="73"/>
      <c r="H786" s="73"/>
      <c r="I786" s="73"/>
      <c r="J786" s="73"/>
      <c r="K786" s="73"/>
      <c r="L786" s="73"/>
      <c r="M786" s="73"/>
      <c r="N786" s="73"/>
      <c r="O786" s="73"/>
      <c r="P786" s="73"/>
      <c r="Q786" s="73"/>
      <c r="R786" s="73"/>
      <c r="S786" s="73"/>
      <c r="T786" s="73"/>
      <c r="U786" s="73"/>
      <c r="V786" s="73"/>
      <c r="W786" s="73"/>
      <c r="X786" s="73"/>
      <c r="Y786" s="73"/>
      <c r="Z786" s="73"/>
      <c r="AA786" s="75"/>
      <c r="AB786" s="75"/>
      <c r="AC786" s="55"/>
      <c r="AD786" s="89"/>
      <c r="AE786" s="89"/>
      <c r="AF786" s="89"/>
      <c r="AG786" s="91"/>
      <c r="AH786" s="48"/>
      <c r="AI786" s="39"/>
      <c r="AK786" s="41"/>
    </row>
    <row r="787" spans="1:37" ht="21">
      <c r="A787" s="32" t="s">
        <v>1043</v>
      </c>
      <c r="B787" s="131" t="s">
        <v>499</v>
      </c>
      <c r="C787" s="95" t="s">
        <v>500</v>
      </c>
      <c r="D787" s="88"/>
      <c r="E787" s="73"/>
      <c r="F787" s="73"/>
      <c r="G787" s="73"/>
      <c r="H787" s="73"/>
      <c r="I787" s="73"/>
      <c r="J787" s="73"/>
      <c r="K787" s="73"/>
      <c r="L787" s="73"/>
      <c r="M787" s="73"/>
      <c r="N787" s="73"/>
      <c r="O787" s="73"/>
      <c r="P787" s="73"/>
      <c r="Q787" s="73"/>
      <c r="R787" s="73"/>
      <c r="S787" s="73"/>
      <c r="T787" s="73"/>
      <c r="U787" s="73"/>
      <c r="V787" s="73"/>
      <c r="W787" s="73"/>
      <c r="X787" s="73"/>
      <c r="Y787" s="73"/>
      <c r="Z787" s="73"/>
      <c r="AA787" s="75"/>
      <c r="AB787" s="75"/>
      <c r="AC787" s="55"/>
      <c r="AD787" s="89"/>
      <c r="AE787" s="89"/>
      <c r="AF787" s="89"/>
      <c r="AG787" s="91"/>
      <c r="AH787" s="48"/>
      <c r="AI787" s="39"/>
      <c r="AK787" s="41"/>
    </row>
    <row r="788" spans="1:37" ht="21">
      <c r="A788" s="32" t="s">
        <v>1044</v>
      </c>
      <c r="B788" s="92" t="s">
        <v>401</v>
      </c>
      <c r="C788" s="93" t="s">
        <v>402</v>
      </c>
      <c r="D788" s="88" t="s">
        <v>38</v>
      </c>
      <c r="E788" s="73"/>
      <c r="F788" s="73"/>
      <c r="G788" s="73"/>
      <c r="H788" s="73"/>
      <c r="I788" s="73"/>
      <c r="J788" s="73"/>
      <c r="K788" s="73"/>
      <c r="L788" s="73"/>
      <c r="M788" s="73"/>
      <c r="N788" s="73"/>
      <c r="O788" s="73"/>
      <c r="P788" s="73"/>
      <c r="Q788" s="73"/>
      <c r="R788" s="73"/>
      <c r="S788" s="73"/>
      <c r="T788" s="73"/>
      <c r="U788" s="73"/>
      <c r="V788" s="73"/>
      <c r="W788" s="73"/>
      <c r="X788" s="73"/>
      <c r="Y788" s="73"/>
      <c r="Z788" s="73"/>
      <c r="AA788" s="75"/>
      <c r="AB788" s="75"/>
      <c r="AC788" s="55"/>
      <c r="AD788" s="89"/>
      <c r="AE788" s="89"/>
      <c r="AF788" s="89"/>
      <c r="AG788" s="57"/>
      <c r="AH788" s="58"/>
      <c r="AI788" s="39"/>
      <c r="AK788" s="41"/>
    </row>
    <row r="789" spans="1:37" ht="21">
      <c r="A789" s="32" t="s">
        <v>1045</v>
      </c>
      <c r="B789" s="92" t="s">
        <v>403</v>
      </c>
      <c r="C789" s="93" t="s">
        <v>404</v>
      </c>
      <c r="D789" s="88" t="s">
        <v>38</v>
      </c>
      <c r="E789" s="73"/>
      <c r="F789" s="73"/>
      <c r="G789" s="73"/>
      <c r="H789" s="73"/>
      <c r="I789" s="73"/>
      <c r="J789" s="73"/>
      <c r="K789" s="73"/>
      <c r="L789" s="73"/>
      <c r="M789" s="73"/>
      <c r="N789" s="73"/>
      <c r="O789" s="73"/>
      <c r="P789" s="73"/>
      <c r="Q789" s="73"/>
      <c r="R789" s="73"/>
      <c r="S789" s="73"/>
      <c r="T789" s="73"/>
      <c r="U789" s="73"/>
      <c r="V789" s="73"/>
      <c r="W789" s="73"/>
      <c r="X789" s="73"/>
      <c r="Y789" s="73"/>
      <c r="Z789" s="73"/>
      <c r="AA789" s="75"/>
      <c r="AB789" s="75"/>
      <c r="AC789" s="55"/>
      <c r="AD789" s="89"/>
      <c r="AE789" s="89"/>
      <c r="AF789" s="89"/>
      <c r="AG789" s="57"/>
      <c r="AH789" s="58"/>
      <c r="AI789" s="39"/>
      <c r="AK789" s="41"/>
    </row>
    <row r="790" spans="1:37" ht="21">
      <c r="A790" s="32" t="s">
        <v>1046</v>
      </c>
      <c r="B790" s="131" t="s">
        <v>24</v>
      </c>
      <c r="C790" s="95" t="s">
        <v>501</v>
      </c>
      <c r="D790" s="88"/>
      <c r="E790" s="73"/>
      <c r="F790" s="73"/>
      <c r="G790" s="73"/>
      <c r="H790" s="73"/>
      <c r="I790" s="73"/>
      <c r="J790" s="73"/>
      <c r="K790" s="73"/>
      <c r="L790" s="73"/>
      <c r="M790" s="73"/>
      <c r="N790" s="73"/>
      <c r="O790" s="73"/>
      <c r="P790" s="73"/>
      <c r="Q790" s="73"/>
      <c r="R790" s="73"/>
      <c r="S790" s="73"/>
      <c r="T790" s="73"/>
      <c r="U790" s="73"/>
      <c r="V790" s="73"/>
      <c r="W790" s="73"/>
      <c r="X790" s="73"/>
      <c r="Y790" s="73"/>
      <c r="Z790" s="73"/>
      <c r="AA790" s="75"/>
      <c r="AB790" s="75"/>
      <c r="AC790" s="55"/>
      <c r="AD790" s="89"/>
      <c r="AE790" s="89"/>
      <c r="AF790" s="89"/>
      <c r="AG790" s="91"/>
      <c r="AH790" s="58"/>
      <c r="AI790" s="39"/>
      <c r="AK790" s="41"/>
    </row>
    <row r="791" spans="1:37" ht="21">
      <c r="A791" s="32" t="s">
        <v>1047</v>
      </c>
      <c r="B791" s="92" t="s">
        <v>401</v>
      </c>
      <c r="C791" s="93" t="s">
        <v>402</v>
      </c>
      <c r="D791" s="88" t="s">
        <v>38</v>
      </c>
      <c r="E791" s="73"/>
      <c r="F791" s="73"/>
      <c r="G791" s="73"/>
      <c r="H791" s="73"/>
      <c r="I791" s="73"/>
      <c r="J791" s="73"/>
      <c r="K791" s="73"/>
      <c r="L791" s="73"/>
      <c r="M791" s="73"/>
      <c r="N791" s="73"/>
      <c r="O791" s="73"/>
      <c r="P791" s="73"/>
      <c r="Q791" s="73"/>
      <c r="R791" s="73"/>
      <c r="S791" s="73"/>
      <c r="T791" s="73"/>
      <c r="U791" s="73"/>
      <c r="V791" s="73"/>
      <c r="W791" s="73"/>
      <c r="X791" s="73"/>
      <c r="Y791" s="73"/>
      <c r="Z791" s="73"/>
      <c r="AA791" s="75"/>
      <c r="AB791" s="75"/>
      <c r="AC791" s="55"/>
      <c r="AD791" s="89"/>
      <c r="AE791" s="89"/>
      <c r="AF791" s="89"/>
      <c r="AG791" s="57"/>
      <c r="AH791" s="58"/>
      <c r="AI791" s="39"/>
      <c r="AK791" s="41"/>
    </row>
    <row r="792" spans="1:37" ht="21">
      <c r="A792" s="32" t="s">
        <v>1048</v>
      </c>
      <c r="B792" s="92" t="s">
        <v>403</v>
      </c>
      <c r="C792" s="93" t="s">
        <v>404</v>
      </c>
      <c r="D792" s="88" t="s">
        <v>38</v>
      </c>
      <c r="E792" s="73"/>
      <c r="F792" s="73"/>
      <c r="G792" s="73"/>
      <c r="H792" s="73"/>
      <c r="I792" s="73"/>
      <c r="J792" s="73"/>
      <c r="K792" s="73"/>
      <c r="L792" s="73"/>
      <c r="M792" s="73"/>
      <c r="N792" s="73"/>
      <c r="O792" s="73"/>
      <c r="P792" s="73"/>
      <c r="Q792" s="73"/>
      <c r="R792" s="73"/>
      <c r="S792" s="73"/>
      <c r="T792" s="73"/>
      <c r="U792" s="73"/>
      <c r="V792" s="73"/>
      <c r="W792" s="73"/>
      <c r="X792" s="73"/>
      <c r="Y792" s="73"/>
      <c r="Z792" s="73"/>
      <c r="AA792" s="75"/>
      <c r="AB792" s="75"/>
      <c r="AC792" s="55"/>
      <c r="AD792" s="89"/>
      <c r="AE792" s="89"/>
      <c r="AF792" s="89"/>
      <c r="AG792" s="57"/>
      <c r="AH792" s="58"/>
      <c r="AI792" s="39"/>
      <c r="AK792" s="41"/>
    </row>
    <row r="793" spans="1:37" ht="21">
      <c r="A793" s="32" t="s">
        <v>1049</v>
      </c>
      <c r="B793" s="94" t="s">
        <v>25</v>
      </c>
      <c r="C793" s="95" t="s">
        <v>502</v>
      </c>
      <c r="D793" s="88"/>
      <c r="E793" s="73"/>
      <c r="F793" s="73"/>
      <c r="G793" s="73"/>
      <c r="H793" s="73"/>
      <c r="I793" s="73"/>
      <c r="J793" s="73"/>
      <c r="K793" s="73"/>
      <c r="L793" s="73"/>
      <c r="M793" s="73"/>
      <c r="N793" s="73"/>
      <c r="O793" s="73"/>
      <c r="P793" s="73"/>
      <c r="Q793" s="73"/>
      <c r="R793" s="73"/>
      <c r="S793" s="73"/>
      <c r="T793" s="73"/>
      <c r="U793" s="73"/>
      <c r="V793" s="73"/>
      <c r="W793" s="73"/>
      <c r="X793" s="73"/>
      <c r="Y793" s="73"/>
      <c r="Z793" s="73"/>
      <c r="AA793" s="75"/>
      <c r="AB793" s="75"/>
      <c r="AC793" s="55"/>
      <c r="AD793" s="89"/>
      <c r="AE793" s="89"/>
      <c r="AF793" s="89"/>
      <c r="AG793" s="91"/>
      <c r="AH793" s="48"/>
      <c r="AI793" s="39"/>
      <c r="AK793" s="41"/>
    </row>
    <row r="794" spans="1:37" ht="21">
      <c r="A794" s="32" t="s">
        <v>1050</v>
      </c>
      <c r="B794" s="92" t="s">
        <v>401</v>
      </c>
      <c r="C794" s="93" t="s">
        <v>402</v>
      </c>
      <c r="D794" s="88" t="s">
        <v>38</v>
      </c>
      <c r="E794" s="73"/>
      <c r="F794" s="73"/>
      <c r="G794" s="73"/>
      <c r="H794" s="73"/>
      <c r="I794" s="73"/>
      <c r="J794" s="73"/>
      <c r="K794" s="73"/>
      <c r="L794" s="73"/>
      <c r="M794" s="73"/>
      <c r="N794" s="73"/>
      <c r="O794" s="73"/>
      <c r="P794" s="73"/>
      <c r="Q794" s="73"/>
      <c r="R794" s="73"/>
      <c r="S794" s="73"/>
      <c r="T794" s="73"/>
      <c r="U794" s="73"/>
      <c r="V794" s="73"/>
      <c r="W794" s="73"/>
      <c r="X794" s="73"/>
      <c r="Y794" s="73"/>
      <c r="Z794" s="73"/>
      <c r="AA794" s="75"/>
      <c r="AB794" s="75"/>
      <c r="AC794" s="55"/>
      <c r="AD794" s="89"/>
      <c r="AE794" s="89"/>
      <c r="AF794" s="89"/>
      <c r="AG794" s="57"/>
      <c r="AH794" s="58"/>
      <c r="AI794" s="39"/>
      <c r="AK794" s="41"/>
    </row>
    <row r="795" spans="1:37" ht="21">
      <c r="A795" s="32" t="s">
        <v>1051</v>
      </c>
      <c r="B795" s="92" t="s">
        <v>403</v>
      </c>
      <c r="C795" s="93" t="s">
        <v>404</v>
      </c>
      <c r="D795" s="88" t="s">
        <v>38</v>
      </c>
      <c r="E795" s="73"/>
      <c r="F795" s="73"/>
      <c r="G795" s="73"/>
      <c r="H795" s="73"/>
      <c r="I795" s="73"/>
      <c r="J795" s="73"/>
      <c r="K795" s="73"/>
      <c r="L795" s="73"/>
      <c r="M795" s="73"/>
      <c r="N795" s="73"/>
      <c r="O795" s="73"/>
      <c r="P795" s="73"/>
      <c r="Q795" s="73"/>
      <c r="R795" s="73"/>
      <c r="S795" s="73"/>
      <c r="T795" s="73"/>
      <c r="U795" s="73"/>
      <c r="V795" s="73"/>
      <c r="W795" s="73"/>
      <c r="X795" s="73"/>
      <c r="Y795" s="73"/>
      <c r="Z795" s="73"/>
      <c r="AA795" s="75"/>
      <c r="AB795" s="75"/>
      <c r="AC795" s="55"/>
      <c r="AD795" s="89"/>
      <c r="AE795" s="89"/>
      <c r="AF795" s="89"/>
      <c r="AG795" s="57"/>
      <c r="AH795" s="58"/>
      <c r="AI795" s="39"/>
      <c r="AK795" s="41"/>
    </row>
    <row r="796" spans="1:37" ht="21">
      <c r="A796" s="32" t="s">
        <v>1052</v>
      </c>
      <c r="B796" s="94" t="s">
        <v>60</v>
      </c>
      <c r="C796" s="95" t="s">
        <v>503</v>
      </c>
      <c r="D796" s="88"/>
      <c r="E796" s="73"/>
      <c r="F796" s="73"/>
      <c r="G796" s="73"/>
      <c r="H796" s="73"/>
      <c r="I796" s="73"/>
      <c r="J796" s="73"/>
      <c r="K796" s="73"/>
      <c r="L796" s="73"/>
      <c r="M796" s="73"/>
      <c r="N796" s="73"/>
      <c r="O796" s="73"/>
      <c r="P796" s="73"/>
      <c r="Q796" s="73"/>
      <c r="R796" s="73"/>
      <c r="S796" s="73"/>
      <c r="T796" s="73"/>
      <c r="U796" s="73"/>
      <c r="V796" s="73"/>
      <c r="W796" s="73"/>
      <c r="X796" s="73"/>
      <c r="Y796" s="73"/>
      <c r="Z796" s="73"/>
      <c r="AA796" s="75"/>
      <c r="AB796" s="75"/>
      <c r="AC796" s="55"/>
      <c r="AD796" s="89"/>
      <c r="AE796" s="89"/>
      <c r="AF796" s="89"/>
      <c r="AG796" s="91"/>
      <c r="AH796" s="48"/>
      <c r="AI796" s="39"/>
      <c r="AK796" s="41"/>
    </row>
    <row r="797" spans="1:37" ht="21">
      <c r="A797" s="32" t="s">
        <v>1053</v>
      </c>
      <c r="B797" s="92" t="s">
        <v>401</v>
      </c>
      <c r="C797" s="93" t="s">
        <v>402</v>
      </c>
      <c r="D797" s="88" t="s">
        <v>38</v>
      </c>
      <c r="E797" s="73"/>
      <c r="F797" s="73"/>
      <c r="G797" s="73"/>
      <c r="H797" s="73"/>
      <c r="I797" s="73"/>
      <c r="J797" s="73"/>
      <c r="K797" s="73"/>
      <c r="L797" s="73"/>
      <c r="M797" s="73"/>
      <c r="N797" s="73"/>
      <c r="O797" s="73"/>
      <c r="P797" s="73"/>
      <c r="Q797" s="73"/>
      <c r="R797" s="73"/>
      <c r="S797" s="73"/>
      <c r="T797" s="73"/>
      <c r="U797" s="73"/>
      <c r="V797" s="73"/>
      <c r="W797" s="73"/>
      <c r="X797" s="73"/>
      <c r="Y797" s="73"/>
      <c r="Z797" s="73"/>
      <c r="AA797" s="75"/>
      <c r="AB797" s="75"/>
      <c r="AC797" s="55"/>
      <c r="AD797" s="89"/>
      <c r="AE797" s="89"/>
      <c r="AF797" s="89"/>
      <c r="AG797" s="57"/>
      <c r="AH797" s="58"/>
      <c r="AI797" s="39"/>
      <c r="AK797" s="41"/>
    </row>
    <row r="798" spans="1:37" ht="21">
      <c r="A798" s="32" t="s">
        <v>1054</v>
      </c>
      <c r="B798" s="92" t="s">
        <v>403</v>
      </c>
      <c r="C798" s="93" t="s">
        <v>404</v>
      </c>
      <c r="D798" s="88" t="s">
        <v>38</v>
      </c>
      <c r="E798" s="73"/>
      <c r="F798" s="73"/>
      <c r="G798" s="73"/>
      <c r="H798" s="73"/>
      <c r="I798" s="73"/>
      <c r="J798" s="73"/>
      <c r="K798" s="73"/>
      <c r="L798" s="73"/>
      <c r="M798" s="73"/>
      <c r="N798" s="73"/>
      <c r="O798" s="73"/>
      <c r="P798" s="73"/>
      <c r="Q798" s="73"/>
      <c r="R798" s="73"/>
      <c r="S798" s="73"/>
      <c r="T798" s="73"/>
      <c r="U798" s="73"/>
      <c r="V798" s="73"/>
      <c r="W798" s="73"/>
      <c r="X798" s="73"/>
      <c r="Y798" s="73"/>
      <c r="Z798" s="73"/>
      <c r="AA798" s="75"/>
      <c r="AB798" s="75"/>
      <c r="AC798" s="55"/>
      <c r="AD798" s="89"/>
      <c r="AE798" s="89"/>
      <c r="AF798" s="89"/>
      <c r="AG798" s="57"/>
      <c r="AH798" s="58"/>
      <c r="AI798" s="39"/>
      <c r="AK798" s="41"/>
    </row>
    <row r="799" spans="1:37" ht="21">
      <c r="A799" s="32" t="s">
        <v>1055</v>
      </c>
      <c r="B799" s="94" t="s">
        <v>62</v>
      </c>
      <c r="C799" s="95" t="s">
        <v>504</v>
      </c>
      <c r="D799" s="88"/>
      <c r="E799" s="73"/>
      <c r="F799" s="73"/>
      <c r="G799" s="73"/>
      <c r="H799" s="73"/>
      <c r="I799" s="73"/>
      <c r="J799" s="73"/>
      <c r="K799" s="73"/>
      <c r="L799" s="73"/>
      <c r="M799" s="73"/>
      <c r="N799" s="73"/>
      <c r="O799" s="73"/>
      <c r="P799" s="73"/>
      <c r="Q799" s="73"/>
      <c r="R799" s="73"/>
      <c r="S799" s="73"/>
      <c r="T799" s="73"/>
      <c r="U799" s="73"/>
      <c r="V799" s="73"/>
      <c r="W799" s="73"/>
      <c r="X799" s="73"/>
      <c r="Y799" s="73"/>
      <c r="Z799" s="73"/>
      <c r="AA799" s="75"/>
      <c r="AB799" s="75"/>
      <c r="AC799" s="55"/>
      <c r="AD799" s="89"/>
      <c r="AE799" s="89"/>
      <c r="AF799" s="89"/>
      <c r="AG799" s="91"/>
      <c r="AH799" s="48"/>
      <c r="AI799" s="39"/>
      <c r="AK799" s="41"/>
    </row>
    <row r="800" spans="1:37" ht="21">
      <c r="A800" s="32" t="s">
        <v>1056</v>
      </c>
      <c r="B800" s="92" t="s">
        <v>401</v>
      </c>
      <c r="C800" s="93" t="s">
        <v>402</v>
      </c>
      <c r="D800" s="88" t="s">
        <v>38</v>
      </c>
      <c r="E800" s="73"/>
      <c r="F800" s="73"/>
      <c r="G800" s="73"/>
      <c r="H800" s="73"/>
      <c r="I800" s="73"/>
      <c r="J800" s="73"/>
      <c r="K800" s="73"/>
      <c r="L800" s="73"/>
      <c r="M800" s="73"/>
      <c r="N800" s="73"/>
      <c r="O800" s="73"/>
      <c r="P800" s="73"/>
      <c r="Q800" s="73"/>
      <c r="R800" s="73"/>
      <c r="S800" s="73"/>
      <c r="T800" s="73"/>
      <c r="U800" s="73"/>
      <c r="V800" s="73"/>
      <c r="W800" s="73"/>
      <c r="X800" s="73"/>
      <c r="Y800" s="73"/>
      <c r="Z800" s="73"/>
      <c r="AA800" s="75"/>
      <c r="AB800" s="75"/>
      <c r="AC800" s="55"/>
      <c r="AD800" s="89"/>
      <c r="AE800" s="89"/>
      <c r="AF800" s="89"/>
      <c r="AG800" s="57"/>
      <c r="AH800" s="58"/>
      <c r="AI800" s="39"/>
      <c r="AK800" s="41"/>
    </row>
    <row r="801" spans="1:37" ht="21">
      <c r="A801" s="32" t="s">
        <v>1057</v>
      </c>
      <c r="B801" s="92" t="s">
        <v>403</v>
      </c>
      <c r="C801" s="93" t="s">
        <v>404</v>
      </c>
      <c r="D801" s="88" t="s">
        <v>38</v>
      </c>
      <c r="E801" s="73"/>
      <c r="F801" s="73"/>
      <c r="G801" s="73"/>
      <c r="H801" s="73"/>
      <c r="I801" s="73"/>
      <c r="J801" s="73"/>
      <c r="K801" s="73"/>
      <c r="L801" s="73"/>
      <c r="M801" s="73"/>
      <c r="N801" s="73"/>
      <c r="O801" s="73"/>
      <c r="P801" s="73"/>
      <c r="Q801" s="73"/>
      <c r="R801" s="73"/>
      <c r="S801" s="73"/>
      <c r="T801" s="73"/>
      <c r="U801" s="73"/>
      <c r="V801" s="73"/>
      <c r="W801" s="73"/>
      <c r="X801" s="73"/>
      <c r="Y801" s="73"/>
      <c r="Z801" s="73"/>
      <c r="AA801" s="75"/>
      <c r="AB801" s="75"/>
      <c r="AC801" s="55"/>
      <c r="AD801" s="89"/>
      <c r="AE801" s="89"/>
      <c r="AF801" s="89"/>
      <c r="AG801" s="57"/>
      <c r="AH801" s="58"/>
      <c r="AI801" s="39"/>
      <c r="AK801" s="41"/>
    </row>
    <row r="802" spans="1:37" ht="21">
      <c r="A802" s="32" t="s">
        <v>1058</v>
      </c>
      <c r="B802" s="94" t="s">
        <v>67</v>
      </c>
      <c r="C802" s="95" t="s">
        <v>505</v>
      </c>
      <c r="D802" s="88"/>
      <c r="E802" s="73"/>
      <c r="F802" s="73"/>
      <c r="G802" s="73"/>
      <c r="H802" s="73"/>
      <c r="I802" s="73"/>
      <c r="J802" s="73"/>
      <c r="K802" s="73"/>
      <c r="L802" s="73"/>
      <c r="M802" s="73"/>
      <c r="N802" s="73"/>
      <c r="O802" s="73"/>
      <c r="P802" s="73"/>
      <c r="Q802" s="73"/>
      <c r="R802" s="73"/>
      <c r="S802" s="73"/>
      <c r="T802" s="73"/>
      <c r="U802" s="73"/>
      <c r="V802" s="73"/>
      <c r="W802" s="73"/>
      <c r="X802" s="73"/>
      <c r="Y802" s="73"/>
      <c r="Z802" s="73"/>
      <c r="AA802" s="75"/>
      <c r="AB802" s="75"/>
      <c r="AC802" s="55"/>
      <c r="AD802" s="89"/>
      <c r="AE802" s="89"/>
      <c r="AF802" s="89"/>
      <c r="AG802" s="91"/>
      <c r="AH802" s="48"/>
      <c r="AI802" s="39"/>
      <c r="AK802" s="41"/>
    </row>
    <row r="803" spans="1:37" ht="21">
      <c r="A803" s="32" t="s">
        <v>1059</v>
      </c>
      <c r="B803" s="92" t="s">
        <v>401</v>
      </c>
      <c r="C803" s="93" t="s">
        <v>402</v>
      </c>
      <c r="D803" s="88" t="s">
        <v>38</v>
      </c>
      <c r="E803" s="73"/>
      <c r="F803" s="73"/>
      <c r="G803" s="73"/>
      <c r="H803" s="73"/>
      <c r="I803" s="73"/>
      <c r="J803" s="73"/>
      <c r="K803" s="73"/>
      <c r="L803" s="73"/>
      <c r="M803" s="73"/>
      <c r="N803" s="73"/>
      <c r="O803" s="73"/>
      <c r="P803" s="73"/>
      <c r="Q803" s="73"/>
      <c r="R803" s="73"/>
      <c r="S803" s="73"/>
      <c r="T803" s="73"/>
      <c r="U803" s="73"/>
      <c r="V803" s="73"/>
      <c r="W803" s="73"/>
      <c r="X803" s="73"/>
      <c r="Y803" s="73"/>
      <c r="Z803" s="73"/>
      <c r="AA803" s="75"/>
      <c r="AB803" s="75"/>
      <c r="AC803" s="55"/>
      <c r="AD803" s="89"/>
      <c r="AE803" s="89"/>
      <c r="AF803" s="89"/>
      <c r="AG803" s="57"/>
      <c r="AH803" s="58"/>
      <c r="AI803" s="39"/>
      <c r="AK803" s="41"/>
    </row>
    <row r="804" spans="1:37" ht="21">
      <c r="A804" s="32" t="s">
        <v>1060</v>
      </c>
      <c r="B804" s="92" t="s">
        <v>403</v>
      </c>
      <c r="C804" s="93" t="s">
        <v>404</v>
      </c>
      <c r="D804" s="88" t="s">
        <v>38</v>
      </c>
      <c r="E804" s="73"/>
      <c r="F804" s="73"/>
      <c r="G804" s="73"/>
      <c r="H804" s="73"/>
      <c r="I804" s="73"/>
      <c r="J804" s="73"/>
      <c r="K804" s="73"/>
      <c r="L804" s="73"/>
      <c r="M804" s="73"/>
      <c r="N804" s="73"/>
      <c r="O804" s="73"/>
      <c r="P804" s="73"/>
      <c r="Q804" s="73"/>
      <c r="R804" s="73"/>
      <c r="S804" s="73"/>
      <c r="T804" s="73"/>
      <c r="U804" s="73"/>
      <c r="V804" s="73"/>
      <c r="W804" s="73"/>
      <c r="X804" s="73"/>
      <c r="Y804" s="73"/>
      <c r="Z804" s="73"/>
      <c r="AA804" s="75"/>
      <c r="AB804" s="75"/>
      <c r="AC804" s="55"/>
      <c r="AD804" s="89"/>
      <c r="AE804" s="89"/>
      <c r="AF804" s="89"/>
      <c r="AG804" s="57"/>
      <c r="AH804" s="58"/>
      <c r="AI804" s="39"/>
      <c r="AK804" s="41"/>
    </row>
    <row r="805" spans="1:37" ht="21">
      <c r="A805" s="32" t="s">
        <v>1061</v>
      </c>
      <c r="B805" s="94" t="s">
        <v>71</v>
      </c>
      <c r="C805" s="95" t="s">
        <v>506</v>
      </c>
      <c r="D805" s="88"/>
      <c r="E805" s="73"/>
      <c r="F805" s="73"/>
      <c r="G805" s="73"/>
      <c r="H805" s="73"/>
      <c r="I805" s="73"/>
      <c r="J805" s="73"/>
      <c r="K805" s="73"/>
      <c r="L805" s="73"/>
      <c r="M805" s="73"/>
      <c r="N805" s="73"/>
      <c r="O805" s="73"/>
      <c r="P805" s="73"/>
      <c r="Q805" s="73"/>
      <c r="R805" s="73"/>
      <c r="S805" s="73"/>
      <c r="T805" s="73"/>
      <c r="U805" s="73"/>
      <c r="V805" s="73"/>
      <c r="W805" s="73"/>
      <c r="X805" s="73"/>
      <c r="Y805" s="73"/>
      <c r="Z805" s="73"/>
      <c r="AA805" s="75"/>
      <c r="AB805" s="75"/>
      <c r="AC805" s="55"/>
      <c r="AD805" s="89"/>
      <c r="AE805" s="89"/>
      <c r="AF805" s="89"/>
      <c r="AG805" s="91"/>
      <c r="AH805" s="48"/>
      <c r="AI805" s="39"/>
      <c r="AK805" s="41"/>
    </row>
    <row r="806" spans="1:37" ht="21">
      <c r="A806" s="32" t="s">
        <v>1062</v>
      </c>
      <c r="B806" s="92" t="s">
        <v>401</v>
      </c>
      <c r="C806" s="93" t="s">
        <v>402</v>
      </c>
      <c r="D806" s="88" t="s">
        <v>38</v>
      </c>
      <c r="E806" s="73"/>
      <c r="F806" s="73"/>
      <c r="G806" s="73"/>
      <c r="H806" s="73"/>
      <c r="I806" s="73"/>
      <c r="J806" s="73"/>
      <c r="K806" s="73"/>
      <c r="L806" s="73"/>
      <c r="M806" s="73"/>
      <c r="N806" s="73"/>
      <c r="O806" s="73"/>
      <c r="P806" s="73"/>
      <c r="Q806" s="73"/>
      <c r="R806" s="73"/>
      <c r="S806" s="73"/>
      <c r="T806" s="73"/>
      <c r="U806" s="73"/>
      <c r="V806" s="73"/>
      <c r="W806" s="73"/>
      <c r="X806" s="73"/>
      <c r="Y806" s="73"/>
      <c r="Z806" s="73"/>
      <c r="AA806" s="75"/>
      <c r="AB806" s="75"/>
      <c r="AC806" s="55"/>
      <c r="AD806" s="89"/>
      <c r="AE806" s="89"/>
      <c r="AF806" s="89"/>
      <c r="AG806" s="57"/>
      <c r="AH806" s="58"/>
      <c r="AI806" s="39"/>
      <c r="AK806" s="41"/>
    </row>
    <row r="807" spans="1:37" ht="21">
      <c r="A807" s="32" t="s">
        <v>1063</v>
      </c>
      <c r="B807" s="92" t="s">
        <v>403</v>
      </c>
      <c r="C807" s="93" t="s">
        <v>404</v>
      </c>
      <c r="D807" s="88" t="s">
        <v>38</v>
      </c>
      <c r="E807" s="73"/>
      <c r="F807" s="73"/>
      <c r="G807" s="73"/>
      <c r="H807" s="73"/>
      <c r="I807" s="73"/>
      <c r="J807" s="73"/>
      <c r="K807" s="73"/>
      <c r="L807" s="73"/>
      <c r="M807" s="73"/>
      <c r="N807" s="73"/>
      <c r="O807" s="73"/>
      <c r="P807" s="73"/>
      <c r="Q807" s="73"/>
      <c r="R807" s="73"/>
      <c r="S807" s="73"/>
      <c r="T807" s="73"/>
      <c r="U807" s="73"/>
      <c r="V807" s="73"/>
      <c r="W807" s="73"/>
      <c r="X807" s="73"/>
      <c r="Y807" s="73"/>
      <c r="Z807" s="73"/>
      <c r="AA807" s="75"/>
      <c r="AB807" s="75"/>
      <c r="AC807" s="55"/>
      <c r="AD807" s="89"/>
      <c r="AE807" s="89"/>
      <c r="AF807" s="89"/>
      <c r="AG807" s="57"/>
      <c r="AH807" s="58"/>
      <c r="AI807" s="39"/>
      <c r="AK807" s="41"/>
    </row>
    <row r="808" spans="1:37" ht="21">
      <c r="A808" s="32" t="s">
        <v>1064</v>
      </c>
      <c r="B808" s="94" t="s">
        <v>75</v>
      </c>
      <c r="C808" s="95" t="s">
        <v>495</v>
      </c>
      <c r="D808" s="88"/>
      <c r="E808" s="73"/>
      <c r="F808" s="73"/>
      <c r="G808" s="73"/>
      <c r="H808" s="73"/>
      <c r="I808" s="73"/>
      <c r="J808" s="73"/>
      <c r="K808" s="73"/>
      <c r="L808" s="73"/>
      <c r="M808" s="73"/>
      <c r="N808" s="73"/>
      <c r="O808" s="73"/>
      <c r="P808" s="73"/>
      <c r="Q808" s="73"/>
      <c r="R808" s="73"/>
      <c r="S808" s="73"/>
      <c r="T808" s="73"/>
      <c r="U808" s="73"/>
      <c r="V808" s="73"/>
      <c r="W808" s="73"/>
      <c r="X808" s="73"/>
      <c r="Y808" s="73"/>
      <c r="Z808" s="73"/>
      <c r="AA808" s="75"/>
      <c r="AB808" s="75"/>
      <c r="AC808" s="55"/>
      <c r="AD808" s="89"/>
      <c r="AE808" s="89"/>
      <c r="AF808" s="89"/>
      <c r="AG808" s="91"/>
      <c r="AH808" s="48"/>
      <c r="AI808" s="39"/>
      <c r="AK808" s="41"/>
    </row>
    <row r="809" spans="1:37" ht="21">
      <c r="A809" s="32" t="s">
        <v>1065</v>
      </c>
      <c r="B809" s="92" t="s">
        <v>401</v>
      </c>
      <c r="C809" s="93" t="s">
        <v>402</v>
      </c>
      <c r="D809" s="88" t="s">
        <v>38</v>
      </c>
      <c r="E809" s="73"/>
      <c r="F809" s="73"/>
      <c r="G809" s="73"/>
      <c r="H809" s="73"/>
      <c r="I809" s="73"/>
      <c r="J809" s="73"/>
      <c r="K809" s="73"/>
      <c r="L809" s="73"/>
      <c r="M809" s="73"/>
      <c r="N809" s="73"/>
      <c r="O809" s="73"/>
      <c r="P809" s="73"/>
      <c r="Q809" s="73"/>
      <c r="R809" s="73"/>
      <c r="S809" s="73"/>
      <c r="T809" s="73"/>
      <c r="U809" s="73"/>
      <c r="V809" s="73"/>
      <c r="W809" s="73"/>
      <c r="X809" s="73"/>
      <c r="Y809" s="73"/>
      <c r="Z809" s="73"/>
      <c r="AA809" s="75"/>
      <c r="AB809" s="75"/>
      <c r="AC809" s="55"/>
      <c r="AD809" s="89"/>
      <c r="AE809" s="89"/>
      <c r="AF809" s="89"/>
      <c r="AG809" s="57"/>
      <c r="AH809" s="58"/>
      <c r="AI809" s="39"/>
      <c r="AK809" s="41"/>
    </row>
    <row r="810" spans="1:37" ht="21">
      <c r="A810" s="32" t="s">
        <v>1066</v>
      </c>
      <c r="B810" s="92" t="s">
        <v>403</v>
      </c>
      <c r="C810" s="93" t="s">
        <v>404</v>
      </c>
      <c r="D810" s="88" t="s">
        <v>38</v>
      </c>
      <c r="E810" s="73"/>
      <c r="F810" s="73"/>
      <c r="G810" s="73"/>
      <c r="H810" s="73"/>
      <c r="I810" s="73"/>
      <c r="J810" s="73"/>
      <c r="K810" s="73"/>
      <c r="L810" s="73"/>
      <c r="M810" s="73"/>
      <c r="N810" s="73"/>
      <c r="O810" s="73"/>
      <c r="P810" s="73"/>
      <c r="Q810" s="73"/>
      <c r="R810" s="73"/>
      <c r="S810" s="73"/>
      <c r="T810" s="73"/>
      <c r="U810" s="73"/>
      <c r="V810" s="73"/>
      <c r="W810" s="73"/>
      <c r="X810" s="73"/>
      <c r="Y810" s="73"/>
      <c r="Z810" s="73"/>
      <c r="AA810" s="75"/>
      <c r="AB810" s="75"/>
      <c r="AC810" s="55"/>
      <c r="AD810" s="89"/>
      <c r="AE810" s="89"/>
      <c r="AF810" s="89"/>
      <c r="AG810" s="57"/>
      <c r="AH810" s="58"/>
      <c r="AI810" s="39"/>
      <c r="AK810" s="41"/>
    </row>
    <row r="811" spans="1:37" ht="21">
      <c r="A811" s="32" t="s">
        <v>1067</v>
      </c>
      <c r="B811" s="131" t="s">
        <v>78</v>
      </c>
      <c r="C811" s="95" t="s">
        <v>507</v>
      </c>
      <c r="D811" s="88"/>
      <c r="E811" s="73"/>
      <c r="F811" s="73"/>
      <c r="G811" s="73"/>
      <c r="H811" s="73"/>
      <c r="I811" s="73"/>
      <c r="J811" s="73"/>
      <c r="K811" s="73"/>
      <c r="L811" s="73"/>
      <c r="M811" s="73"/>
      <c r="N811" s="73"/>
      <c r="O811" s="73"/>
      <c r="P811" s="73"/>
      <c r="Q811" s="73"/>
      <c r="R811" s="73"/>
      <c r="S811" s="73"/>
      <c r="T811" s="73"/>
      <c r="U811" s="73"/>
      <c r="V811" s="73"/>
      <c r="W811" s="73"/>
      <c r="X811" s="73"/>
      <c r="Y811" s="73"/>
      <c r="Z811" s="73"/>
      <c r="AA811" s="75"/>
      <c r="AB811" s="75"/>
      <c r="AC811" s="55"/>
      <c r="AD811" s="89"/>
      <c r="AE811" s="89"/>
      <c r="AF811" s="89"/>
      <c r="AG811" s="91"/>
      <c r="AH811" s="48"/>
      <c r="AI811" s="39"/>
      <c r="AK811" s="41"/>
    </row>
    <row r="812" spans="1:37" ht="21">
      <c r="A812" s="32" t="s">
        <v>1068</v>
      </c>
      <c r="B812" s="92" t="s">
        <v>401</v>
      </c>
      <c r="C812" s="93" t="s">
        <v>402</v>
      </c>
      <c r="D812" s="88" t="s">
        <v>38</v>
      </c>
      <c r="E812" s="73"/>
      <c r="F812" s="73"/>
      <c r="G812" s="73"/>
      <c r="H812" s="73"/>
      <c r="I812" s="73"/>
      <c r="J812" s="73"/>
      <c r="K812" s="73"/>
      <c r="L812" s="73"/>
      <c r="M812" s="73"/>
      <c r="N812" s="73"/>
      <c r="O812" s="73"/>
      <c r="P812" s="73"/>
      <c r="Q812" s="73"/>
      <c r="R812" s="73"/>
      <c r="S812" s="73"/>
      <c r="T812" s="73"/>
      <c r="U812" s="73"/>
      <c r="V812" s="73"/>
      <c r="W812" s="73"/>
      <c r="X812" s="73"/>
      <c r="Y812" s="73"/>
      <c r="Z812" s="73"/>
      <c r="AA812" s="75"/>
      <c r="AB812" s="75"/>
      <c r="AC812" s="55"/>
      <c r="AD812" s="89"/>
      <c r="AE812" s="89"/>
      <c r="AF812" s="89"/>
      <c r="AG812" s="57"/>
      <c r="AH812" s="58"/>
      <c r="AI812" s="39"/>
      <c r="AK812" s="41"/>
    </row>
    <row r="813" spans="1:37" ht="21">
      <c r="A813" s="32" t="s">
        <v>1069</v>
      </c>
      <c r="B813" s="92" t="s">
        <v>403</v>
      </c>
      <c r="C813" s="93" t="s">
        <v>404</v>
      </c>
      <c r="D813" s="88" t="s">
        <v>38</v>
      </c>
      <c r="E813" s="73"/>
      <c r="F813" s="73"/>
      <c r="G813" s="73"/>
      <c r="H813" s="73"/>
      <c r="I813" s="73"/>
      <c r="J813" s="73"/>
      <c r="K813" s="73"/>
      <c r="L813" s="73"/>
      <c r="M813" s="73"/>
      <c r="N813" s="73"/>
      <c r="O813" s="73"/>
      <c r="P813" s="73"/>
      <c r="Q813" s="73"/>
      <c r="R813" s="73"/>
      <c r="S813" s="73"/>
      <c r="T813" s="73"/>
      <c r="U813" s="73"/>
      <c r="V813" s="73"/>
      <c r="W813" s="73"/>
      <c r="X813" s="73"/>
      <c r="Y813" s="73"/>
      <c r="Z813" s="73"/>
      <c r="AA813" s="75"/>
      <c r="AB813" s="75"/>
      <c r="AC813" s="55"/>
      <c r="AD813" s="89"/>
      <c r="AE813" s="89"/>
      <c r="AF813" s="89"/>
      <c r="AG813" s="57"/>
      <c r="AH813" s="58"/>
      <c r="AI813" s="39"/>
      <c r="AK813" s="41"/>
    </row>
    <row r="814" spans="1:37" ht="21">
      <c r="A814" s="32" t="s">
        <v>1070</v>
      </c>
      <c r="B814" s="94" t="s">
        <v>40</v>
      </c>
      <c r="C814" s="95" t="s">
        <v>508</v>
      </c>
      <c r="D814" s="88"/>
      <c r="E814" s="73"/>
      <c r="F814" s="73"/>
      <c r="G814" s="73"/>
      <c r="H814" s="73"/>
      <c r="I814" s="73"/>
      <c r="J814" s="73"/>
      <c r="K814" s="73"/>
      <c r="L814" s="73"/>
      <c r="M814" s="73"/>
      <c r="N814" s="73"/>
      <c r="O814" s="73"/>
      <c r="P814" s="73"/>
      <c r="Q814" s="73"/>
      <c r="R814" s="73"/>
      <c r="S814" s="73"/>
      <c r="T814" s="73"/>
      <c r="U814" s="73"/>
      <c r="V814" s="73"/>
      <c r="W814" s="73"/>
      <c r="X814" s="73"/>
      <c r="Y814" s="73"/>
      <c r="Z814" s="73"/>
      <c r="AA814" s="75"/>
      <c r="AB814" s="75"/>
      <c r="AC814" s="55"/>
      <c r="AD814" s="89"/>
      <c r="AE814" s="89"/>
      <c r="AF814" s="89"/>
      <c r="AG814" s="91"/>
      <c r="AH814" s="48"/>
      <c r="AI814" s="39"/>
      <c r="AK814" s="41"/>
    </row>
    <row r="815" spans="1:37" ht="21">
      <c r="A815" s="32" t="s">
        <v>1071</v>
      </c>
      <c r="B815" s="131" t="s">
        <v>104</v>
      </c>
      <c r="C815" s="95" t="s">
        <v>405</v>
      </c>
      <c r="D815" s="88"/>
      <c r="E815" s="73"/>
      <c r="F815" s="73"/>
      <c r="G815" s="73"/>
      <c r="H815" s="73"/>
      <c r="I815" s="73"/>
      <c r="J815" s="73"/>
      <c r="K815" s="73"/>
      <c r="L815" s="73"/>
      <c r="M815" s="73"/>
      <c r="N815" s="73"/>
      <c r="O815" s="73"/>
      <c r="P815" s="73"/>
      <c r="Q815" s="73"/>
      <c r="R815" s="73"/>
      <c r="S815" s="73"/>
      <c r="T815" s="73"/>
      <c r="U815" s="73"/>
      <c r="V815" s="73"/>
      <c r="W815" s="73"/>
      <c r="X815" s="73"/>
      <c r="Y815" s="73"/>
      <c r="Z815" s="73"/>
      <c r="AA815" s="75"/>
      <c r="AB815" s="75"/>
      <c r="AC815" s="55"/>
      <c r="AD815" s="89"/>
      <c r="AE815" s="89"/>
      <c r="AF815" s="89"/>
      <c r="AG815" s="91"/>
      <c r="AH815" s="48"/>
      <c r="AI815" s="39"/>
      <c r="AK815" s="41"/>
    </row>
    <row r="816" spans="1:37" ht="21">
      <c r="A816" s="32" t="s">
        <v>1072</v>
      </c>
      <c r="B816" s="92" t="s">
        <v>509</v>
      </c>
      <c r="C816" s="93" t="s">
        <v>402</v>
      </c>
      <c r="D816" s="88" t="s">
        <v>38</v>
      </c>
      <c r="E816" s="73"/>
      <c r="F816" s="73"/>
      <c r="G816" s="73"/>
      <c r="H816" s="73"/>
      <c r="I816" s="73"/>
      <c r="J816" s="73"/>
      <c r="K816" s="73"/>
      <c r="L816" s="73"/>
      <c r="M816" s="73"/>
      <c r="N816" s="73"/>
      <c r="O816" s="73"/>
      <c r="P816" s="73"/>
      <c r="Q816" s="73"/>
      <c r="R816" s="73"/>
      <c r="S816" s="73"/>
      <c r="T816" s="73"/>
      <c r="U816" s="73"/>
      <c r="V816" s="73"/>
      <c r="W816" s="73"/>
      <c r="X816" s="73"/>
      <c r="Y816" s="73"/>
      <c r="Z816" s="73"/>
      <c r="AA816" s="75"/>
      <c r="AB816" s="75"/>
      <c r="AC816" s="55"/>
      <c r="AD816" s="89"/>
      <c r="AE816" s="89"/>
      <c r="AF816" s="89"/>
      <c r="AG816" s="57"/>
      <c r="AH816" s="58"/>
      <c r="AI816" s="39"/>
      <c r="AK816" s="41"/>
    </row>
    <row r="817" spans="1:37" ht="21">
      <c r="A817" s="32" t="s">
        <v>1073</v>
      </c>
      <c r="B817" s="92" t="s">
        <v>403</v>
      </c>
      <c r="C817" s="93" t="s">
        <v>404</v>
      </c>
      <c r="D817" s="88" t="s">
        <v>38</v>
      </c>
      <c r="E817" s="73"/>
      <c r="F817" s="73"/>
      <c r="G817" s="73"/>
      <c r="H817" s="73"/>
      <c r="I817" s="73"/>
      <c r="J817" s="73"/>
      <c r="K817" s="73"/>
      <c r="L817" s="73"/>
      <c r="M817" s="73"/>
      <c r="N817" s="73"/>
      <c r="O817" s="73"/>
      <c r="P817" s="73"/>
      <c r="Q817" s="73"/>
      <c r="R817" s="73"/>
      <c r="S817" s="73"/>
      <c r="T817" s="73"/>
      <c r="U817" s="73"/>
      <c r="V817" s="73"/>
      <c r="W817" s="73"/>
      <c r="X817" s="73"/>
      <c r="Y817" s="73"/>
      <c r="Z817" s="73"/>
      <c r="AA817" s="75"/>
      <c r="AB817" s="75"/>
      <c r="AC817" s="55"/>
      <c r="AD817" s="89"/>
      <c r="AE817" s="89"/>
      <c r="AF817" s="89"/>
      <c r="AG817" s="57"/>
      <c r="AH817" s="58"/>
      <c r="AI817" s="39"/>
      <c r="AK817" s="41"/>
    </row>
    <row r="818" spans="1:37" ht="21">
      <c r="A818" s="32" t="s">
        <v>1074</v>
      </c>
      <c r="B818" s="94" t="s">
        <v>24</v>
      </c>
      <c r="C818" s="95" t="s">
        <v>510</v>
      </c>
      <c r="D818" s="88"/>
      <c r="E818" s="73"/>
      <c r="F818" s="73"/>
      <c r="G818" s="73"/>
      <c r="H818" s="73"/>
      <c r="I818" s="73"/>
      <c r="J818" s="73"/>
      <c r="K818" s="73"/>
      <c r="L818" s="73"/>
      <c r="M818" s="73"/>
      <c r="N818" s="73"/>
      <c r="O818" s="73"/>
      <c r="P818" s="73"/>
      <c r="Q818" s="73"/>
      <c r="R818" s="73"/>
      <c r="S818" s="73"/>
      <c r="T818" s="73"/>
      <c r="U818" s="73"/>
      <c r="V818" s="73"/>
      <c r="W818" s="73"/>
      <c r="X818" s="73"/>
      <c r="Y818" s="73"/>
      <c r="Z818" s="73"/>
      <c r="AA818" s="75"/>
      <c r="AB818" s="75"/>
      <c r="AC818" s="55"/>
      <c r="AD818" s="89"/>
      <c r="AE818" s="89"/>
      <c r="AF818" s="89"/>
      <c r="AG818" s="91"/>
      <c r="AH818" s="48"/>
      <c r="AI818" s="39"/>
      <c r="AK818" s="41"/>
    </row>
    <row r="819" spans="1:37" ht="21">
      <c r="A819" s="32" t="s">
        <v>1075</v>
      </c>
      <c r="B819" s="92" t="s">
        <v>401</v>
      </c>
      <c r="C819" s="93" t="s">
        <v>402</v>
      </c>
      <c r="D819" s="88" t="s">
        <v>38</v>
      </c>
      <c r="E819" s="73"/>
      <c r="F819" s="73"/>
      <c r="G819" s="73"/>
      <c r="H819" s="73"/>
      <c r="I819" s="73"/>
      <c r="J819" s="73"/>
      <c r="K819" s="73"/>
      <c r="L819" s="73"/>
      <c r="M819" s="73"/>
      <c r="N819" s="73"/>
      <c r="O819" s="73"/>
      <c r="P819" s="73"/>
      <c r="Q819" s="73"/>
      <c r="R819" s="73"/>
      <c r="S819" s="73"/>
      <c r="T819" s="73"/>
      <c r="U819" s="73"/>
      <c r="V819" s="73"/>
      <c r="W819" s="73"/>
      <c r="X819" s="73"/>
      <c r="Y819" s="73"/>
      <c r="Z819" s="73"/>
      <c r="AA819" s="75"/>
      <c r="AB819" s="75"/>
      <c r="AC819" s="55"/>
      <c r="AD819" s="89"/>
      <c r="AE819" s="89"/>
      <c r="AF819" s="89"/>
      <c r="AG819" s="57"/>
      <c r="AH819" s="58"/>
      <c r="AI819" s="39"/>
      <c r="AK819" s="41"/>
    </row>
    <row r="820" spans="1:37" ht="21">
      <c r="A820" s="32" t="s">
        <v>1076</v>
      </c>
      <c r="B820" s="92" t="s">
        <v>403</v>
      </c>
      <c r="C820" s="93" t="s">
        <v>404</v>
      </c>
      <c r="D820" s="88" t="s">
        <v>38</v>
      </c>
      <c r="E820" s="73"/>
      <c r="F820" s="73"/>
      <c r="G820" s="73"/>
      <c r="H820" s="73"/>
      <c r="I820" s="73"/>
      <c r="J820" s="73"/>
      <c r="K820" s="73"/>
      <c r="L820" s="73"/>
      <c r="M820" s="73"/>
      <c r="N820" s="73"/>
      <c r="O820" s="73"/>
      <c r="P820" s="73"/>
      <c r="Q820" s="73"/>
      <c r="R820" s="73"/>
      <c r="S820" s="73"/>
      <c r="T820" s="73"/>
      <c r="U820" s="73"/>
      <c r="V820" s="73"/>
      <c r="W820" s="73"/>
      <c r="X820" s="73"/>
      <c r="Y820" s="73"/>
      <c r="Z820" s="73"/>
      <c r="AA820" s="75"/>
      <c r="AB820" s="75"/>
      <c r="AC820" s="55"/>
      <c r="AD820" s="89"/>
      <c r="AE820" s="89"/>
      <c r="AF820" s="89"/>
      <c r="AG820" s="57"/>
      <c r="AH820" s="58"/>
      <c r="AI820" s="39"/>
      <c r="AK820" s="41"/>
    </row>
    <row r="821" spans="1:37" ht="21">
      <c r="A821" s="32" t="s">
        <v>1077</v>
      </c>
      <c r="B821" s="94" t="s">
        <v>25</v>
      </c>
      <c r="C821" s="95" t="s">
        <v>409</v>
      </c>
      <c r="D821" s="88"/>
      <c r="E821" s="73"/>
      <c r="F821" s="73"/>
      <c r="G821" s="73"/>
      <c r="H821" s="73"/>
      <c r="I821" s="73"/>
      <c r="J821" s="73"/>
      <c r="K821" s="73"/>
      <c r="L821" s="73"/>
      <c r="M821" s="73"/>
      <c r="N821" s="73"/>
      <c r="O821" s="73"/>
      <c r="P821" s="73"/>
      <c r="Q821" s="73"/>
      <c r="R821" s="73"/>
      <c r="S821" s="73"/>
      <c r="T821" s="73"/>
      <c r="U821" s="73"/>
      <c r="V821" s="73"/>
      <c r="W821" s="73"/>
      <c r="X821" s="73"/>
      <c r="Y821" s="73"/>
      <c r="Z821" s="73"/>
      <c r="AA821" s="75"/>
      <c r="AB821" s="75"/>
      <c r="AC821" s="55"/>
      <c r="AD821" s="89"/>
      <c r="AE821" s="89"/>
      <c r="AF821" s="89"/>
      <c r="AG821" s="91"/>
      <c r="AH821" s="48"/>
      <c r="AI821" s="39"/>
      <c r="AK821" s="41"/>
    </row>
    <row r="822" spans="1:37" ht="21">
      <c r="A822" s="32" t="s">
        <v>1078</v>
      </c>
      <c r="B822" s="92" t="s">
        <v>401</v>
      </c>
      <c r="C822" s="93" t="s">
        <v>402</v>
      </c>
      <c r="D822" s="88" t="s">
        <v>38</v>
      </c>
      <c r="E822" s="73"/>
      <c r="F822" s="73"/>
      <c r="G822" s="73"/>
      <c r="H822" s="73"/>
      <c r="I822" s="73"/>
      <c r="J822" s="73"/>
      <c r="K822" s="73"/>
      <c r="L822" s="73"/>
      <c r="M822" s="73"/>
      <c r="N822" s="73"/>
      <c r="O822" s="73"/>
      <c r="P822" s="73"/>
      <c r="Q822" s="73"/>
      <c r="R822" s="73"/>
      <c r="S822" s="73"/>
      <c r="T822" s="73"/>
      <c r="U822" s="73"/>
      <c r="V822" s="73"/>
      <c r="W822" s="73"/>
      <c r="X822" s="73"/>
      <c r="Y822" s="73"/>
      <c r="Z822" s="73"/>
      <c r="AA822" s="75"/>
      <c r="AB822" s="75"/>
      <c r="AC822" s="55"/>
      <c r="AD822" s="89"/>
      <c r="AE822" s="89"/>
      <c r="AF822" s="89"/>
      <c r="AG822" s="57"/>
      <c r="AH822" s="58"/>
      <c r="AI822" s="39"/>
      <c r="AK822" s="41"/>
    </row>
    <row r="823" spans="1:37" ht="21">
      <c r="A823" s="32" t="s">
        <v>1079</v>
      </c>
      <c r="B823" s="92" t="s">
        <v>403</v>
      </c>
      <c r="C823" s="93" t="s">
        <v>404</v>
      </c>
      <c r="D823" s="88" t="s">
        <v>38</v>
      </c>
      <c r="E823" s="73"/>
      <c r="F823" s="73"/>
      <c r="G823" s="73"/>
      <c r="H823" s="73"/>
      <c r="I823" s="73"/>
      <c r="J823" s="73"/>
      <c r="K823" s="73"/>
      <c r="L823" s="73"/>
      <c r="M823" s="73"/>
      <c r="N823" s="73"/>
      <c r="O823" s="73"/>
      <c r="P823" s="73"/>
      <c r="Q823" s="73"/>
      <c r="R823" s="73"/>
      <c r="S823" s="73"/>
      <c r="T823" s="73"/>
      <c r="U823" s="73"/>
      <c r="V823" s="73"/>
      <c r="W823" s="73"/>
      <c r="X823" s="73"/>
      <c r="Y823" s="73"/>
      <c r="Z823" s="73"/>
      <c r="AA823" s="75"/>
      <c r="AB823" s="75"/>
      <c r="AC823" s="55"/>
      <c r="AD823" s="89"/>
      <c r="AE823" s="89"/>
      <c r="AF823" s="89"/>
      <c r="AG823" s="57"/>
      <c r="AH823" s="58"/>
      <c r="AI823" s="39"/>
      <c r="AK823" s="41"/>
    </row>
    <row r="824" spans="1:37" ht="21">
      <c r="A824" s="32" t="s">
        <v>1080</v>
      </c>
      <c r="B824" s="94" t="s">
        <v>60</v>
      </c>
      <c r="C824" s="95" t="s">
        <v>511</v>
      </c>
      <c r="D824" s="88"/>
      <c r="E824" s="73"/>
      <c r="F824" s="73"/>
      <c r="G824" s="73"/>
      <c r="H824" s="73"/>
      <c r="I824" s="73"/>
      <c r="J824" s="73"/>
      <c r="K824" s="73"/>
      <c r="L824" s="73"/>
      <c r="M824" s="73"/>
      <c r="N824" s="73"/>
      <c r="O824" s="73"/>
      <c r="P824" s="73"/>
      <c r="Q824" s="73"/>
      <c r="R824" s="73"/>
      <c r="S824" s="73"/>
      <c r="T824" s="73"/>
      <c r="U824" s="73"/>
      <c r="V824" s="73"/>
      <c r="W824" s="73"/>
      <c r="X824" s="73"/>
      <c r="Y824" s="73"/>
      <c r="Z824" s="73"/>
      <c r="AA824" s="75"/>
      <c r="AB824" s="75"/>
      <c r="AC824" s="55"/>
      <c r="AD824" s="89"/>
      <c r="AE824" s="89"/>
      <c r="AF824" s="89"/>
      <c r="AG824" s="91"/>
      <c r="AH824" s="48"/>
      <c r="AI824" s="39"/>
      <c r="AK824" s="41"/>
    </row>
    <row r="825" spans="1:37" ht="21">
      <c r="A825" s="32" t="s">
        <v>1081</v>
      </c>
      <c r="B825" s="92" t="s">
        <v>401</v>
      </c>
      <c r="C825" s="93" t="s">
        <v>402</v>
      </c>
      <c r="D825" s="88" t="s">
        <v>38</v>
      </c>
      <c r="E825" s="73"/>
      <c r="F825" s="73"/>
      <c r="G825" s="73"/>
      <c r="H825" s="73"/>
      <c r="I825" s="73"/>
      <c r="J825" s="73"/>
      <c r="K825" s="73"/>
      <c r="L825" s="73"/>
      <c r="M825" s="73"/>
      <c r="N825" s="73"/>
      <c r="O825" s="73"/>
      <c r="P825" s="73"/>
      <c r="Q825" s="73"/>
      <c r="R825" s="73"/>
      <c r="S825" s="73"/>
      <c r="T825" s="73"/>
      <c r="U825" s="73"/>
      <c r="V825" s="73"/>
      <c r="W825" s="73"/>
      <c r="X825" s="73"/>
      <c r="Y825" s="73"/>
      <c r="Z825" s="73"/>
      <c r="AA825" s="75"/>
      <c r="AB825" s="75"/>
      <c r="AC825" s="55"/>
      <c r="AD825" s="89"/>
      <c r="AE825" s="89"/>
      <c r="AF825" s="89"/>
      <c r="AG825" s="57"/>
      <c r="AH825" s="58"/>
      <c r="AI825" s="39"/>
      <c r="AK825" s="41"/>
    </row>
    <row r="826" spans="1:37" ht="21">
      <c r="A826" s="32" t="s">
        <v>1082</v>
      </c>
      <c r="B826" s="92" t="s">
        <v>403</v>
      </c>
      <c r="C826" s="93" t="s">
        <v>404</v>
      </c>
      <c r="D826" s="88" t="s">
        <v>38</v>
      </c>
      <c r="E826" s="73"/>
      <c r="F826" s="73"/>
      <c r="G826" s="73"/>
      <c r="H826" s="73"/>
      <c r="I826" s="73"/>
      <c r="J826" s="73"/>
      <c r="K826" s="73"/>
      <c r="L826" s="73"/>
      <c r="M826" s="73"/>
      <c r="N826" s="73"/>
      <c r="O826" s="73"/>
      <c r="P826" s="73"/>
      <c r="Q826" s="73"/>
      <c r="R826" s="73"/>
      <c r="S826" s="73"/>
      <c r="T826" s="73"/>
      <c r="U826" s="73"/>
      <c r="V826" s="73"/>
      <c r="W826" s="73"/>
      <c r="X826" s="73"/>
      <c r="Y826" s="73"/>
      <c r="Z826" s="73"/>
      <c r="AA826" s="75"/>
      <c r="AB826" s="75"/>
      <c r="AC826" s="55"/>
      <c r="AD826" s="89"/>
      <c r="AE826" s="89"/>
      <c r="AF826" s="89"/>
      <c r="AG826" s="57"/>
      <c r="AH826" s="58"/>
      <c r="AI826" s="39"/>
      <c r="AK826" s="41"/>
    </row>
    <row r="827" spans="1:37" ht="21">
      <c r="A827" s="32" t="s">
        <v>1083</v>
      </c>
      <c r="B827" s="94" t="s">
        <v>48</v>
      </c>
      <c r="C827" s="95" t="s">
        <v>512</v>
      </c>
      <c r="D827" s="88"/>
      <c r="E827" s="73"/>
      <c r="F827" s="73"/>
      <c r="G827" s="73"/>
      <c r="H827" s="73"/>
      <c r="I827" s="73"/>
      <c r="J827" s="73"/>
      <c r="K827" s="73"/>
      <c r="L827" s="73"/>
      <c r="M827" s="73"/>
      <c r="N827" s="73"/>
      <c r="O827" s="73"/>
      <c r="P827" s="73"/>
      <c r="Q827" s="73"/>
      <c r="R827" s="73"/>
      <c r="S827" s="73"/>
      <c r="T827" s="73"/>
      <c r="U827" s="73"/>
      <c r="V827" s="73"/>
      <c r="W827" s="73"/>
      <c r="X827" s="73"/>
      <c r="Y827" s="73"/>
      <c r="Z827" s="73"/>
      <c r="AA827" s="75"/>
      <c r="AB827" s="75"/>
      <c r="AC827" s="55"/>
      <c r="AD827" s="89"/>
      <c r="AE827" s="89"/>
      <c r="AF827" s="89"/>
      <c r="AG827" s="91"/>
      <c r="AH827" s="48"/>
      <c r="AI827" s="39"/>
      <c r="AK827" s="41"/>
    </row>
    <row r="828" spans="1:37" ht="21">
      <c r="A828" s="32" t="s">
        <v>1084</v>
      </c>
      <c r="B828" s="94" t="s">
        <v>499</v>
      </c>
      <c r="C828" s="95" t="s">
        <v>513</v>
      </c>
      <c r="D828" s="88"/>
      <c r="E828" s="73"/>
      <c r="F828" s="73"/>
      <c r="G828" s="73"/>
      <c r="H828" s="73"/>
      <c r="I828" s="73"/>
      <c r="J828" s="73"/>
      <c r="K828" s="73"/>
      <c r="L828" s="73"/>
      <c r="M828" s="73"/>
      <c r="N828" s="73"/>
      <c r="O828" s="73"/>
      <c r="P828" s="73"/>
      <c r="Q828" s="73"/>
      <c r="R828" s="73"/>
      <c r="S828" s="73"/>
      <c r="T828" s="73"/>
      <c r="U828" s="73"/>
      <c r="V828" s="73"/>
      <c r="W828" s="73"/>
      <c r="X828" s="73"/>
      <c r="Y828" s="73"/>
      <c r="Z828" s="73"/>
      <c r="AA828" s="75"/>
      <c r="AB828" s="75"/>
      <c r="AC828" s="55"/>
      <c r="AD828" s="89"/>
      <c r="AE828" s="89"/>
      <c r="AF828" s="89"/>
      <c r="AG828" s="91"/>
      <c r="AH828" s="48"/>
      <c r="AI828" s="39"/>
      <c r="AK828" s="41"/>
    </row>
    <row r="829" spans="1:37" ht="21">
      <c r="A829" s="32" t="s">
        <v>1085</v>
      </c>
      <c r="B829" s="92" t="s">
        <v>401</v>
      </c>
      <c r="C829" s="93" t="s">
        <v>402</v>
      </c>
      <c r="D829" s="88" t="s">
        <v>38</v>
      </c>
      <c r="E829" s="73"/>
      <c r="F829" s="73"/>
      <c r="G829" s="73"/>
      <c r="H829" s="73"/>
      <c r="I829" s="73"/>
      <c r="J829" s="73"/>
      <c r="K829" s="73"/>
      <c r="L829" s="73"/>
      <c r="M829" s="73"/>
      <c r="N829" s="73"/>
      <c r="O829" s="73"/>
      <c r="P829" s="73"/>
      <c r="Q829" s="73"/>
      <c r="R829" s="73"/>
      <c r="S829" s="73"/>
      <c r="T829" s="73"/>
      <c r="U829" s="73"/>
      <c r="V829" s="73"/>
      <c r="W829" s="73"/>
      <c r="X829" s="73"/>
      <c r="Y829" s="73"/>
      <c r="Z829" s="73"/>
      <c r="AA829" s="75"/>
      <c r="AB829" s="75"/>
      <c r="AC829" s="55"/>
      <c r="AD829" s="89"/>
      <c r="AE829" s="89"/>
      <c r="AF829" s="89"/>
      <c r="AG829" s="57"/>
      <c r="AH829" s="58"/>
      <c r="AI829" s="39"/>
      <c r="AK829" s="41"/>
    </row>
    <row r="830" spans="1:37" ht="21">
      <c r="A830" s="32" t="s">
        <v>1086</v>
      </c>
      <c r="B830" s="92" t="s">
        <v>403</v>
      </c>
      <c r="C830" s="93" t="s">
        <v>404</v>
      </c>
      <c r="D830" s="88" t="s">
        <v>38</v>
      </c>
      <c r="E830" s="73"/>
      <c r="F830" s="73"/>
      <c r="G830" s="73"/>
      <c r="H830" s="73"/>
      <c r="I830" s="73"/>
      <c r="J830" s="73"/>
      <c r="K830" s="73"/>
      <c r="L830" s="73"/>
      <c r="M830" s="73"/>
      <c r="N830" s="73"/>
      <c r="O830" s="73"/>
      <c r="P830" s="73"/>
      <c r="Q830" s="73"/>
      <c r="R830" s="73"/>
      <c r="S830" s="73"/>
      <c r="T830" s="73"/>
      <c r="U830" s="73"/>
      <c r="V830" s="73"/>
      <c r="W830" s="73"/>
      <c r="X830" s="73"/>
      <c r="Y830" s="73"/>
      <c r="Z830" s="73"/>
      <c r="AA830" s="75"/>
      <c r="AB830" s="75"/>
      <c r="AC830" s="55"/>
      <c r="AD830" s="89"/>
      <c r="AE830" s="89"/>
      <c r="AF830" s="89"/>
      <c r="AG830" s="57"/>
      <c r="AH830" s="58"/>
      <c r="AI830" s="39"/>
      <c r="AK830" s="41"/>
    </row>
    <row r="831" spans="1:37" ht="21">
      <c r="A831" s="32" t="s">
        <v>1087</v>
      </c>
      <c r="B831" s="94" t="s">
        <v>24</v>
      </c>
      <c r="C831" s="95" t="s">
        <v>514</v>
      </c>
      <c r="D831" s="88"/>
      <c r="E831" s="73"/>
      <c r="F831" s="73"/>
      <c r="G831" s="73"/>
      <c r="H831" s="73"/>
      <c r="I831" s="73"/>
      <c r="J831" s="73"/>
      <c r="K831" s="73"/>
      <c r="L831" s="73"/>
      <c r="M831" s="73"/>
      <c r="N831" s="73"/>
      <c r="O831" s="73"/>
      <c r="P831" s="73"/>
      <c r="Q831" s="73"/>
      <c r="R831" s="73"/>
      <c r="S831" s="73"/>
      <c r="T831" s="73"/>
      <c r="U831" s="73"/>
      <c r="V831" s="73"/>
      <c r="W831" s="73"/>
      <c r="X831" s="73"/>
      <c r="Y831" s="73"/>
      <c r="Z831" s="73"/>
      <c r="AA831" s="75"/>
      <c r="AB831" s="75"/>
      <c r="AC831" s="55"/>
      <c r="AD831" s="89"/>
      <c r="AE831" s="89"/>
      <c r="AF831" s="89"/>
      <c r="AG831" s="91"/>
      <c r="AH831" s="48"/>
      <c r="AI831" s="39"/>
      <c r="AK831" s="41"/>
    </row>
    <row r="832" spans="1:37" ht="21">
      <c r="A832" s="32" t="s">
        <v>1088</v>
      </c>
      <c r="B832" s="92" t="s">
        <v>401</v>
      </c>
      <c r="C832" s="93" t="s">
        <v>402</v>
      </c>
      <c r="D832" s="88" t="s">
        <v>38</v>
      </c>
      <c r="E832" s="73"/>
      <c r="F832" s="73"/>
      <c r="G832" s="73"/>
      <c r="H832" s="73"/>
      <c r="I832" s="73"/>
      <c r="J832" s="73"/>
      <c r="K832" s="73"/>
      <c r="L832" s="73"/>
      <c r="M832" s="73"/>
      <c r="N832" s="73"/>
      <c r="O832" s="73"/>
      <c r="P832" s="73"/>
      <c r="Q832" s="73"/>
      <c r="R832" s="73"/>
      <c r="S832" s="73"/>
      <c r="T832" s="73"/>
      <c r="U832" s="73"/>
      <c r="V832" s="73"/>
      <c r="W832" s="73"/>
      <c r="X832" s="73"/>
      <c r="Y832" s="73"/>
      <c r="Z832" s="73"/>
      <c r="AA832" s="75"/>
      <c r="AB832" s="75"/>
      <c r="AC832" s="55"/>
      <c r="AD832" s="89"/>
      <c r="AE832" s="89"/>
      <c r="AF832" s="89"/>
      <c r="AG832" s="57"/>
      <c r="AH832" s="58"/>
      <c r="AI832" s="39"/>
      <c r="AK832" s="41"/>
    </row>
    <row r="833" spans="1:37" ht="21">
      <c r="A833" s="32" t="s">
        <v>1089</v>
      </c>
      <c r="B833" s="92" t="s">
        <v>403</v>
      </c>
      <c r="C833" s="93" t="s">
        <v>404</v>
      </c>
      <c r="D833" s="88" t="s">
        <v>38</v>
      </c>
      <c r="E833" s="73"/>
      <c r="F833" s="73"/>
      <c r="G833" s="73"/>
      <c r="H833" s="73"/>
      <c r="I833" s="73"/>
      <c r="J833" s="73"/>
      <c r="K833" s="73"/>
      <c r="L833" s="73"/>
      <c r="M833" s="73"/>
      <c r="N833" s="73"/>
      <c r="O833" s="73"/>
      <c r="P833" s="73"/>
      <c r="Q833" s="73"/>
      <c r="R833" s="73"/>
      <c r="S833" s="73"/>
      <c r="T833" s="73"/>
      <c r="U833" s="73"/>
      <c r="V833" s="73"/>
      <c r="W833" s="73"/>
      <c r="X833" s="73"/>
      <c r="Y833" s="73"/>
      <c r="Z833" s="73"/>
      <c r="AA833" s="75"/>
      <c r="AB833" s="75"/>
      <c r="AC833" s="55"/>
      <c r="AD833" s="89"/>
      <c r="AE833" s="89"/>
      <c r="AF833" s="89"/>
      <c r="AG833" s="57"/>
      <c r="AH833" s="58"/>
      <c r="AI833" s="39"/>
      <c r="AK833" s="41"/>
    </row>
    <row r="834" spans="1:37" ht="21">
      <c r="A834" s="32" t="s">
        <v>1090</v>
      </c>
      <c r="B834" s="94" t="s">
        <v>25</v>
      </c>
      <c r="C834" s="95" t="s">
        <v>515</v>
      </c>
      <c r="D834" s="88"/>
      <c r="E834" s="73"/>
      <c r="F834" s="73"/>
      <c r="G834" s="73"/>
      <c r="H834" s="73"/>
      <c r="I834" s="73"/>
      <c r="J834" s="73"/>
      <c r="K834" s="73"/>
      <c r="L834" s="73"/>
      <c r="M834" s="73"/>
      <c r="N834" s="73"/>
      <c r="O834" s="73"/>
      <c r="P834" s="73"/>
      <c r="Q834" s="73"/>
      <c r="R834" s="73"/>
      <c r="S834" s="73"/>
      <c r="T834" s="73"/>
      <c r="U834" s="73"/>
      <c r="V834" s="73"/>
      <c r="W834" s="73"/>
      <c r="X834" s="73"/>
      <c r="Y834" s="73"/>
      <c r="Z834" s="73"/>
      <c r="AA834" s="75"/>
      <c r="AB834" s="75"/>
      <c r="AC834" s="55"/>
      <c r="AD834" s="89"/>
      <c r="AE834" s="89"/>
      <c r="AF834" s="89"/>
      <c r="AG834" s="91"/>
      <c r="AH834" s="48"/>
      <c r="AI834" s="39"/>
      <c r="AK834" s="41"/>
    </row>
    <row r="835" spans="1:37" ht="21">
      <c r="A835" s="32" t="s">
        <v>1091</v>
      </c>
      <c r="B835" s="92" t="s">
        <v>401</v>
      </c>
      <c r="C835" s="93" t="s">
        <v>402</v>
      </c>
      <c r="D835" s="88" t="s">
        <v>38</v>
      </c>
      <c r="E835" s="73"/>
      <c r="F835" s="73"/>
      <c r="G835" s="73"/>
      <c r="H835" s="73"/>
      <c r="I835" s="73"/>
      <c r="J835" s="73"/>
      <c r="K835" s="73"/>
      <c r="L835" s="73"/>
      <c r="M835" s="73"/>
      <c r="N835" s="73"/>
      <c r="O835" s="73"/>
      <c r="P835" s="73"/>
      <c r="Q835" s="73"/>
      <c r="R835" s="73"/>
      <c r="S835" s="73"/>
      <c r="T835" s="73"/>
      <c r="U835" s="73"/>
      <c r="V835" s="73"/>
      <c r="W835" s="73"/>
      <c r="X835" s="73"/>
      <c r="Y835" s="73"/>
      <c r="Z835" s="73"/>
      <c r="AA835" s="75"/>
      <c r="AB835" s="75"/>
      <c r="AC835" s="55"/>
      <c r="AD835" s="89"/>
      <c r="AE835" s="89"/>
      <c r="AF835" s="89"/>
      <c r="AG835" s="57"/>
      <c r="AH835" s="58"/>
      <c r="AI835" s="39"/>
      <c r="AK835" s="41"/>
    </row>
    <row r="836" spans="1:37" ht="21">
      <c r="A836" s="32" t="s">
        <v>1092</v>
      </c>
      <c r="B836" s="92" t="s">
        <v>403</v>
      </c>
      <c r="C836" s="93" t="s">
        <v>404</v>
      </c>
      <c r="D836" s="88" t="s">
        <v>38</v>
      </c>
      <c r="E836" s="73"/>
      <c r="F836" s="73"/>
      <c r="G836" s="73"/>
      <c r="H836" s="73"/>
      <c r="I836" s="73"/>
      <c r="J836" s="73"/>
      <c r="K836" s="73"/>
      <c r="L836" s="73"/>
      <c r="M836" s="73"/>
      <c r="N836" s="73"/>
      <c r="O836" s="73"/>
      <c r="P836" s="73"/>
      <c r="Q836" s="73"/>
      <c r="R836" s="73"/>
      <c r="S836" s="73"/>
      <c r="T836" s="73"/>
      <c r="U836" s="73"/>
      <c r="V836" s="73"/>
      <c r="W836" s="73"/>
      <c r="X836" s="73"/>
      <c r="Y836" s="73"/>
      <c r="Z836" s="73"/>
      <c r="AA836" s="75"/>
      <c r="AB836" s="75"/>
      <c r="AC836" s="55"/>
      <c r="AD836" s="89"/>
      <c r="AE836" s="89"/>
      <c r="AF836" s="89"/>
      <c r="AG836" s="57"/>
      <c r="AH836" s="58"/>
      <c r="AI836" s="39"/>
      <c r="AK836" s="41"/>
    </row>
    <row r="837" spans="1:37" ht="21">
      <c r="A837" s="32" t="s">
        <v>1093</v>
      </c>
      <c r="B837" s="94" t="s">
        <v>55</v>
      </c>
      <c r="C837" s="95" t="s">
        <v>516</v>
      </c>
      <c r="D837" s="88"/>
      <c r="E837" s="73"/>
      <c r="F837" s="73"/>
      <c r="G837" s="73"/>
      <c r="H837" s="73"/>
      <c r="I837" s="73"/>
      <c r="J837" s="73"/>
      <c r="K837" s="73"/>
      <c r="L837" s="73"/>
      <c r="M837" s="73"/>
      <c r="N837" s="73"/>
      <c r="O837" s="73"/>
      <c r="P837" s="73"/>
      <c r="Q837" s="73"/>
      <c r="R837" s="73"/>
      <c r="S837" s="73"/>
      <c r="T837" s="73"/>
      <c r="U837" s="73"/>
      <c r="V837" s="73"/>
      <c r="W837" s="73"/>
      <c r="X837" s="73"/>
      <c r="Y837" s="73"/>
      <c r="Z837" s="73"/>
      <c r="AA837" s="75"/>
      <c r="AB837" s="75"/>
      <c r="AC837" s="55"/>
      <c r="AD837" s="89"/>
      <c r="AE837" s="89"/>
      <c r="AF837" s="89"/>
      <c r="AG837" s="91"/>
      <c r="AH837" s="48"/>
      <c r="AI837" s="39"/>
      <c r="AK837" s="41"/>
    </row>
    <row r="838" spans="1:37" ht="21">
      <c r="A838" s="32" t="s">
        <v>1094</v>
      </c>
      <c r="B838" s="94" t="s">
        <v>104</v>
      </c>
      <c r="C838" s="95" t="s">
        <v>517</v>
      </c>
      <c r="D838" s="88"/>
      <c r="E838" s="73"/>
      <c r="F838" s="73"/>
      <c r="G838" s="73"/>
      <c r="H838" s="73"/>
      <c r="I838" s="73"/>
      <c r="J838" s="73"/>
      <c r="K838" s="73"/>
      <c r="L838" s="73"/>
      <c r="M838" s="73"/>
      <c r="N838" s="73"/>
      <c r="O838" s="73"/>
      <c r="P838" s="73"/>
      <c r="Q838" s="73"/>
      <c r="R838" s="73"/>
      <c r="S838" s="73"/>
      <c r="T838" s="73"/>
      <c r="U838" s="73"/>
      <c r="V838" s="73"/>
      <c r="W838" s="73"/>
      <c r="X838" s="73"/>
      <c r="Y838" s="73"/>
      <c r="Z838" s="73"/>
      <c r="AA838" s="75"/>
      <c r="AB838" s="75"/>
      <c r="AC838" s="55"/>
      <c r="AD838" s="89"/>
      <c r="AE838" s="89"/>
      <c r="AF838" s="89"/>
      <c r="AG838" s="91"/>
      <c r="AH838" s="48"/>
      <c r="AI838" s="39"/>
      <c r="AK838" s="41"/>
    </row>
    <row r="839" spans="1:37" ht="21">
      <c r="A839" s="32" t="s">
        <v>1095</v>
      </c>
      <c r="B839" s="92" t="s">
        <v>401</v>
      </c>
      <c r="C839" s="93" t="s">
        <v>402</v>
      </c>
      <c r="D839" s="88" t="s">
        <v>38</v>
      </c>
      <c r="E839" s="73"/>
      <c r="F839" s="73"/>
      <c r="G839" s="73"/>
      <c r="H839" s="73"/>
      <c r="I839" s="73"/>
      <c r="J839" s="73"/>
      <c r="K839" s="73"/>
      <c r="L839" s="73"/>
      <c r="M839" s="73"/>
      <c r="N839" s="73"/>
      <c r="O839" s="73"/>
      <c r="P839" s="73"/>
      <c r="Q839" s="73"/>
      <c r="R839" s="73"/>
      <c r="S839" s="73"/>
      <c r="T839" s="73"/>
      <c r="U839" s="73"/>
      <c r="V839" s="73"/>
      <c r="W839" s="73"/>
      <c r="X839" s="73"/>
      <c r="Y839" s="73"/>
      <c r="Z839" s="73"/>
      <c r="AA839" s="75"/>
      <c r="AB839" s="75"/>
      <c r="AC839" s="55"/>
      <c r="AD839" s="89"/>
      <c r="AE839" s="89"/>
      <c r="AF839" s="89"/>
      <c r="AG839" s="57"/>
      <c r="AH839" s="58"/>
      <c r="AI839" s="39"/>
      <c r="AK839" s="41"/>
    </row>
    <row r="840" spans="1:37" ht="21">
      <c r="A840" s="32" t="s">
        <v>1096</v>
      </c>
      <c r="B840" s="92" t="s">
        <v>403</v>
      </c>
      <c r="C840" s="93" t="s">
        <v>404</v>
      </c>
      <c r="D840" s="88" t="s">
        <v>38</v>
      </c>
      <c r="E840" s="73"/>
      <c r="F840" s="73"/>
      <c r="G840" s="73"/>
      <c r="H840" s="73"/>
      <c r="I840" s="73"/>
      <c r="J840" s="73"/>
      <c r="K840" s="73"/>
      <c r="L840" s="73"/>
      <c r="M840" s="73"/>
      <c r="N840" s="73"/>
      <c r="O840" s="73"/>
      <c r="P840" s="73"/>
      <c r="Q840" s="73"/>
      <c r="R840" s="73"/>
      <c r="S840" s="73"/>
      <c r="T840" s="73"/>
      <c r="U840" s="73"/>
      <c r="V840" s="73"/>
      <c r="W840" s="73"/>
      <c r="X840" s="73"/>
      <c r="Y840" s="73"/>
      <c r="Z840" s="73"/>
      <c r="AA840" s="75"/>
      <c r="AB840" s="75"/>
      <c r="AC840" s="55"/>
      <c r="AD840" s="89"/>
      <c r="AE840" s="89"/>
      <c r="AF840" s="89"/>
      <c r="AG840" s="57"/>
      <c r="AH840" s="58"/>
      <c r="AI840" s="39"/>
      <c r="AK840" s="41"/>
    </row>
    <row r="841" spans="1:37" ht="21">
      <c r="A841" s="32" t="s">
        <v>1097</v>
      </c>
      <c r="B841" s="94" t="s">
        <v>24</v>
      </c>
      <c r="C841" s="95" t="s">
        <v>513</v>
      </c>
      <c r="D841" s="88"/>
      <c r="E841" s="73"/>
      <c r="F841" s="73"/>
      <c r="G841" s="73"/>
      <c r="H841" s="73"/>
      <c r="I841" s="73"/>
      <c r="J841" s="73"/>
      <c r="K841" s="73"/>
      <c r="L841" s="73"/>
      <c r="M841" s="73"/>
      <c r="N841" s="73"/>
      <c r="O841" s="73"/>
      <c r="P841" s="73"/>
      <c r="Q841" s="73"/>
      <c r="R841" s="73"/>
      <c r="S841" s="73"/>
      <c r="T841" s="73"/>
      <c r="U841" s="73"/>
      <c r="V841" s="73"/>
      <c r="W841" s="73"/>
      <c r="X841" s="73"/>
      <c r="Y841" s="73"/>
      <c r="Z841" s="73"/>
      <c r="AA841" s="75"/>
      <c r="AB841" s="75"/>
      <c r="AC841" s="55"/>
      <c r="AD841" s="89"/>
      <c r="AE841" s="89"/>
      <c r="AF841" s="89"/>
      <c r="AG841" s="91"/>
      <c r="AH841" s="48"/>
      <c r="AI841" s="39"/>
      <c r="AK841" s="41"/>
    </row>
    <row r="842" spans="1:37" ht="21">
      <c r="A842" s="32" t="s">
        <v>1098</v>
      </c>
      <c r="B842" s="92" t="s">
        <v>401</v>
      </c>
      <c r="C842" s="93" t="s">
        <v>402</v>
      </c>
      <c r="D842" s="88" t="s">
        <v>38</v>
      </c>
      <c r="E842" s="73"/>
      <c r="F842" s="73"/>
      <c r="G842" s="73"/>
      <c r="H842" s="73"/>
      <c r="I842" s="73"/>
      <c r="J842" s="73"/>
      <c r="K842" s="73"/>
      <c r="L842" s="73"/>
      <c r="M842" s="73"/>
      <c r="N842" s="73"/>
      <c r="O842" s="73"/>
      <c r="P842" s="73"/>
      <c r="Q842" s="73"/>
      <c r="R842" s="73"/>
      <c r="S842" s="73"/>
      <c r="T842" s="73"/>
      <c r="U842" s="73"/>
      <c r="V842" s="73"/>
      <c r="W842" s="73"/>
      <c r="X842" s="73"/>
      <c r="Y842" s="73"/>
      <c r="Z842" s="73"/>
      <c r="AA842" s="75"/>
      <c r="AB842" s="75"/>
      <c r="AC842" s="55"/>
      <c r="AD842" s="89"/>
      <c r="AE842" s="89"/>
      <c r="AF842" s="89"/>
      <c r="AG842" s="57"/>
      <c r="AH842" s="58"/>
      <c r="AI842" s="39"/>
      <c r="AK842" s="41"/>
    </row>
    <row r="843" spans="1:37" ht="21">
      <c r="A843" s="32" t="s">
        <v>1099</v>
      </c>
      <c r="B843" s="92" t="s">
        <v>403</v>
      </c>
      <c r="C843" s="93" t="s">
        <v>404</v>
      </c>
      <c r="D843" s="88" t="s">
        <v>38</v>
      </c>
      <c r="E843" s="73"/>
      <c r="F843" s="73"/>
      <c r="G843" s="73"/>
      <c r="H843" s="73"/>
      <c r="I843" s="73"/>
      <c r="J843" s="73"/>
      <c r="K843" s="73"/>
      <c r="L843" s="73"/>
      <c r="M843" s="73"/>
      <c r="N843" s="73"/>
      <c r="O843" s="73"/>
      <c r="P843" s="73"/>
      <c r="Q843" s="73"/>
      <c r="R843" s="73"/>
      <c r="S843" s="73"/>
      <c r="T843" s="73"/>
      <c r="U843" s="73"/>
      <c r="V843" s="73"/>
      <c r="W843" s="73"/>
      <c r="X843" s="73"/>
      <c r="Y843" s="73"/>
      <c r="Z843" s="73"/>
      <c r="AA843" s="75"/>
      <c r="AB843" s="75"/>
      <c r="AC843" s="55"/>
      <c r="AD843" s="89"/>
      <c r="AE843" s="89"/>
      <c r="AF843" s="89"/>
      <c r="AG843" s="57"/>
      <c r="AH843" s="58"/>
      <c r="AI843" s="39"/>
      <c r="AK843" s="41"/>
    </row>
    <row r="844" spans="1:37" ht="21">
      <c r="A844" s="32" t="s">
        <v>1100</v>
      </c>
      <c r="B844" s="94" t="s">
        <v>25</v>
      </c>
      <c r="C844" s="95" t="s">
        <v>514</v>
      </c>
      <c r="D844" s="88"/>
      <c r="E844" s="73"/>
      <c r="F844" s="73"/>
      <c r="G844" s="73"/>
      <c r="H844" s="73"/>
      <c r="I844" s="73"/>
      <c r="J844" s="73"/>
      <c r="K844" s="73"/>
      <c r="L844" s="73"/>
      <c r="M844" s="73"/>
      <c r="N844" s="73"/>
      <c r="O844" s="73"/>
      <c r="P844" s="73"/>
      <c r="Q844" s="73"/>
      <c r="R844" s="73"/>
      <c r="S844" s="73"/>
      <c r="T844" s="73"/>
      <c r="U844" s="73"/>
      <c r="V844" s="73"/>
      <c r="W844" s="73"/>
      <c r="X844" s="73"/>
      <c r="Y844" s="73"/>
      <c r="Z844" s="73"/>
      <c r="AA844" s="75"/>
      <c r="AB844" s="75"/>
      <c r="AC844" s="55"/>
      <c r="AD844" s="89"/>
      <c r="AE844" s="89"/>
      <c r="AF844" s="89"/>
      <c r="AG844" s="91"/>
      <c r="AH844" s="48"/>
      <c r="AI844" s="39"/>
      <c r="AK844" s="41"/>
    </row>
    <row r="845" spans="1:37" ht="21">
      <c r="A845" s="32" t="s">
        <v>1101</v>
      </c>
      <c r="B845" s="92" t="s">
        <v>401</v>
      </c>
      <c r="C845" s="93" t="s">
        <v>402</v>
      </c>
      <c r="D845" s="88" t="s">
        <v>38</v>
      </c>
      <c r="E845" s="73"/>
      <c r="F845" s="73"/>
      <c r="G845" s="73"/>
      <c r="H845" s="73"/>
      <c r="I845" s="73"/>
      <c r="J845" s="73"/>
      <c r="K845" s="73"/>
      <c r="L845" s="73"/>
      <c r="M845" s="73"/>
      <c r="N845" s="73"/>
      <c r="O845" s="73"/>
      <c r="P845" s="73"/>
      <c r="Q845" s="73"/>
      <c r="R845" s="73"/>
      <c r="S845" s="73"/>
      <c r="T845" s="73"/>
      <c r="U845" s="73"/>
      <c r="V845" s="73"/>
      <c r="W845" s="73"/>
      <c r="X845" s="73"/>
      <c r="Y845" s="73"/>
      <c r="Z845" s="73"/>
      <c r="AA845" s="75"/>
      <c r="AB845" s="75"/>
      <c r="AC845" s="55"/>
      <c r="AD845" s="89"/>
      <c r="AE845" s="89"/>
      <c r="AF845" s="89"/>
      <c r="AG845" s="57"/>
      <c r="AH845" s="58"/>
      <c r="AI845" s="39"/>
      <c r="AK845" s="41"/>
    </row>
    <row r="846" spans="1:37" ht="21">
      <c r="A846" s="32" t="s">
        <v>1102</v>
      </c>
      <c r="B846" s="92" t="s">
        <v>403</v>
      </c>
      <c r="C846" s="93" t="s">
        <v>404</v>
      </c>
      <c r="D846" s="88" t="s">
        <v>38</v>
      </c>
      <c r="E846" s="73"/>
      <c r="F846" s="73"/>
      <c r="G846" s="73"/>
      <c r="H846" s="73"/>
      <c r="I846" s="73"/>
      <c r="J846" s="73"/>
      <c r="K846" s="73"/>
      <c r="L846" s="73"/>
      <c r="M846" s="73"/>
      <c r="N846" s="73"/>
      <c r="O846" s="73"/>
      <c r="P846" s="73"/>
      <c r="Q846" s="73"/>
      <c r="R846" s="73"/>
      <c r="S846" s="73"/>
      <c r="T846" s="73"/>
      <c r="U846" s="73"/>
      <c r="V846" s="73"/>
      <c r="W846" s="73"/>
      <c r="X846" s="73"/>
      <c r="Y846" s="73"/>
      <c r="Z846" s="73"/>
      <c r="AA846" s="75"/>
      <c r="AB846" s="75"/>
      <c r="AC846" s="55"/>
      <c r="AD846" s="89"/>
      <c r="AE846" s="89"/>
      <c r="AF846" s="89"/>
      <c r="AG846" s="57"/>
      <c r="AH846" s="58"/>
      <c r="AI846" s="39"/>
      <c r="AK846" s="41"/>
    </row>
    <row r="847" spans="1:37" ht="21">
      <c r="A847" s="32" t="s">
        <v>1103</v>
      </c>
      <c r="B847" s="94" t="s">
        <v>60</v>
      </c>
      <c r="C847" s="95" t="s">
        <v>515</v>
      </c>
      <c r="D847" s="134"/>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6"/>
      <c r="AB847" s="136"/>
      <c r="AC847" s="55"/>
      <c r="AD847" s="89"/>
      <c r="AE847" s="89"/>
      <c r="AF847" s="89"/>
      <c r="AG847" s="91"/>
      <c r="AH847" s="48"/>
      <c r="AI847" s="39"/>
      <c r="AK847" s="41"/>
    </row>
    <row r="848" spans="1:37" ht="21">
      <c r="A848" s="32" t="s">
        <v>1104</v>
      </c>
      <c r="B848" s="92" t="s">
        <v>401</v>
      </c>
      <c r="C848" s="93" t="s">
        <v>402</v>
      </c>
      <c r="D848" s="88" t="s">
        <v>38</v>
      </c>
      <c r="E848" s="73"/>
      <c r="F848" s="73"/>
      <c r="G848" s="73"/>
      <c r="H848" s="73"/>
      <c r="I848" s="73"/>
      <c r="J848" s="73"/>
      <c r="K848" s="73"/>
      <c r="L848" s="73"/>
      <c r="M848" s="73"/>
      <c r="N848" s="73"/>
      <c r="O848" s="73"/>
      <c r="P848" s="73"/>
      <c r="Q848" s="73"/>
      <c r="R848" s="73"/>
      <c r="S848" s="73"/>
      <c r="T848" s="73"/>
      <c r="U848" s="73"/>
      <c r="V848" s="73"/>
      <c r="W848" s="73"/>
      <c r="X848" s="73"/>
      <c r="Y848" s="73"/>
      <c r="Z848" s="73"/>
      <c r="AA848" s="75"/>
      <c r="AB848" s="75"/>
      <c r="AC848" s="55"/>
      <c r="AD848" s="89"/>
      <c r="AE848" s="89"/>
      <c r="AF848" s="89"/>
      <c r="AG848" s="57"/>
      <c r="AH848" s="58"/>
      <c r="AI848" s="39"/>
      <c r="AK848" s="41"/>
    </row>
    <row r="849" spans="1:37" ht="21">
      <c r="A849" s="32" t="s">
        <v>1105</v>
      </c>
      <c r="B849" s="92" t="s">
        <v>403</v>
      </c>
      <c r="C849" s="93" t="s">
        <v>404</v>
      </c>
      <c r="D849" s="88" t="s">
        <v>38</v>
      </c>
      <c r="E849" s="73"/>
      <c r="F849" s="73"/>
      <c r="G849" s="73"/>
      <c r="H849" s="73"/>
      <c r="I849" s="73"/>
      <c r="J849" s="73"/>
      <c r="K849" s="73"/>
      <c r="L849" s="73"/>
      <c r="M849" s="73"/>
      <c r="N849" s="73"/>
      <c r="O849" s="73"/>
      <c r="P849" s="73"/>
      <c r="Q849" s="73"/>
      <c r="R849" s="73"/>
      <c r="S849" s="73"/>
      <c r="T849" s="73"/>
      <c r="U849" s="73"/>
      <c r="V849" s="73"/>
      <c r="W849" s="73"/>
      <c r="X849" s="73"/>
      <c r="Y849" s="73"/>
      <c r="Z849" s="73"/>
      <c r="AA849" s="75"/>
      <c r="AB849" s="75"/>
      <c r="AC849" s="55"/>
      <c r="AD849" s="89"/>
      <c r="AE849" s="89"/>
      <c r="AF849" s="89"/>
      <c r="AG849" s="57"/>
      <c r="AH849" s="58"/>
      <c r="AI849" s="39"/>
      <c r="AK849" s="41"/>
    </row>
    <row r="850" spans="1:37" ht="21">
      <c r="A850" s="32" t="s">
        <v>1106</v>
      </c>
      <c r="B850" s="94" t="s">
        <v>57</v>
      </c>
      <c r="C850" s="95" t="s">
        <v>518</v>
      </c>
      <c r="D850" s="88"/>
      <c r="E850" s="73"/>
      <c r="F850" s="73"/>
      <c r="G850" s="73"/>
      <c r="H850" s="73"/>
      <c r="I850" s="73"/>
      <c r="J850" s="73"/>
      <c r="K850" s="73"/>
      <c r="L850" s="73"/>
      <c r="M850" s="73"/>
      <c r="N850" s="73"/>
      <c r="O850" s="73"/>
      <c r="P850" s="73"/>
      <c r="Q850" s="73"/>
      <c r="R850" s="73"/>
      <c r="S850" s="73"/>
      <c r="T850" s="73"/>
      <c r="U850" s="73"/>
      <c r="V850" s="73"/>
      <c r="W850" s="73"/>
      <c r="X850" s="73"/>
      <c r="Y850" s="73"/>
      <c r="Z850" s="73"/>
      <c r="AA850" s="75"/>
      <c r="AB850" s="75"/>
      <c r="AC850" s="55"/>
      <c r="AD850" s="89"/>
      <c r="AE850" s="89"/>
      <c r="AF850" s="89"/>
      <c r="AG850" s="91"/>
      <c r="AH850" s="48"/>
      <c r="AI850" s="39"/>
      <c r="AK850" s="41"/>
    </row>
    <row r="851" spans="1:37" ht="21">
      <c r="A851" s="32" t="s">
        <v>1107</v>
      </c>
      <c r="B851" s="94" t="s">
        <v>104</v>
      </c>
      <c r="C851" s="95" t="s">
        <v>519</v>
      </c>
      <c r="D851" s="88"/>
      <c r="E851" s="73"/>
      <c r="F851" s="73"/>
      <c r="G851" s="73"/>
      <c r="H851" s="73"/>
      <c r="I851" s="73"/>
      <c r="J851" s="73"/>
      <c r="K851" s="73"/>
      <c r="L851" s="73"/>
      <c r="M851" s="73"/>
      <c r="N851" s="73"/>
      <c r="O851" s="73"/>
      <c r="P851" s="73"/>
      <c r="Q851" s="73"/>
      <c r="R851" s="73"/>
      <c r="S851" s="73"/>
      <c r="T851" s="73"/>
      <c r="U851" s="73"/>
      <c r="V851" s="73"/>
      <c r="W851" s="73"/>
      <c r="X851" s="73"/>
      <c r="Y851" s="73"/>
      <c r="Z851" s="73"/>
      <c r="AA851" s="75"/>
      <c r="AB851" s="75"/>
      <c r="AC851" s="55"/>
      <c r="AD851" s="89"/>
      <c r="AE851" s="89"/>
      <c r="AF851" s="89"/>
      <c r="AG851" s="91"/>
      <c r="AH851" s="48"/>
      <c r="AI851" s="39"/>
      <c r="AK851" s="41"/>
    </row>
    <row r="852" spans="1:37" ht="21">
      <c r="A852" s="32" t="s">
        <v>1108</v>
      </c>
      <c r="B852" s="92" t="s">
        <v>401</v>
      </c>
      <c r="C852" s="93" t="s">
        <v>402</v>
      </c>
      <c r="D852" s="88" t="s">
        <v>38</v>
      </c>
      <c r="E852" s="73"/>
      <c r="F852" s="73"/>
      <c r="G852" s="73"/>
      <c r="H852" s="73"/>
      <c r="I852" s="73"/>
      <c r="J852" s="73"/>
      <c r="K852" s="73"/>
      <c r="L852" s="73"/>
      <c r="M852" s="73"/>
      <c r="N852" s="73"/>
      <c r="O852" s="73"/>
      <c r="P852" s="73"/>
      <c r="Q852" s="73"/>
      <c r="R852" s="73"/>
      <c r="S852" s="73"/>
      <c r="T852" s="73"/>
      <c r="U852" s="73"/>
      <c r="V852" s="73"/>
      <c r="W852" s="73"/>
      <c r="X852" s="73"/>
      <c r="Y852" s="73"/>
      <c r="Z852" s="73"/>
      <c r="AA852" s="75"/>
      <c r="AB852" s="75"/>
      <c r="AC852" s="55"/>
      <c r="AD852" s="89"/>
      <c r="AE852" s="89"/>
      <c r="AF852" s="89"/>
      <c r="AG852" s="57"/>
      <c r="AH852" s="58"/>
      <c r="AI852" s="39"/>
      <c r="AK852" s="41"/>
    </row>
    <row r="853" spans="1:37" ht="21">
      <c r="A853" s="32" t="s">
        <v>1109</v>
      </c>
      <c r="B853" s="92" t="s">
        <v>403</v>
      </c>
      <c r="C853" s="93" t="s">
        <v>404</v>
      </c>
      <c r="D853" s="88" t="s">
        <v>38</v>
      </c>
      <c r="E853" s="73"/>
      <c r="F853" s="73"/>
      <c r="G853" s="73"/>
      <c r="H853" s="73"/>
      <c r="I853" s="73"/>
      <c r="J853" s="73"/>
      <c r="K853" s="73"/>
      <c r="L853" s="73"/>
      <c r="M853" s="73"/>
      <c r="N853" s="73"/>
      <c r="O853" s="73"/>
      <c r="P853" s="73"/>
      <c r="Q853" s="73"/>
      <c r="R853" s="73"/>
      <c r="S853" s="73"/>
      <c r="T853" s="73"/>
      <c r="U853" s="73"/>
      <c r="V853" s="73"/>
      <c r="W853" s="73"/>
      <c r="X853" s="73"/>
      <c r="Y853" s="73"/>
      <c r="Z853" s="73"/>
      <c r="AA853" s="75"/>
      <c r="AB853" s="75"/>
      <c r="AC853" s="55"/>
      <c r="AD853" s="89"/>
      <c r="AE853" s="89"/>
      <c r="AF853" s="89"/>
      <c r="AG853" s="57"/>
      <c r="AH853" s="58"/>
      <c r="AI853" s="39"/>
      <c r="AK853" s="41"/>
    </row>
    <row r="854" spans="1:37" ht="21">
      <c r="A854" s="32" t="s">
        <v>1110</v>
      </c>
      <c r="B854" s="94" t="s">
        <v>24</v>
      </c>
      <c r="C854" s="95" t="s">
        <v>408</v>
      </c>
      <c r="D854" s="88"/>
      <c r="E854" s="73"/>
      <c r="F854" s="73"/>
      <c r="G854" s="73"/>
      <c r="H854" s="73"/>
      <c r="I854" s="73"/>
      <c r="J854" s="73"/>
      <c r="K854" s="73"/>
      <c r="L854" s="73"/>
      <c r="M854" s="73"/>
      <c r="N854" s="73"/>
      <c r="O854" s="73"/>
      <c r="P854" s="73"/>
      <c r="Q854" s="73"/>
      <c r="R854" s="73"/>
      <c r="S854" s="73"/>
      <c r="T854" s="73"/>
      <c r="U854" s="73"/>
      <c r="V854" s="73"/>
      <c r="W854" s="73"/>
      <c r="X854" s="73"/>
      <c r="Y854" s="73"/>
      <c r="Z854" s="73"/>
      <c r="AA854" s="75"/>
      <c r="AB854" s="75"/>
      <c r="AC854" s="55"/>
      <c r="AD854" s="89"/>
      <c r="AE854" s="89"/>
      <c r="AF854" s="89"/>
      <c r="AG854" s="91"/>
      <c r="AH854" s="48"/>
      <c r="AI854" s="39"/>
      <c r="AK854" s="41"/>
    </row>
    <row r="855" spans="1:37" ht="21">
      <c r="A855" s="32" t="s">
        <v>1111</v>
      </c>
      <c r="B855" s="92" t="s">
        <v>401</v>
      </c>
      <c r="C855" s="93" t="s">
        <v>402</v>
      </c>
      <c r="D855" s="88" t="s">
        <v>38</v>
      </c>
      <c r="E855" s="73"/>
      <c r="F855" s="73"/>
      <c r="G855" s="73"/>
      <c r="H855" s="73"/>
      <c r="I855" s="73"/>
      <c r="J855" s="73"/>
      <c r="K855" s="73"/>
      <c r="L855" s="73"/>
      <c r="M855" s="73"/>
      <c r="N855" s="73"/>
      <c r="O855" s="73"/>
      <c r="P855" s="73"/>
      <c r="Q855" s="73"/>
      <c r="R855" s="73"/>
      <c r="S855" s="73"/>
      <c r="T855" s="73"/>
      <c r="U855" s="73"/>
      <c r="V855" s="73"/>
      <c r="W855" s="73"/>
      <c r="X855" s="73"/>
      <c r="Y855" s="73"/>
      <c r="Z855" s="73"/>
      <c r="AA855" s="75"/>
      <c r="AB855" s="75"/>
      <c r="AC855" s="55"/>
      <c r="AD855" s="89"/>
      <c r="AE855" s="89"/>
      <c r="AF855" s="89"/>
      <c r="AG855" s="57"/>
      <c r="AH855" s="58"/>
      <c r="AI855" s="39"/>
      <c r="AK855" s="41"/>
    </row>
    <row r="856" spans="1:37" ht="21">
      <c r="A856" s="32" t="s">
        <v>1112</v>
      </c>
      <c r="B856" s="92" t="s">
        <v>403</v>
      </c>
      <c r="C856" s="93" t="s">
        <v>404</v>
      </c>
      <c r="D856" s="88" t="s">
        <v>38</v>
      </c>
      <c r="E856" s="73"/>
      <c r="F856" s="73"/>
      <c r="G856" s="73"/>
      <c r="H856" s="73"/>
      <c r="I856" s="73"/>
      <c r="J856" s="73"/>
      <c r="K856" s="73"/>
      <c r="L856" s="73"/>
      <c r="M856" s="73"/>
      <c r="N856" s="73"/>
      <c r="O856" s="73"/>
      <c r="P856" s="73"/>
      <c r="Q856" s="73"/>
      <c r="R856" s="73"/>
      <c r="S856" s="73"/>
      <c r="T856" s="73"/>
      <c r="U856" s="73"/>
      <c r="V856" s="73"/>
      <c r="W856" s="73"/>
      <c r="X856" s="73"/>
      <c r="Y856" s="73"/>
      <c r="Z856" s="73"/>
      <c r="AA856" s="75"/>
      <c r="AB856" s="75"/>
      <c r="AC856" s="55"/>
      <c r="AD856" s="89"/>
      <c r="AE856" s="89"/>
      <c r="AF856" s="89"/>
      <c r="AG856" s="57"/>
      <c r="AH856" s="58"/>
      <c r="AI856" s="39"/>
      <c r="AK856" s="41"/>
    </row>
    <row r="857" spans="1:37" ht="21">
      <c r="A857" s="32" t="s">
        <v>1113</v>
      </c>
      <c r="B857" s="94" t="s">
        <v>25</v>
      </c>
      <c r="C857" s="95" t="s">
        <v>410</v>
      </c>
      <c r="D857" s="88"/>
      <c r="E857" s="73"/>
      <c r="F857" s="73"/>
      <c r="G857" s="73"/>
      <c r="H857" s="73"/>
      <c r="I857" s="73"/>
      <c r="J857" s="73"/>
      <c r="K857" s="73"/>
      <c r="L857" s="73"/>
      <c r="M857" s="73"/>
      <c r="N857" s="73"/>
      <c r="O857" s="73"/>
      <c r="P857" s="73"/>
      <c r="Q857" s="73"/>
      <c r="R857" s="73"/>
      <c r="S857" s="73"/>
      <c r="T857" s="73"/>
      <c r="U857" s="73"/>
      <c r="V857" s="73"/>
      <c r="W857" s="73"/>
      <c r="X857" s="73"/>
      <c r="Y857" s="73"/>
      <c r="Z857" s="73"/>
      <c r="AA857" s="75"/>
      <c r="AB857" s="75"/>
      <c r="AC857" s="55"/>
      <c r="AD857" s="89"/>
      <c r="AE857" s="89"/>
      <c r="AF857" s="89"/>
      <c r="AG857" s="91"/>
      <c r="AH857" s="48"/>
      <c r="AI857" s="39"/>
      <c r="AK857" s="41"/>
    </row>
    <row r="858" spans="1:37" ht="21">
      <c r="A858" s="32" t="s">
        <v>1114</v>
      </c>
      <c r="B858" s="92" t="s">
        <v>401</v>
      </c>
      <c r="C858" s="93" t="s">
        <v>402</v>
      </c>
      <c r="D858" s="88" t="s">
        <v>38</v>
      </c>
      <c r="E858" s="73"/>
      <c r="F858" s="73"/>
      <c r="G858" s="73"/>
      <c r="H858" s="73"/>
      <c r="I858" s="73"/>
      <c r="J858" s="73"/>
      <c r="K858" s="73"/>
      <c r="L858" s="73"/>
      <c r="M858" s="73"/>
      <c r="N858" s="73"/>
      <c r="O858" s="73"/>
      <c r="P858" s="73"/>
      <c r="Q858" s="73"/>
      <c r="R858" s="73"/>
      <c r="S858" s="73"/>
      <c r="T858" s="73"/>
      <c r="U858" s="73"/>
      <c r="V858" s="73"/>
      <c r="W858" s="73"/>
      <c r="X858" s="73"/>
      <c r="Y858" s="73"/>
      <c r="Z858" s="73"/>
      <c r="AA858" s="75"/>
      <c r="AB858" s="75"/>
      <c r="AC858" s="55"/>
      <c r="AD858" s="89"/>
      <c r="AE858" s="89"/>
      <c r="AF858" s="89"/>
      <c r="AG858" s="57"/>
      <c r="AH858" s="58"/>
      <c r="AI858" s="39"/>
      <c r="AK858" s="41"/>
    </row>
    <row r="859" spans="1:37" ht="21">
      <c r="A859" s="32" t="s">
        <v>1115</v>
      </c>
      <c r="B859" s="92" t="s">
        <v>403</v>
      </c>
      <c r="C859" s="93" t="s">
        <v>404</v>
      </c>
      <c r="D859" s="88" t="s">
        <v>38</v>
      </c>
      <c r="E859" s="73"/>
      <c r="F859" s="73"/>
      <c r="G859" s="73"/>
      <c r="H859" s="73"/>
      <c r="I859" s="73"/>
      <c r="J859" s="73"/>
      <c r="K859" s="73"/>
      <c r="L859" s="73"/>
      <c r="M859" s="73"/>
      <c r="N859" s="73"/>
      <c r="O859" s="73"/>
      <c r="P859" s="73"/>
      <c r="Q859" s="73"/>
      <c r="R859" s="73"/>
      <c r="S859" s="73"/>
      <c r="T859" s="73"/>
      <c r="U859" s="73"/>
      <c r="V859" s="73"/>
      <c r="W859" s="73"/>
      <c r="X859" s="73"/>
      <c r="Y859" s="73"/>
      <c r="Z859" s="73"/>
      <c r="AA859" s="75"/>
      <c r="AB859" s="75"/>
      <c r="AC859" s="55"/>
      <c r="AD859" s="89"/>
      <c r="AE859" s="89"/>
      <c r="AF859" s="89"/>
      <c r="AG859" s="57"/>
      <c r="AH859" s="58"/>
      <c r="AI859" s="39"/>
      <c r="AK859" s="41"/>
    </row>
    <row r="860" spans="1:37" ht="21">
      <c r="A860" s="32" t="s">
        <v>1116</v>
      </c>
      <c r="B860" s="94" t="s">
        <v>60</v>
      </c>
      <c r="C860" s="95" t="s">
        <v>412</v>
      </c>
      <c r="D860" s="88"/>
      <c r="E860" s="73"/>
      <c r="F860" s="73"/>
      <c r="G860" s="73"/>
      <c r="H860" s="73"/>
      <c r="I860" s="73"/>
      <c r="J860" s="73"/>
      <c r="K860" s="73"/>
      <c r="L860" s="73"/>
      <c r="M860" s="73"/>
      <c r="N860" s="73"/>
      <c r="O860" s="73"/>
      <c r="P860" s="73"/>
      <c r="Q860" s="73"/>
      <c r="R860" s="73"/>
      <c r="S860" s="73"/>
      <c r="T860" s="73"/>
      <c r="U860" s="73"/>
      <c r="V860" s="73"/>
      <c r="W860" s="73"/>
      <c r="X860" s="73"/>
      <c r="Y860" s="73"/>
      <c r="Z860" s="73"/>
      <c r="AA860" s="75"/>
      <c r="AB860" s="75"/>
      <c r="AC860" s="55"/>
      <c r="AD860" s="89"/>
      <c r="AE860" s="89"/>
      <c r="AF860" s="89"/>
      <c r="AG860" s="91"/>
      <c r="AH860" s="48"/>
      <c r="AI860" s="39"/>
      <c r="AK860" s="41"/>
    </row>
    <row r="861" spans="1:37" ht="21">
      <c r="A861" s="32" t="s">
        <v>1117</v>
      </c>
      <c r="B861" s="92" t="s">
        <v>401</v>
      </c>
      <c r="C861" s="93" t="s">
        <v>402</v>
      </c>
      <c r="D861" s="88" t="s">
        <v>38</v>
      </c>
      <c r="E861" s="73"/>
      <c r="F861" s="73"/>
      <c r="G861" s="73"/>
      <c r="H861" s="73"/>
      <c r="I861" s="73"/>
      <c r="J861" s="73"/>
      <c r="K861" s="73"/>
      <c r="L861" s="73"/>
      <c r="M861" s="73"/>
      <c r="N861" s="73"/>
      <c r="O861" s="73"/>
      <c r="P861" s="73"/>
      <c r="Q861" s="73"/>
      <c r="R861" s="73"/>
      <c r="S861" s="73"/>
      <c r="T861" s="73"/>
      <c r="U861" s="73"/>
      <c r="V861" s="73"/>
      <c r="W861" s="73"/>
      <c r="X861" s="73"/>
      <c r="Y861" s="73"/>
      <c r="Z861" s="73"/>
      <c r="AA861" s="75"/>
      <c r="AB861" s="75"/>
      <c r="AC861" s="55"/>
      <c r="AD861" s="89"/>
      <c r="AE861" s="89"/>
      <c r="AF861" s="89"/>
      <c r="AG861" s="57"/>
      <c r="AH861" s="58"/>
      <c r="AI861" s="39"/>
      <c r="AK861" s="41"/>
    </row>
    <row r="862" spans="1:37" ht="21">
      <c r="A862" s="32" t="s">
        <v>1118</v>
      </c>
      <c r="B862" s="92" t="s">
        <v>403</v>
      </c>
      <c r="C862" s="93" t="s">
        <v>404</v>
      </c>
      <c r="D862" s="88" t="s">
        <v>38</v>
      </c>
      <c r="E862" s="73"/>
      <c r="F862" s="73"/>
      <c r="G862" s="73"/>
      <c r="H862" s="73"/>
      <c r="I862" s="73"/>
      <c r="J862" s="73"/>
      <c r="K862" s="73"/>
      <c r="L862" s="73"/>
      <c r="M862" s="73"/>
      <c r="N862" s="73"/>
      <c r="O862" s="73"/>
      <c r="P862" s="73"/>
      <c r="Q862" s="73"/>
      <c r="R862" s="73"/>
      <c r="S862" s="73"/>
      <c r="T862" s="73"/>
      <c r="U862" s="73"/>
      <c r="V862" s="73"/>
      <c r="W862" s="73"/>
      <c r="X862" s="73"/>
      <c r="Y862" s="73"/>
      <c r="Z862" s="73"/>
      <c r="AA862" s="75"/>
      <c r="AB862" s="75"/>
      <c r="AC862" s="55"/>
      <c r="AD862" s="89"/>
      <c r="AE862" s="89"/>
      <c r="AF862" s="89"/>
      <c r="AG862" s="57"/>
      <c r="AH862" s="58"/>
      <c r="AI862" s="39"/>
      <c r="AK862" s="41"/>
    </row>
    <row r="863" spans="1:37" ht="21">
      <c r="A863" s="32" t="s">
        <v>1119</v>
      </c>
      <c r="B863" s="131" t="s">
        <v>62</v>
      </c>
      <c r="C863" s="95" t="s">
        <v>507</v>
      </c>
      <c r="D863" s="88" t="s">
        <v>38</v>
      </c>
      <c r="E863" s="73"/>
      <c r="F863" s="73"/>
      <c r="G863" s="73"/>
      <c r="H863" s="73"/>
      <c r="I863" s="73"/>
      <c r="J863" s="73"/>
      <c r="K863" s="73"/>
      <c r="L863" s="73"/>
      <c r="M863" s="73"/>
      <c r="N863" s="73"/>
      <c r="O863" s="73"/>
      <c r="P863" s="73"/>
      <c r="Q863" s="73"/>
      <c r="R863" s="73"/>
      <c r="S863" s="73"/>
      <c r="T863" s="73"/>
      <c r="U863" s="73"/>
      <c r="V863" s="73"/>
      <c r="W863" s="73"/>
      <c r="X863" s="73"/>
      <c r="Y863" s="73"/>
      <c r="Z863" s="73"/>
      <c r="AA863" s="75"/>
      <c r="AB863" s="75"/>
      <c r="AC863" s="55"/>
      <c r="AD863" s="89"/>
      <c r="AE863" s="89"/>
      <c r="AF863" s="89"/>
      <c r="AG863" s="91"/>
      <c r="AH863" s="48"/>
      <c r="AI863" s="39"/>
      <c r="AK863" s="41"/>
    </row>
    <row r="864" spans="1:37" ht="21">
      <c r="A864" s="32" t="s">
        <v>1120</v>
      </c>
      <c r="B864" s="92" t="s">
        <v>401</v>
      </c>
      <c r="C864" s="93" t="s">
        <v>402</v>
      </c>
      <c r="D864" s="88" t="s">
        <v>38</v>
      </c>
      <c r="E864" s="73"/>
      <c r="F864" s="73"/>
      <c r="G864" s="73"/>
      <c r="H864" s="73"/>
      <c r="I864" s="73"/>
      <c r="J864" s="73"/>
      <c r="K864" s="73"/>
      <c r="L864" s="73"/>
      <c r="M864" s="73"/>
      <c r="N864" s="73"/>
      <c r="O864" s="73"/>
      <c r="P864" s="73"/>
      <c r="Q864" s="73"/>
      <c r="R864" s="73"/>
      <c r="S864" s="73"/>
      <c r="T864" s="73"/>
      <c r="U864" s="73"/>
      <c r="V864" s="73"/>
      <c r="W864" s="73"/>
      <c r="X864" s="73"/>
      <c r="Y864" s="73"/>
      <c r="Z864" s="73"/>
      <c r="AA864" s="75"/>
      <c r="AB864" s="75"/>
      <c r="AC864" s="55"/>
      <c r="AD864" s="89"/>
      <c r="AE864" s="89"/>
      <c r="AF864" s="89"/>
      <c r="AG864" s="57"/>
      <c r="AH864" s="58"/>
      <c r="AI864" s="39"/>
      <c r="AK864" s="41"/>
    </row>
    <row r="865" spans="1:37" ht="21">
      <c r="A865" s="32" t="s">
        <v>1121</v>
      </c>
      <c r="B865" s="92" t="s">
        <v>403</v>
      </c>
      <c r="C865" s="93" t="s">
        <v>404</v>
      </c>
      <c r="D865" s="88" t="s">
        <v>38</v>
      </c>
      <c r="E865" s="73"/>
      <c r="F865" s="73"/>
      <c r="G865" s="73"/>
      <c r="H865" s="73"/>
      <c r="I865" s="73"/>
      <c r="J865" s="73"/>
      <c r="K865" s="73"/>
      <c r="L865" s="73"/>
      <c r="M865" s="73"/>
      <c r="N865" s="73"/>
      <c r="O865" s="73"/>
      <c r="P865" s="73"/>
      <c r="Q865" s="73"/>
      <c r="R865" s="73"/>
      <c r="S865" s="73"/>
      <c r="T865" s="73"/>
      <c r="U865" s="73"/>
      <c r="V865" s="73"/>
      <c r="W865" s="73"/>
      <c r="X865" s="73"/>
      <c r="Y865" s="73"/>
      <c r="Z865" s="73"/>
      <c r="AA865" s="75"/>
      <c r="AB865" s="75"/>
      <c r="AC865" s="55"/>
      <c r="AD865" s="89"/>
      <c r="AE865" s="89"/>
      <c r="AF865" s="89"/>
      <c r="AG865" s="57"/>
      <c r="AH865" s="58"/>
      <c r="AI865" s="39"/>
      <c r="AK865" s="41"/>
    </row>
    <row r="866" spans="1:37" ht="21">
      <c r="A866" s="32" t="s">
        <v>1122</v>
      </c>
      <c r="B866" s="131" t="s">
        <v>67</v>
      </c>
      <c r="C866" s="95" t="s">
        <v>507</v>
      </c>
      <c r="D866" s="88" t="s">
        <v>38</v>
      </c>
      <c r="E866" s="73"/>
      <c r="F866" s="73"/>
      <c r="G866" s="73"/>
      <c r="H866" s="73"/>
      <c r="I866" s="73"/>
      <c r="J866" s="73"/>
      <c r="K866" s="73"/>
      <c r="L866" s="73"/>
      <c r="M866" s="73"/>
      <c r="N866" s="73"/>
      <c r="O866" s="73"/>
      <c r="P866" s="73"/>
      <c r="Q866" s="73"/>
      <c r="R866" s="73"/>
      <c r="S866" s="73"/>
      <c r="T866" s="73"/>
      <c r="U866" s="73"/>
      <c r="V866" s="73"/>
      <c r="W866" s="73"/>
      <c r="X866" s="73"/>
      <c r="Y866" s="73"/>
      <c r="Z866" s="73"/>
      <c r="AA866" s="75"/>
      <c r="AB866" s="75"/>
      <c r="AC866" s="55"/>
      <c r="AD866" s="89"/>
      <c r="AE866" s="89"/>
      <c r="AF866" s="89"/>
      <c r="AG866" s="91"/>
      <c r="AH866" s="48"/>
      <c r="AI866" s="39"/>
      <c r="AK866" s="41"/>
    </row>
    <row r="867" spans="1:37" ht="21">
      <c r="A867" s="32" t="s">
        <v>1123</v>
      </c>
      <c r="B867" s="92" t="s">
        <v>401</v>
      </c>
      <c r="C867" s="93" t="s">
        <v>402</v>
      </c>
      <c r="D867" s="88" t="s">
        <v>38</v>
      </c>
      <c r="E867" s="73"/>
      <c r="F867" s="73"/>
      <c r="G867" s="73"/>
      <c r="H867" s="73"/>
      <c r="I867" s="73"/>
      <c r="J867" s="73"/>
      <c r="K867" s="73"/>
      <c r="L867" s="73"/>
      <c r="M867" s="73"/>
      <c r="N867" s="73"/>
      <c r="O867" s="73"/>
      <c r="P867" s="73"/>
      <c r="Q867" s="73"/>
      <c r="R867" s="73"/>
      <c r="S867" s="73"/>
      <c r="T867" s="73"/>
      <c r="U867" s="73"/>
      <c r="V867" s="73"/>
      <c r="W867" s="73"/>
      <c r="X867" s="73"/>
      <c r="Y867" s="73"/>
      <c r="Z867" s="73"/>
      <c r="AA867" s="75"/>
      <c r="AB867" s="75"/>
      <c r="AC867" s="55"/>
      <c r="AD867" s="89"/>
      <c r="AE867" s="89"/>
      <c r="AF867" s="89"/>
      <c r="AG867" s="57"/>
      <c r="AH867" s="58"/>
      <c r="AI867" s="39"/>
      <c r="AK867" s="41"/>
    </row>
    <row r="868" spans="1:37" ht="21">
      <c r="A868" s="32" t="s">
        <v>1124</v>
      </c>
      <c r="B868" s="92" t="s">
        <v>403</v>
      </c>
      <c r="C868" s="93" t="s">
        <v>404</v>
      </c>
      <c r="D868" s="88" t="s">
        <v>38</v>
      </c>
      <c r="E868" s="73"/>
      <c r="F868" s="73"/>
      <c r="G868" s="73"/>
      <c r="H868" s="73"/>
      <c r="I868" s="73"/>
      <c r="J868" s="73"/>
      <c r="K868" s="73"/>
      <c r="L868" s="73"/>
      <c r="M868" s="73"/>
      <c r="N868" s="73"/>
      <c r="O868" s="73"/>
      <c r="P868" s="73"/>
      <c r="Q868" s="73"/>
      <c r="R868" s="73"/>
      <c r="S868" s="73"/>
      <c r="T868" s="73"/>
      <c r="U868" s="73"/>
      <c r="V868" s="73"/>
      <c r="W868" s="73"/>
      <c r="X868" s="73"/>
      <c r="Y868" s="73"/>
      <c r="Z868" s="73"/>
      <c r="AA868" s="75"/>
      <c r="AB868" s="75"/>
      <c r="AC868" s="55"/>
      <c r="AD868" s="89"/>
      <c r="AE868" s="89"/>
      <c r="AF868" s="89"/>
      <c r="AG868" s="57"/>
      <c r="AH868" s="58"/>
      <c r="AI868" s="39"/>
      <c r="AK868" s="41"/>
    </row>
    <row r="869" spans="1:37" ht="40.5">
      <c r="A869" s="32" t="s">
        <v>520</v>
      </c>
      <c r="B869" s="86" t="s">
        <v>520</v>
      </c>
      <c r="C869" s="87" t="s">
        <v>2588</v>
      </c>
      <c r="D869" s="88"/>
      <c r="E869" s="73"/>
      <c r="F869" s="73"/>
      <c r="G869" s="73"/>
      <c r="H869" s="73"/>
      <c r="I869" s="73"/>
      <c r="J869" s="73"/>
      <c r="K869" s="73"/>
      <c r="L869" s="73"/>
      <c r="M869" s="73"/>
      <c r="N869" s="73"/>
      <c r="O869" s="73"/>
      <c r="P869" s="73"/>
      <c r="Q869" s="73"/>
      <c r="R869" s="73"/>
      <c r="S869" s="73"/>
      <c r="T869" s="73"/>
      <c r="U869" s="73"/>
      <c r="V869" s="73"/>
      <c r="W869" s="73"/>
      <c r="X869" s="73"/>
      <c r="Y869" s="73"/>
      <c r="Z869" s="73"/>
      <c r="AA869" s="75"/>
      <c r="AB869" s="75"/>
      <c r="AC869" s="55"/>
      <c r="AD869" s="89"/>
      <c r="AE869" s="89"/>
      <c r="AF869" s="89"/>
      <c r="AG869" s="91"/>
      <c r="AH869" s="48"/>
      <c r="AI869" s="39"/>
      <c r="AK869" s="41"/>
    </row>
    <row r="870" spans="1:37" ht="21">
      <c r="A870" s="32" t="s">
        <v>1125</v>
      </c>
      <c r="B870" s="94" t="s">
        <v>14</v>
      </c>
      <c r="C870" s="95" t="s">
        <v>521</v>
      </c>
      <c r="D870" s="88"/>
      <c r="E870" s="73"/>
      <c r="F870" s="73"/>
      <c r="G870" s="73"/>
      <c r="H870" s="73"/>
      <c r="I870" s="73"/>
      <c r="J870" s="73"/>
      <c r="K870" s="73"/>
      <c r="L870" s="73"/>
      <c r="M870" s="73"/>
      <c r="N870" s="73"/>
      <c r="O870" s="73"/>
      <c r="P870" s="73"/>
      <c r="Q870" s="73"/>
      <c r="R870" s="73"/>
      <c r="S870" s="73"/>
      <c r="T870" s="73"/>
      <c r="U870" s="73"/>
      <c r="V870" s="73"/>
      <c r="W870" s="73"/>
      <c r="X870" s="73"/>
      <c r="Y870" s="73"/>
      <c r="Z870" s="73"/>
      <c r="AA870" s="75"/>
      <c r="AB870" s="75"/>
      <c r="AC870" s="55"/>
      <c r="AD870" s="89"/>
      <c r="AE870" s="89"/>
      <c r="AF870" s="89"/>
      <c r="AG870" s="91"/>
      <c r="AH870" s="48"/>
      <c r="AI870" s="39"/>
      <c r="AK870" s="41"/>
    </row>
    <row r="871" spans="1:37" ht="21">
      <c r="A871" s="32" t="s">
        <v>1126</v>
      </c>
      <c r="B871" s="131" t="s">
        <v>104</v>
      </c>
      <c r="C871" s="95" t="s">
        <v>522</v>
      </c>
      <c r="D871" s="88" t="s">
        <v>81</v>
      </c>
      <c r="E871" s="73"/>
      <c r="F871" s="73"/>
      <c r="G871" s="73"/>
      <c r="H871" s="73"/>
      <c r="I871" s="73"/>
      <c r="J871" s="73"/>
      <c r="K871" s="73"/>
      <c r="L871" s="73"/>
      <c r="M871" s="73"/>
      <c r="N871" s="73"/>
      <c r="O871" s="73"/>
      <c r="P871" s="73"/>
      <c r="Q871" s="73"/>
      <c r="R871" s="73"/>
      <c r="S871" s="73"/>
      <c r="T871" s="73"/>
      <c r="U871" s="73"/>
      <c r="V871" s="73"/>
      <c r="W871" s="73"/>
      <c r="X871" s="73"/>
      <c r="Y871" s="73"/>
      <c r="Z871" s="73"/>
      <c r="AA871" s="75"/>
      <c r="AB871" s="75"/>
      <c r="AC871" s="55"/>
      <c r="AD871" s="89"/>
      <c r="AE871" s="89"/>
      <c r="AF871" s="89"/>
      <c r="AG871" s="57"/>
      <c r="AH871" s="58"/>
      <c r="AI871" s="39"/>
      <c r="AK871" s="41"/>
    </row>
    <row r="872" spans="1:37" ht="21">
      <c r="A872" s="32" t="s">
        <v>1127</v>
      </c>
      <c r="B872" s="131" t="s">
        <v>24</v>
      </c>
      <c r="C872" s="95" t="s">
        <v>523</v>
      </c>
      <c r="D872" s="88" t="s">
        <v>81</v>
      </c>
      <c r="E872" s="73"/>
      <c r="F872" s="73"/>
      <c r="G872" s="73"/>
      <c r="H872" s="73"/>
      <c r="I872" s="73"/>
      <c r="J872" s="73"/>
      <c r="K872" s="73"/>
      <c r="L872" s="73"/>
      <c r="M872" s="73"/>
      <c r="N872" s="73"/>
      <c r="O872" s="73"/>
      <c r="P872" s="73"/>
      <c r="Q872" s="73"/>
      <c r="R872" s="73"/>
      <c r="S872" s="73"/>
      <c r="T872" s="73"/>
      <c r="U872" s="73"/>
      <c r="V872" s="73"/>
      <c r="W872" s="73"/>
      <c r="X872" s="73"/>
      <c r="Y872" s="73"/>
      <c r="Z872" s="73"/>
      <c r="AA872" s="75"/>
      <c r="AB872" s="75"/>
      <c r="AC872" s="55"/>
      <c r="AD872" s="89"/>
      <c r="AE872" s="89"/>
      <c r="AF872" s="89"/>
      <c r="AG872" s="57"/>
      <c r="AH872" s="58"/>
      <c r="AI872" s="39"/>
      <c r="AK872" s="41"/>
    </row>
    <row r="873" spans="1:37" ht="21">
      <c r="A873" s="32" t="s">
        <v>1128</v>
      </c>
      <c r="B873" s="94" t="s">
        <v>25</v>
      </c>
      <c r="C873" s="95" t="s">
        <v>524</v>
      </c>
      <c r="D873" s="88"/>
      <c r="E873" s="73"/>
      <c r="F873" s="73"/>
      <c r="G873" s="73"/>
      <c r="H873" s="73"/>
      <c r="I873" s="73"/>
      <c r="J873" s="73"/>
      <c r="K873" s="73"/>
      <c r="L873" s="73"/>
      <c r="M873" s="73"/>
      <c r="N873" s="73"/>
      <c r="O873" s="73"/>
      <c r="P873" s="73"/>
      <c r="Q873" s="73"/>
      <c r="R873" s="73"/>
      <c r="S873" s="73"/>
      <c r="T873" s="73"/>
      <c r="U873" s="73"/>
      <c r="V873" s="73"/>
      <c r="W873" s="73"/>
      <c r="X873" s="73"/>
      <c r="Y873" s="73"/>
      <c r="Z873" s="73"/>
      <c r="AA873" s="75"/>
      <c r="AB873" s="75"/>
      <c r="AC873" s="55"/>
      <c r="AD873" s="89"/>
      <c r="AE873" s="89"/>
      <c r="AF873" s="89"/>
      <c r="AG873" s="57"/>
      <c r="AH873" s="58"/>
      <c r="AI873" s="39"/>
      <c r="AK873" s="41"/>
    </row>
    <row r="874" spans="1:37" ht="21">
      <c r="A874" s="32" t="s">
        <v>1129</v>
      </c>
      <c r="B874" s="92" t="s">
        <v>525</v>
      </c>
      <c r="C874" s="93" t="s">
        <v>526</v>
      </c>
      <c r="D874" s="88" t="s">
        <v>81</v>
      </c>
      <c r="E874" s="73"/>
      <c r="F874" s="73"/>
      <c r="G874" s="73"/>
      <c r="H874" s="73"/>
      <c r="I874" s="73"/>
      <c r="J874" s="73"/>
      <c r="K874" s="73"/>
      <c r="L874" s="73"/>
      <c r="M874" s="73"/>
      <c r="N874" s="73"/>
      <c r="O874" s="73"/>
      <c r="P874" s="73"/>
      <c r="Q874" s="73"/>
      <c r="R874" s="73"/>
      <c r="S874" s="73"/>
      <c r="T874" s="73"/>
      <c r="U874" s="73"/>
      <c r="V874" s="73"/>
      <c r="W874" s="73"/>
      <c r="X874" s="73"/>
      <c r="Y874" s="73"/>
      <c r="Z874" s="73"/>
      <c r="AA874" s="75"/>
      <c r="AB874" s="75"/>
      <c r="AC874" s="55"/>
      <c r="AD874" s="89"/>
      <c r="AE874" s="89"/>
      <c r="AF874" s="89"/>
      <c r="AG874" s="57"/>
      <c r="AH874" s="58"/>
      <c r="AI874" s="39"/>
      <c r="AK874" s="41"/>
    </row>
    <row r="875" spans="1:37" ht="21">
      <c r="A875" s="32" t="s">
        <v>1130</v>
      </c>
      <c r="B875" s="94" t="s">
        <v>60</v>
      </c>
      <c r="C875" s="95" t="s">
        <v>527</v>
      </c>
      <c r="D875" s="88"/>
      <c r="E875" s="73"/>
      <c r="F875" s="73"/>
      <c r="G875" s="73"/>
      <c r="H875" s="73"/>
      <c r="I875" s="73"/>
      <c r="J875" s="73"/>
      <c r="K875" s="73"/>
      <c r="L875" s="73"/>
      <c r="M875" s="73"/>
      <c r="N875" s="73"/>
      <c r="O875" s="73"/>
      <c r="P875" s="73"/>
      <c r="Q875" s="73"/>
      <c r="R875" s="73"/>
      <c r="S875" s="73"/>
      <c r="T875" s="73"/>
      <c r="U875" s="73"/>
      <c r="V875" s="73"/>
      <c r="W875" s="73"/>
      <c r="X875" s="73"/>
      <c r="Y875" s="73"/>
      <c r="Z875" s="73"/>
      <c r="AA875" s="75"/>
      <c r="AB875" s="75"/>
      <c r="AC875" s="55"/>
      <c r="AD875" s="89"/>
      <c r="AE875" s="89"/>
      <c r="AF875" s="89"/>
      <c r="AG875" s="91"/>
      <c r="AH875" s="48"/>
      <c r="AI875" s="39"/>
      <c r="AK875" s="41"/>
    </row>
    <row r="876" spans="1:37" ht="21">
      <c r="A876" s="32" t="s">
        <v>1131</v>
      </c>
      <c r="B876" s="92" t="s">
        <v>525</v>
      </c>
      <c r="C876" s="93" t="s">
        <v>528</v>
      </c>
      <c r="D876" s="88" t="s">
        <v>81</v>
      </c>
      <c r="E876" s="73"/>
      <c r="F876" s="73"/>
      <c r="G876" s="73"/>
      <c r="H876" s="73"/>
      <c r="I876" s="73"/>
      <c r="J876" s="73"/>
      <c r="K876" s="73"/>
      <c r="L876" s="73"/>
      <c r="M876" s="73"/>
      <c r="N876" s="73"/>
      <c r="O876" s="73"/>
      <c r="P876" s="73"/>
      <c r="Q876" s="73"/>
      <c r="R876" s="73"/>
      <c r="S876" s="73"/>
      <c r="T876" s="73"/>
      <c r="U876" s="73"/>
      <c r="V876" s="73"/>
      <c r="W876" s="73"/>
      <c r="X876" s="73"/>
      <c r="Y876" s="73"/>
      <c r="Z876" s="73"/>
      <c r="AA876" s="75"/>
      <c r="AB876" s="75"/>
      <c r="AC876" s="55"/>
      <c r="AD876" s="89"/>
      <c r="AE876" s="89"/>
      <c r="AF876" s="89"/>
      <c r="AG876" s="57"/>
      <c r="AH876" s="58"/>
      <c r="AI876" s="39"/>
      <c r="AK876" s="41"/>
    </row>
    <row r="877" spans="1:37" ht="21">
      <c r="A877" s="32" t="s">
        <v>1132</v>
      </c>
      <c r="B877" s="92" t="s">
        <v>529</v>
      </c>
      <c r="C877" s="93" t="s">
        <v>530</v>
      </c>
      <c r="D877" s="88"/>
      <c r="E877" s="73"/>
      <c r="F877" s="73"/>
      <c r="G877" s="73"/>
      <c r="H877" s="73"/>
      <c r="I877" s="73"/>
      <c r="J877" s="73"/>
      <c r="K877" s="73"/>
      <c r="L877" s="73"/>
      <c r="M877" s="73"/>
      <c r="N877" s="73"/>
      <c r="O877" s="73"/>
      <c r="P877" s="73"/>
      <c r="Q877" s="73"/>
      <c r="R877" s="73"/>
      <c r="S877" s="73"/>
      <c r="T877" s="73"/>
      <c r="U877" s="73"/>
      <c r="V877" s="73"/>
      <c r="W877" s="73"/>
      <c r="X877" s="73"/>
      <c r="Y877" s="73"/>
      <c r="Z877" s="73"/>
      <c r="AA877" s="75"/>
      <c r="AB877" s="75"/>
      <c r="AC877" s="55"/>
      <c r="AD877" s="89"/>
      <c r="AE877" s="89"/>
      <c r="AF877" s="89"/>
      <c r="AG877" s="57"/>
      <c r="AH877" s="58"/>
      <c r="AI877" s="39"/>
      <c r="AK877" s="41"/>
    </row>
    <row r="878" spans="1:37" ht="21">
      <c r="A878" s="32" t="s">
        <v>1133</v>
      </c>
      <c r="B878" s="94" t="s">
        <v>62</v>
      </c>
      <c r="C878" s="95" t="s">
        <v>531</v>
      </c>
      <c r="D878" s="88" t="s">
        <v>81</v>
      </c>
      <c r="E878" s="73"/>
      <c r="F878" s="73"/>
      <c r="G878" s="73"/>
      <c r="H878" s="73"/>
      <c r="I878" s="73"/>
      <c r="J878" s="73"/>
      <c r="K878" s="73"/>
      <c r="L878" s="73"/>
      <c r="M878" s="73"/>
      <c r="N878" s="73"/>
      <c r="O878" s="73"/>
      <c r="P878" s="73"/>
      <c r="Q878" s="73"/>
      <c r="R878" s="73"/>
      <c r="S878" s="73"/>
      <c r="T878" s="73"/>
      <c r="U878" s="73"/>
      <c r="V878" s="73"/>
      <c r="W878" s="73"/>
      <c r="X878" s="73"/>
      <c r="Y878" s="73"/>
      <c r="Z878" s="73"/>
      <c r="AA878" s="75"/>
      <c r="AB878" s="75"/>
      <c r="AC878" s="55"/>
      <c r="AD878" s="89"/>
      <c r="AE878" s="89"/>
      <c r="AF878" s="89"/>
      <c r="AG878" s="91"/>
      <c r="AH878" s="48"/>
      <c r="AI878" s="39"/>
      <c r="AK878" s="41"/>
    </row>
    <row r="879" spans="1:37" ht="21">
      <c r="A879" s="32" t="s">
        <v>1134</v>
      </c>
      <c r="B879" s="92" t="s">
        <v>525</v>
      </c>
      <c r="C879" s="93" t="s">
        <v>532</v>
      </c>
      <c r="D879" s="88"/>
      <c r="E879" s="73"/>
      <c r="F879" s="73"/>
      <c r="G879" s="73"/>
      <c r="H879" s="73"/>
      <c r="I879" s="73"/>
      <c r="J879" s="73"/>
      <c r="K879" s="73"/>
      <c r="L879" s="73"/>
      <c r="M879" s="73"/>
      <c r="N879" s="73"/>
      <c r="O879" s="73"/>
      <c r="P879" s="73"/>
      <c r="Q879" s="73"/>
      <c r="R879" s="73"/>
      <c r="S879" s="73"/>
      <c r="T879" s="73"/>
      <c r="U879" s="73"/>
      <c r="V879" s="73"/>
      <c r="W879" s="73"/>
      <c r="X879" s="73"/>
      <c r="Y879" s="73"/>
      <c r="Z879" s="73"/>
      <c r="AA879" s="75"/>
      <c r="AB879" s="75"/>
      <c r="AC879" s="55"/>
      <c r="AD879" s="89"/>
      <c r="AE879" s="89"/>
      <c r="AF879" s="89"/>
      <c r="AG879" s="57"/>
      <c r="AH879" s="58"/>
      <c r="AI879" s="39"/>
      <c r="AK879" s="41"/>
    </row>
    <row r="880" spans="1:37" ht="21">
      <c r="A880" s="32" t="s">
        <v>1135</v>
      </c>
      <c r="B880" s="92" t="s">
        <v>529</v>
      </c>
      <c r="C880" s="93" t="s">
        <v>530</v>
      </c>
      <c r="D880" s="88" t="s">
        <v>81</v>
      </c>
      <c r="E880" s="73"/>
      <c r="F880" s="73"/>
      <c r="G880" s="73"/>
      <c r="H880" s="73"/>
      <c r="I880" s="73"/>
      <c r="J880" s="73"/>
      <c r="K880" s="73"/>
      <c r="L880" s="73"/>
      <c r="M880" s="73"/>
      <c r="N880" s="73"/>
      <c r="O880" s="73"/>
      <c r="P880" s="73"/>
      <c r="Q880" s="73"/>
      <c r="R880" s="73"/>
      <c r="S880" s="73"/>
      <c r="T880" s="73"/>
      <c r="U880" s="73"/>
      <c r="V880" s="73"/>
      <c r="W880" s="73"/>
      <c r="X880" s="73"/>
      <c r="Y880" s="73"/>
      <c r="Z880" s="73"/>
      <c r="AA880" s="75"/>
      <c r="AB880" s="75"/>
      <c r="AC880" s="55"/>
      <c r="AD880" s="89"/>
      <c r="AE880" s="89"/>
      <c r="AF880" s="89"/>
      <c r="AG880" s="57"/>
      <c r="AH880" s="58"/>
      <c r="AI880" s="39"/>
      <c r="AK880" s="41"/>
    </row>
    <row r="881" spans="1:37" ht="21">
      <c r="A881" s="32" t="s">
        <v>1136</v>
      </c>
      <c r="B881" s="94" t="s">
        <v>15</v>
      </c>
      <c r="C881" s="95" t="s">
        <v>533</v>
      </c>
      <c r="D881" s="88"/>
      <c r="E881" s="73"/>
      <c r="F881" s="73"/>
      <c r="G881" s="73"/>
      <c r="H881" s="73"/>
      <c r="I881" s="73"/>
      <c r="J881" s="73"/>
      <c r="K881" s="73"/>
      <c r="L881" s="73"/>
      <c r="M881" s="73"/>
      <c r="N881" s="73"/>
      <c r="O881" s="73"/>
      <c r="P881" s="73"/>
      <c r="Q881" s="73"/>
      <c r="R881" s="73"/>
      <c r="S881" s="73"/>
      <c r="T881" s="73"/>
      <c r="U881" s="73"/>
      <c r="V881" s="73"/>
      <c r="W881" s="73"/>
      <c r="X881" s="73"/>
      <c r="Y881" s="73"/>
      <c r="Z881" s="73"/>
      <c r="AA881" s="75"/>
      <c r="AB881" s="75"/>
      <c r="AC881" s="55"/>
      <c r="AD881" s="89"/>
      <c r="AE881" s="89"/>
      <c r="AF881" s="89"/>
      <c r="AG881" s="91"/>
      <c r="AH881" s="48"/>
      <c r="AI881" s="39"/>
      <c r="AK881" s="41"/>
    </row>
    <row r="882" spans="1:37" ht="21">
      <c r="A882" s="32" t="s">
        <v>1137</v>
      </c>
      <c r="B882" s="131" t="s">
        <v>104</v>
      </c>
      <c r="C882" s="95" t="s">
        <v>522</v>
      </c>
      <c r="D882" s="88" t="s">
        <v>81</v>
      </c>
      <c r="E882" s="73"/>
      <c r="F882" s="73"/>
      <c r="G882" s="73"/>
      <c r="H882" s="73"/>
      <c r="I882" s="73"/>
      <c r="J882" s="73"/>
      <c r="K882" s="73"/>
      <c r="L882" s="73"/>
      <c r="M882" s="73"/>
      <c r="N882" s="73"/>
      <c r="O882" s="73"/>
      <c r="P882" s="73"/>
      <c r="Q882" s="73"/>
      <c r="R882" s="73"/>
      <c r="S882" s="73"/>
      <c r="T882" s="73"/>
      <c r="U882" s="73"/>
      <c r="V882" s="73"/>
      <c r="W882" s="73"/>
      <c r="X882" s="73"/>
      <c r="Y882" s="73"/>
      <c r="Z882" s="73"/>
      <c r="AA882" s="75"/>
      <c r="AB882" s="75"/>
      <c r="AC882" s="55"/>
      <c r="AD882" s="89"/>
      <c r="AE882" s="89"/>
      <c r="AF882" s="89"/>
      <c r="AG882" s="57"/>
      <c r="AH882" s="58"/>
      <c r="AI882" s="39"/>
      <c r="AK882" s="41"/>
    </row>
    <row r="883" spans="1:37" ht="21">
      <c r="A883" s="32" t="s">
        <v>1138</v>
      </c>
      <c r="B883" s="131" t="s">
        <v>24</v>
      </c>
      <c r="C883" s="95" t="s">
        <v>523</v>
      </c>
      <c r="D883" s="88" t="s">
        <v>81</v>
      </c>
      <c r="E883" s="73"/>
      <c r="F883" s="73"/>
      <c r="G883" s="73"/>
      <c r="H883" s="73"/>
      <c r="I883" s="73"/>
      <c r="J883" s="73"/>
      <c r="K883" s="73"/>
      <c r="L883" s="73"/>
      <c r="M883" s="73"/>
      <c r="N883" s="73"/>
      <c r="O883" s="73"/>
      <c r="P883" s="73"/>
      <c r="Q883" s="73"/>
      <c r="R883" s="73"/>
      <c r="S883" s="73"/>
      <c r="T883" s="73"/>
      <c r="U883" s="73"/>
      <c r="V883" s="73"/>
      <c r="W883" s="73"/>
      <c r="X883" s="73"/>
      <c r="Y883" s="73"/>
      <c r="Z883" s="73"/>
      <c r="AA883" s="75"/>
      <c r="AB883" s="75"/>
      <c r="AC883" s="55"/>
      <c r="AD883" s="89"/>
      <c r="AE883" s="89"/>
      <c r="AF883" s="89"/>
      <c r="AG883" s="57"/>
      <c r="AH883" s="58"/>
      <c r="AI883" s="39"/>
      <c r="AK883" s="41"/>
    </row>
    <row r="884" spans="1:37" ht="21">
      <c r="A884" s="32" t="s">
        <v>1139</v>
      </c>
      <c r="B884" s="94" t="s">
        <v>25</v>
      </c>
      <c r="C884" s="95" t="s">
        <v>534</v>
      </c>
      <c r="D884" s="88"/>
      <c r="E884" s="73"/>
      <c r="F884" s="73"/>
      <c r="G884" s="73"/>
      <c r="H884" s="73"/>
      <c r="I884" s="73"/>
      <c r="J884" s="73"/>
      <c r="K884" s="73"/>
      <c r="L884" s="73"/>
      <c r="M884" s="73"/>
      <c r="N884" s="73"/>
      <c r="O884" s="73"/>
      <c r="P884" s="73"/>
      <c r="Q884" s="73"/>
      <c r="R884" s="73"/>
      <c r="S884" s="73"/>
      <c r="T884" s="73"/>
      <c r="U884" s="73"/>
      <c r="V884" s="73"/>
      <c r="W884" s="73"/>
      <c r="X884" s="73"/>
      <c r="Y884" s="73"/>
      <c r="Z884" s="73"/>
      <c r="AA884" s="75"/>
      <c r="AB884" s="75"/>
      <c r="AC884" s="55"/>
      <c r="AD884" s="89"/>
      <c r="AE884" s="89"/>
      <c r="AF884" s="89"/>
      <c r="AG884" s="91"/>
      <c r="AH884" s="48"/>
      <c r="AI884" s="39"/>
      <c r="AK884" s="41"/>
    </row>
    <row r="885" spans="1:37" ht="21">
      <c r="A885" s="32" t="s">
        <v>1140</v>
      </c>
      <c r="B885" s="92" t="s">
        <v>525</v>
      </c>
      <c r="C885" s="93" t="s">
        <v>526</v>
      </c>
      <c r="D885" s="88" t="s">
        <v>81</v>
      </c>
      <c r="E885" s="73"/>
      <c r="F885" s="73"/>
      <c r="G885" s="73"/>
      <c r="H885" s="73"/>
      <c r="I885" s="73"/>
      <c r="J885" s="73"/>
      <c r="K885" s="73"/>
      <c r="L885" s="73"/>
      <c r="M885" s="73"/>
      <c r="N885" s="73"/>
      <c r="O885" s="73"/>
      <c r="P885" s="73"/>
      <c r="Q885" s="73"/>
      <c r="R885" s="73"/>
      <c r="S885" s="73"/>
      <c r="T885" s="73"/>
      <c r="U885" s="73"/>
      <c r="V885" s="73"/>
      <c r="W885" s="73"/>
      <c r="X885" s="73"/>
      <c r="Y885" s="73"/>
      <c r="Z885" s="73"/>
      <c r="AA885" s="75"/>
      <c r="AB885" s="75"/>
      <c r="AC885" s="55"/>
      <c r="AD885" s="89"/>
      <c r="AE885" s="89"/>
      <c r="AF885" s="89"/>
      <c r="AG885" s="57"/>
      <c r="AH885" s="58"/>
      <c r="AI885" s="39"/>
      <c r="AK885" s="41"/>
    </row>
    <row r="886" spans="1:37" ht="21">
      <c r="A886" s="32" t="s">
        <v>1141</v>
      </c>
      <c r="B886" s="92" t="s">
        <v>529</v>
      </c>
      <c r="C886" s="93" t="s">
        <v>535</v>
      </c>
      <c r="D886" s="88" t="s">
        <v>81</v>
      </c>
      <c r="E886" s="73"/>
      <c r="F886" s="73"/>
      <c r="G886" s="73"/>
      <c r="H886" s="73"/>
      <c r="I886" s="73"/>
      <c r="J886" s="73"/>
      <c r="K886" s="73"/>
      <c r="L886" s="73"/>
      <c r="M886" s="73"/>
      <c r="N886" s="73"/>
      <c r="O886" s="73"/>
      <c r="P886" s="73"/>
      <c r="Q886" s="73"/>
      <c r="R886" s="73"/>
      <c r="S886" s="73"/>
      <c r="T886" s="73"/>
      <c r="U886" s="73"/>
      <c r="V886" s="73"/>
      <c r="W886" s="73"/>
      <c r="X886" s="73"/>
      <c r="Y886" s="73"/>
      <c r="Z886" s="73"/>
      <c r="AA886" s="75"/>
      <c r="AB886" s="75"/>
      <c r="AC886" s="55"/>
      <c r="AD886" s="89"/>
      <c r="AE886" s="89"/>
      <c r="AF886" s="89"/>
      <c r="AG886" s="57"/>
      <c r="AH886" s="58"/>
      <c r="AI886" s="39"/>
      <c r="AK886" s="41"/>
    </row>
    <row r="887" spans="1:37" ht="21">
      <c r="A887" s="32" t="s">
        <v>1142</v>
      </c>
      <c r="B887" s="94" t="s">
        <v>60</v>
      </c>
      <c r="C887" s="95" t="s">
        <v>536</v>
      </c>
      <c r="D887" s="88"/>
      <c r="E887" s="73"/>
      <c r="F887" s="73"/>
      <c r="G887" s="73"/>
      <c r="H887" s="73"/>
      <c r="I887" s="73"/>
      <c r="J887" s="73"/>
      <c r="K887" s="73"/>
      <c r="L887" s="73"/>
      <c r="M887" s="73"/>
      <c r="N887" s="73"/>
      <c r="O887" s="73"/>
      <c r="P887" s="73"/>
      <c r="Q887" s="73"/>
      <c r="R887" s="73"/>
      <c r="S887" s="73"/>
      <c r="T887" s="73"/>
      <c r="U887" s="73"/>
      <c r="V887" s="73"/>
      <c r="W887" s="73"/>
      <c r="X887" s="73"/>
      <c r="Y887" s="73"/>
      <c r="Z887" s="73"/>
      <c r="AA887" s="75"/>
      <c r="AB887" s="75"/>
      <c r="AC887" s="55"/>
      <c r="AD887" s="89"/>
      <c r="AE887" s="89"/>
      <c r="AF887" s="89"/>
      <c r="AG887" s="91"/>
      <c r="AH887" s="48"/>
      <c r="AI887" s="39"/>
      <c r="AK887" s="41"/>
    </row>
    <row r="888" spans="1:37" ht="21">
      <c r="A888" s="32" t="s">
        <v>1143</v>
      </c>
      <c r="B888" s="92" t="s">
        <v>525</v>
      </c>
      <c r="C888" s="93" t="s">
        <v>528</v>
      </c>
      <c r="D888" s="88" t="s">
        <v>81</v>
      </c>
      <c r="E888" s="73"/>
      <c r="F888" s="73"/>
      <c r="G888" s="73"/>
      <c r="H888" s="73"/>
      <c r="I888" s="73"/>
      <c r="J888" s="73"/>
      <c r="K888" s="73"/>
      <c r="L888" s="73"/>
      <c r="M888" s="73"/>
      <c r="N888" s="73"/>
      <c r="O888" s="73"/>
      <c r="P888" s="73"/>
      <c r="Q888" s="73"/>
      <c r="R888" s="73"/>
      <c r="S888" s="73"/>
      <c r="T888" s="73"/>
      <c r="U888" s="73"/>
      <c r="V888" s="73"/>
      <c r="W888" s="73"/>
      <c r="X888" s="73"/>
      <c r="Y888" s="73"/>
      <c r="Z888" s="73"/>
      <c r="AA888" s="75"/>
      <c r="AB888" s="75"/>
      <c r="AC888" s="55"/>
      <c r="AD888" s="89"/>
      <c r="AE888" s="89"/>
      <c r="AF888" s="89"/>
      <c r="AG888" s="57"/>
      <c r="AH888" s="58"/>
      <c r="AI888" s="39"/>
      <c r="AK888" s="41"/>
    </row>
    <row r="889" spans="1:37" ht="21">
      <c r="A889" s="32" t="s">
        <v>1144</v>
      </c>
      <c r="B889" s="92" t="s">
        <v>529</v>
      </c>
      <c r="C889" s="93" t="s">
        <v>537</v>
      </c>
      <c r="D889" s="88" t="s">
        <v>81</v>
      </c>
      <c r="E889" s="73"/>
      <c r="F889" s="73"/>
      <c r="G889" s="73"/>
      <c r="H889" s="73"/>
      <c r="I889" s="73"/>
      <c r="J889" s="73"/>
      <c r="K889" s="73"/>
      <c r="L889" s="73"/>
      <c r="M889" s="73"/>
      <c r="N889" s="73"/>
      <c r="O889" s="73"/>
      <c r="P889" s="73"/>
      <c r="Q889" s="73"/>
      <c r="R889" s="73"/>
      <c r="S889" s="73"/>
      <c r="T889" s="73"/>
      <c r="U889" s="73"/>
      <c r="V889" s="73"/>
      <c r="W889" s="73"/>
      <c r="X889" s="73"/>
      <c r="Y889" s="73"/>
      <c r="Z889" s="73"/>
      <c r="AA889" s="75"/>
      <c r="AB889" s="75"/>
      <c r="AC889" s="55"/>
      <c r="AD889" s="89"/>
      <c r="AE889" s="89"/>
      <c r="AF889" s="89"/>
      <c r="AG889" s="57"/>
      <c r="AH889" s="58"/>
      <c r="AI889" s="39"/>
      <c r="AK889" s="41"/>
    </row>
    <row r="890" spans="1:37" ht="21">
      <c r="A890" s="32" t="s">
        <v>1145</v>
      </c>
      <c r="B890" s="92" t="s">
        <v>538</v>
      </c>
      <c r="C890" s="93" t="s">
        <v>539</v>
      </c>
      <c r="D890" s="88" t="s">
        <v>81</v>
      </c>
      <c r="E890" s="73"/>
      <c r="F890" s="73"/>
      <c r="G890" s="73"/>
      <c r="H890" s="73"/>
      <c r="I890" s="73"/>
      <c r="J890" s="73"/>
      <c r="K890" s="73"/>
      <c r="L890" s="73"/>
      <c r="M890" s="73"/>
      <c r="N890" s="73"/>
      <c r="O890" s="73"/>
      <c r="P890" s="73"/>
      <c r="Q890" s="73"/>
      <c r="R890" s="73"/>
      <c r="S890" s="73"/>
      <c r="T890" s="73"/>
      <c r="U890" s="73"/>
      <c r="V890" s="73"/>
      <c r="W890" s="73"/>
      <c r="X890" s="73"/>
      <c r="Y890" s="73"/>
      <c r="Z890" s="73"/>
      <c r="AA890" s="75"/>
      <c r="AB890" s="75"/>
      <c r="AC890" s="55"/>
      <c r="AD890" s="89"/>
      <c r="AE890" s="89"/>
      <c r="AF890" s="89"/>
      <c r="AG890" s="57"/>
      <c r="AH890" s="58"/>
      <c r="AI890" s="39"/>
      <c r="AK890" s="41"/>
    </row>
    <row r="891" spans="1:37" ht="21">
      <c r="A891" s="32" t="s">
        <v>1146</v>
      </c>
      <c r="B891" s="94" t="s">
        <v>62</v>
      </c>
      <c r="C891" s="95" t="s">
        <v>531</v>
      </c>
      <c r="D891" s="88"/>
      <c r="E891" s="73"/>
      <c r="F891" s="73"/>
      <c r="G891" s="73"/>
      <c r="H891" s="73"/>
      <c r="I891" s="73"/>
      <c r="J891" s="73"/>
      <c r="K891" s="73"/>
      <c r="L891" s="73"/>
      <c r="M891" s="73"/>
      <c r="N891" s="73"/>
      <c r="O891" s="73"/>
      <c r="P891" s="73"/>
      <c r="Q891" s="73"/>
      <c r="R891" s="73"/>
      <c r="S891" s="73"/>
      <c r="T891" s="73"/>
      <c r="U891" s="73"/>
      <c r="V891" s="73"/>
      <c r="W891" s="73"/>
      <c r="X891" s="73"/>
      <c r="Y891" s="73"/>
      <c r="Z891" s="73"/>
      <c r="AA891" s="75"/>
      <c r="AB891" s="75"/>
      <c r="AC891" s="55"/>
      <c r="AD891" s="89"/>
      <c r="AE891" s="89"/>
      <c r="AF891" s="89"/>
      <c r="AG891" s="91"/>
      <c r="AH891" s="48"/>
      <c r="AI891" s="39"/>
      <c r="AK891" s="41"/>
    </row>
    <row r="892" spans="1:37" ht="21">
      <c r="A892" s="32" t="s">
        <v>1147</v>
      </c>
      <c r="B892" s="92" t="s">
        <v>525</v>
      </c>
      <c r="C892" s="93" t="s">
        <v>532</v>
      </c>
      <c r="D892" s="88" t="s">
        <v>81</v>
      </c>
      <c r="E892" s="73"/>
      <c r="F892" s="73"/>
      <c r="G892" s="73"/>
      <c r="H892" s="73"/>
      <c r="I892" s="73"/>
      <c r="J892" s="73"/>
      <c r="K892" s="73"/>
      <c r="L892" s="73"/>
      <c r="M892" s="73"/>
      <c r="N892" s="73"/>
      <c r="O892" s="73"/>
      <c r="P892" s="73"/>
      <c r="Q892" s="73"/>
      <c r="R892" s="73"/>
      <c r="S892" s="73"/>
      <c r="T892" s="73"/>
      <c r="U892" s="73"/>
      <c r="V892" s="73"/>
      <c r="W892" s="73"/>
      <c r="X892" s="73"/>
      <c r="Y892" s="73"/>
      <c r="Z892" s="73"/>
      <c r="AA892" s="75"/>
      <c r="AB892" s="75"/>
      <c r="AC892" s="55"/>
      <c r="AD892" s="89"/>
      <c r="AE892" s="89"/>
      <c r="AF892" s="89"/>
      <c r="AG892" s="57"/>
      <c r="AH892" s="58"/>
      <c r="AI892" s="39"/>
      <c r="AK892" s="41"/>
    </row>
    <row r="893" spans="1:37" ht="21">
      <c r="A893" s="32" t="s">
        <v>1148</v>
      </c>
      <c r="B893" s="92" t="s">
        <v>529</v>
      </c>
      <c r="C893" s="93" t="s">
        <v>540</v>
      </c>
      <c r="D893" s="88" t="s">
        <v>81</v>
      </c>
      <c r="E893" s="73"/>
      <c r="F893" s="73"/>
      <c r="G893" s="73"/>
      <c r="H893" s="73"/>
      <c r="I893" s="73"/>
      <c r="J893" s="73"/>
      <c r="K893" s="73"/>
      <c r="L893" s="73"/>
      <c r="M893" s="73"/>
      <c r="N893" s="73"/>
      <c r="O893" s="73"/>
      <c r="P893" s="73"/>
      <c r="Q893" s="73"/>
      <c r="R893" s="73"/>
      <c r="S893" s="73"/>
      <c r="T893" s="73"/>
      <c r="U893" s="73"/>
      <c r="V893" s="73"/>
      <c r="W893" s="73"/>
      <c r="X893" s="73"/>
      <c r="Y893" s="73"/>
      <c r="Z893" s="73"/>
      <c r="AA893" s="75"/>
      <c r="AB893" s="75"/>
      <c r="AC893" s="55"/>
      <c r="AD893" s="89"/>
      <c r="AE893" s="89"/>
      <c r="AF893" s="89"/>
      <c r="AG893" s="57"/>
      <c r="AH893" s="58"/>
      <c r="AI893" s="39"/>
      <c r="AK893" s="41"/>
    </row>
    <row r="894" spans="1:37" ht="21">
      <c r="A894" s="32" t="s">
        <v>1149</v>
      </c>
      <c r="B894" s="92" t="s">
        <v>538</v>
      </c>
      <c r="C894" s="93" t="s">
        <v>541</v>
      </c>
      <c r="D894" s="88" t="s">
        <v>81</v>
      </c>
      <c r="E894" s="73"/>
      <c r="F894" s="73"/>
      <c r="G894" s="73"/>
      <c r="H894" s="73"/>
      <c r="I894" s="73"/>
      <c r="J894" s="73"/>
      <c r="K894" s="73"/>
      <c r="L894" s="73"/>
      <c r="M894" s="73"/>
      <c r="N894" s="73"/>
      <c r="O894" s="73"/>
      <c r="P894" s="73"/>
      <c r="Q894" s="73"/>
      <c r="R894" s="73"/>
      <c r="S894" s="73"/>
      <c r="T894" s="73"/>
      <c r="U894" s="73"/>
      <c r="V894" s="73"/>
      <c r="W894" s="73"/>
      <c r="X894" s="73"/>
      <c r="Y894" s="73"/>
      <c r="Z894" s="73"/>
      <c r="AA894" s="75"/>
      <c r="AB894" s="75"/>
      <c r="AC894" s="55"/>
      <c r="AD894" s="89"/>
      <c r="AE894" s="89"/>
      <c r="AF894" s="89"/>
      <c r="AG894" s="57"/>
      <c r="AH894" s="58"/>
      <c r="AI894" s="39"/>
      <c r="AK894" s="41"/>
    </row>
    <row r="895" spans="1:37" ht="21">
      <c r="A895" s="32" t="s">
        <v>1150</v>
      </c>
      <c r="B895" s="94" t="s">
        <v>40</v>
      </c>
      <c r="C895" s="95" t="s">
        <v>542</v>
      </c>
      <c r="D895" s="88"/>
      <c r="E895" s="73"/>
      <c r="F895" s="73"/>
      <c r="G895" s="73"/>
      <c r="H895" s="73"/>
      <c r="I895" s="73"/>
      <c r="J895" s="73"/>
      <c r="K895" s="73"/>
      <c r="L895" s="73"/>
      <c r="M895" s="73"/>
      <c r="N895" s="73"/>
      <c r="O895" s="73"/>
      <c r="P895" s="73"/>
      <c r="Q895" s="73"/>
      <c r="R895" s="73"/>
      <c r="S895" s="73"/>
      <c r="T895" s="73"/>
      <c r="U895" s="73"/>
      <c r="V895" s="73"/>
      <c r="W895" s="73"/>
      <c r="X895" s="73"/>
      <c r="Y895" s="73"/>
      <c r="Z895" s="73"/>
      <c r="AA895" s="75"/>
      <c r="AB895" s="75"/>
      <c r="AC895" s="55"/>
      <c r="AD895" s="89"/>
      <c r="AE895" s="89"/>
      <c r="AF895" s="89"/>
      <c r="AG895" s="91"/>
      <c r="AH895" s="48"/>
      <c r="AI895" s="39"/>
      <c r="AK895" s="41"/>
    </row>
    <row r="896" spans="1:37" ht="21">
      <c r="A896" s="32" t="s">
        <v>1151</v>
      </c>
      <c r="B896" s="131" t="s">
        <v>104</v>
      </c>
      <c r="C896" s="95" t="s">
        <v>543</v>
      </c>
      <c r="D896" s="88" t="s">
        <v>81</v>
      </c>
      <c r="E896" s="73"/>
      <c r="F896" s="73"/>
      <c r="G896" s="73"/>
      <c r="H896" s="73"/>
      <c r="I896" s="73"/>
      <c r="J896" s="73"/>
      <c r="K896" s="73"/>
      <c r="L896" s="73"/>
      <c r="M896" s="73"/>
      <c r="N896" s="73"/>
      <c r="O896" s="73"/>
      <c r="P896" s="73"/>
      <c r="Q896" s="73"/>
      <c r="R896" s="73"/>
      <c r="S896" s="73"/>
      <c r="T896" s="73"/>
      <c r="U896" s="73"/>
      <c r="V896" s="73"/>
      <c r="W896" s="73"/>
      <c r="X896" s="73"/>
      <c r="Y896" s="73"/>
      <c r="Z896" s="73"/>
      <c r="AA896" s="75"/>
      <c r="AB896" s="75"/>
      <c r="AC896" s="55"/>
      <c r="AD896" s="89"/>
      <c r="AE896" s="89"/>
      <c r="AF896" s="89"/>
      <c r="AG896" s="57"/>
      <c r="AH896" s="58"/>
      <c r="AI896" s="39"/>
      <c r="AK896" s="41"/>
    </row>
    <row r="897" spans="1:37" ht="21">
      <c r="A897" s="32" t="s">
        <v>1152</v>
      </c>
      <c r="B897" s="94" t="s">
        <v>48</v>
      </c>
      <c r="C897" s="95" t="s">
        <v>544</v>
      </c>
      <c r="D897" s="134"/>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6"/>
      <c r="AB897" s="136"/>
      <c r="AC897" s="55"/>
      <c r="AD897" s="89"/>
      <c r="AE897" s="89"/>
      <c r="AF897" s="89"/>
      <c r="AG897" s="91"/>
      <c r="AH897" s="48"/>
      <c r="AI897" s="39"/>
      <c r="AK897" s="41"/>
    </row>
    <row r="898" spans="1:37" ht="21">
      <c r="A898" s="32" t="s">
        <v>1153</v>
      </c>
      <c r="B898" s="131" t="s">
        <v>104</v>
      </c>
      <c r="C898" s="95" t="s">
        <v>545</v>
      </c>
      <c r="D898" s="88" t="s">
        <v>81</v>
      </c>
      <c r="E898" s="73"/>
      <c r="F898" s="73"/>
      <c r="G898" s="73"/>
      <c r="H898" s="73"/>
      <c r="I898" s="73"/>
      <c r="J898" s="73"/>
      <c r="K898" s="73"/>
      <c r="L898" s="73"/>
      <c r="M898" s="73"/>
      <c r="N898" s="73"/>
      <c r="O898" s="73"/>
      <c r="P898" s="73"/>
      <c r="Q898" s="73"/>
      <c r="R898" s="73"/>
      <c r="S898" s="73"/>
      <c r="T898" s="73"/>
      <c r="U898" s="73"/>
      <c r="V898" s="73"/>
      <c r="W898" s="73"/>
      <c r="X898" s="73"/>
      <c r="Y898" s="73"/>
      <c r="Z898" s="73"/>
      <c r="AA898" s="75"/>
      <c r="AB898" s="75"/>
      <c r="AC898" s="55"/>
      <c r="AD898" s="89"/>
      <c r="AE898" s="89"/>
      <c r="AF898" s="89"/>
      <c r="AG898" s="57"/>
      <c r="AH898" s="58"/>
      <c r="AI898" s="39"/>
      <c r="AK898" s="41"/>
    </row>
    <row r="899" spans="1:37" ht="21">
      <c r="A899" s="32" t="s">
        <v>1154</v>
      </c>
      <c r="B899" s="94" t="s">
        <v>55</v>
      </c>
      <c r="C899" s="95" t="s">
        <v>546</v>
      </c>
      <c r="D899" s="88"/>
      <c r="E899" s="73"/>
      <c r="F899" s="73"/>
      <c r="G899" s="73"/>
      <c r="H899" s="73"/>
      <c r="I899" s="73"/>
      <c r="J899" s="73"/>
      <c r="K899" s="73"/>
      <c r="L899" s="73"/>
      <c r="M899" s="73"/>
      <c r="N899" s="73"/>
      <c r="O899" s="73"/>
      <c r="P899" s="73"/>
      <c r="Q899" s="73"/>
      <c r="R899" s="73"/>
      <c r="S899" s="73"/>
      <c r="T899" s="73"/>
      <c r="U899" s="73"/>
      <c r="V899" s="73"/>
      <c r="W899" s="73"/>
      <c r="X899" s="73"/>
      <c r="Y899" s="73"/>
      <c r="Z899" s="73"/>
      <c r="AA899" s="75"/>
      <c r="AB899" s="75"/>
      <c r="AC899" s="55"/>
      <c r="AD899" s="89"/>
      <c r="AE899" s="89"/>
      <c r="AF899" s="89"/>
      <c r="AG899" s="91"/>
      <c r="AH899" s="48"/>
      <c r="AI899" s="39"/>
      <c r="AK899" s="41"/>
    </row>
    <row r="900" spans="1:37" ht="21">
      <c r="A900" s="32" t="s">
        <v>1155</v>
      </c>
      <c r="B900" s="131" t="s">
        <v>104</v>
      </c>
      <c r="C900" s="95" t="s">
        <v>547</v>
      </c>
      <c r="D900" s="88" t="s">
        <v>81</v>
      </c>
      <c r="E900" s="73"/>
      <c r="F900" s="73"/>
      <c r="G900" s="73"/>
      <c r="H900" s="73"/>
      <c r="I900" s="73"/>
      <c r="J900" s="73"/>
      <c r="K900" s="73"/>
      <c r="L900" s="73"/>
      <c r="M900" s="73"/>
      <c r="N900" s="73"/>
      <c r="O900" s="73"/>
      <c r="P900" s="73"/>
      <c r="Q900" s="73"/>
      <c r="R900" s="73"/>
      <c r="S900" s="73"/>
      <c r="T900" s="73"/>
      <c r="U900" s="73"/>
      <c r="V900" s="73"/>
      <c r="W900" s="73"/>
      <c r="X900" s="73"/>
      <c r="Y900" s="73"/>
      <c r="Z900" s="73"/>
      <c r="AA900" s="75"/>
      <c r="AB900" s="75"/>
      <c r="AC900" s="55"/>
      <c r="AD900" s="89"/>
      <c r="AE900" s="89"/>
      <c r="AF900" s="89"/>
      <c r="AG900" s="57"/>
      <c r="AH900" s="58"/>
      <c r="AI900" s="39"/>
      <c r="AK900" s="41"/>
    </row>
    <row r="901" spans="1:37" ht="40.5">
      <c r="A901" s="32" t="s">
        <v>548</v>
      </c>
      <c r="B901" s="86" t="s">
        <v>548</v>
      </c>
      <c r="C901" s="87" t="s">
        <v>2589</v>
      </c>
      <c r="D901" s="88"/>
      <c r="E901" s="73"/>
      <c r="F901" s="73"/>
      <c r="G901" s="73"/>
      <c r="H901" s="73"/>
      <c r="I901" s="73"/>
      <c r="J901" s="73"/>
      <c r="K901" s="73"/>
      <c r="L901" s="73"/>
      <c r="M901" s="73"/>
      <c r="N901" s="73"/>
      <c r="O901" s="73"/>
      <c r="P901" s="73"/>
      <c r="Q901" s="73"/>
      <c r="R901" s="73"/>
      <c r="S901" s="73"/>
      <c r="T901" s="73"/>
      <c r="U901" s="73"/>
      <c r="V901" s="73"/>
      <c r="W901" s="73"/>
      <c r="X901" s="73"/>
      <c r="Y901" s="73"/>
      <c r="Z901" s="73"/>
      <c r="AA901" s="75"/>
      <c r="AB901" s="75"/>
      <c r="AC901" s="55"/>
      <c r="AD901" s="89"/>
      <c r="AE901" s="89"/>
      <c r="AF901" s="89"/>
      <c r="AG901" s="91"/>
      <c r="AH901" s="48"/>
      <c r="AI901" s="39"/>
      <c r="AK901" s="41"/>
    </row>
    <row r="902" spans="1:37" ht="21">
      <c r="A902" s="32" t="s">
        <v>1156</v>
      </c>
      <c r="B902" s="94" t="s">
        <v>14</v>
      </c>
      <c r="C902" s="95" t="s">
        <v>521</v>
      </c>
      <c r="D902" s="88"/>
      <c r="E902" s="73"/>
      <c r="F902" s="73"/>
      <c r="G902" s="73"/>
      <c r="H902" s="73"/>
      <c r="I902" s="73"/>
      <c r="J902" s="73"/>
      <c r="K902" s="73"/>
      <c r="L902" s="73"/>
      <c r="M902" s="73"/>
      <c r="N902" s="73"/>
      <c r="O902" s="73"/>
      <c r="P902" s="73"/>
      <c r="Q902" s="73"/>
      <c r="R902" s="73"/>
      <c r="S902" s="73"/>
      <c r="T902" s="73"/>
      <c r="U902" s="73"/>
      <c r="V902" s="73"/>
      <c r="W902" s="73"/>
      <c r="X902" s="73"/>
      <c r="Y902" s="73"/>
      <c r="Z902" s="73"/>
      <c r="AA902" s="75"/>
      <c r="AB902" s="75"/>
      <c r="AC902" s="55"/>
      <c r="AD902" s="89"/>
      <c r="AE902" s="89"/>
      <c r="AF902" s="89"/>
      <c r="AG902" s="91"/>
      <c r="AH902" s="48"/>
      <c r="AI902" s="39"/>
      <c r="AK902" s="41"/>
    </row>
    <row r="903" spans="1:37" ht="21">
      <c r="A903" s="32" t="s">
        <v>1157</v>
      </c>
      <c r="B903" s="131" t="s">
        <v>104</v>
      </c>
      <c r="C903" s="95" t="s">
        <v>522</v>
      </c>
      <c r="D903" s="88" t="s">
        <v>81</v>
      </c>
      <c r="E903" s="73"/>
      <c r="F903" s="73"/>
      <c r="G903" s="73"/>
      <c r="H903" s="73"/>
      <c r="I903" s="73"/>
      <c r="J903" s="73"/>
      <c r="K903" s="73"/>
      <c r="L903" s="73"/>
      <c r="M903" s="73"/>
      <c r="N903" s="73"/>
      <c r="O903" s="73"/>
      <c r="P903" s="73"/>
      <c r="Q903" s="73"/>
      <c r="R903" s="73"/>
      <c r="S903" s="73"/>
      <c r="T903" s="73"/>
      <c r="U903" s="73"/>
      <c r="V903" s="73"/>
      <c r="W903" s="73"/>
      <c r="X903" s="73"/>
      <c r="Y903" s="73"/>
      <c r="Z903" s="73"/>
      <c r="AA903" s="75"/>
      <c r="AB903" s="75"/>
      <c r="AC903" s="55"/>
      <c r="AD903" s="89"/>
      <c r="AE903" s="89"/>
      <c r="AF903" s="89"/>
      <c r="AG903" s="57"/>
      <c r="AH903" s="58"/>
      <c r="AI903" s="39"/>
      <c r="AK903" s="41"/>
    </row>
    <row r="904" spans="1:37" ht="21">
      <c r="A904" s="32" t="s">
        <v>1158</v>
      </c>
      <c r="B904" s="131" t="s">
        <v>24</v>
      </c>
      <c r="C904" s="95" t="s">
        <v>523</v>
      </c>
      <c r="D904" s="88" t="s">
        <v>81</v>
      </c>
      <c r="E904" s="73"/>
      <c r="F904" s="73"/>
      <c r="G904" s="73"/>
      <c r="H904" s="73"/>
      <c r="I904" s="73"/>
      <c r="J904" s="73"/>
      <c r="K904" s="73"/>
      <c r="L904" s="73"/>
      <c r="M904" s="73"/>
      <c r="N904" s="73"/>
      <c r="O904" s="73"/>
      <c r="P904" s="73"/>
      <c r="Q904" s="73"/>
      <c r="R904" s="73"/>
      <c r="S904" s="73"/>
      <c r="T904" s="73"/>
      <c r="U904" s="73"/>
      <c r="V904" s="73"/>
      <c r="W904" s="73"/>
      <c r="X904" s="73"/>
      <c r="Y904" s="73"/>
      <c r="Z904" s="73"/>
      <c r="AA904" s="75"/>
      <c r="AB904" s="75"/>
      <c r="AC904" s="55"/>
      <c r="AD904" s="89"/>
      <c r="AE904" s="89"/>
      <c r="AF904" s="89"/>
      <c r="AG904" s="57"/>
      <c r="AH904" s="58"/>
      <c r="AI904" s="39"/>
      <c r="AK904" s="41"/>
    </row>
    <row r="905" spans="1:37" ht="21">
      <c r="A905" s="32" t="s">
        <v>1159</v>
      </c>
      <c r="B905" s="94" t="s">
        <v>25</v>
      </c>
      <c r="C905" s="95" t="s">
        <v>549</v>
      </c>
      <c r="D905" s="88"/>
      <c r="E905" s="73"/>
      <c r="F905" s="73"/>
      <c r="G905" s="73"/>
      <c r="H905" s="73"/>
      <c r="I905" s="73"/>
      <c r="J905" s="73"/>
      <c r="K905" s="73"/>
      <c r="L905" s="73"/>
      <c r="M905" s="73"/>
      <c r="N905" s="73"/>
      <c r="O905" s="73"/>
      <c r="P905" s="73"/>
      <c r="Q905" s="73"/>
      <c r="R905" s="73"/>
      <c r="S905" s="73"/>
      <c r="T905" s="73"/>
      <c r="U905" s="73"/>
      <c r="V905" s="73"/>
      <c r="W905" s="73"/>
      <c r="X905" s="73"/>
      <c r="Y905" s="73"/>
      <c r="Z905" s="73"/>
      <c r="AA905" s="75"/>
      <c r="AB905" s="75"/>
      <c r="AC905" s="55"/>
      <c r="AD905" s="89"/>
      <c r="AE905" s="89"/>
      <c r="AF905" s="89"/>
      <c r="AG905" s="57"/>
      <c r="AH905" s="58"/>
      <c r="AI905" s="39"/>
      <c r="AK905" s="41"/>
    </row>
    <row r="906" spans="1:37" ht="21">
      <c r="A906" s="32" t="s">
        <v>1160</v>
      </c>
      <c r="B906" s="92" t="s">
        <v>525</v>
      </c>
      <c r="C906" s="93" t="s">
        <v>526</v>
      </c>
      <c r="D906" s="88" t="s">
        <v>81</v>
      </c>
      <c r="E906" s="73"/>
      <c r="F906" s="73"/>
      <c r="G906" s="73"/>
      <c r="H906" s="73"/>
      <c r="I906" s="73"/>
      <c r="J906" s="73"/>
      <c r="K906" s="73"/>
      <c r="L906" s="73"/>
      <c r="M906" s="73"/>
      <c r="N906" s="73"/>
      <c r="O906" s="73"/>
      <c r="P906" s="73"/>
      <c r="Q906" s="73"/>
      <c r="R906" s="73"/>
      <c r="S906" s="73"/>
      <c r="T906" s="73"/>
      <c r="U906" s="73"/>
      <c r="V906" s="73"/>
      <c r="W906" s="73"/>
      <c r="X906" s="73"/>
      <c r="Y906" s="73"/>
      <c r="Z906" s="73"/>
      <c r="AA906" s="75"/>
      <c r="AB906" s="75"/>
      <c r="AC906" s="55"/>
      <c r="AD906" s="89"/>
      <c r="AE906" s="89"/>
      <c r="AF906" s="89"/>
      <c r="AG906" s="57"/>
      <c r="AH906" s="58"/>
      <c r="AI906" s="39"/>
      <c r="AK906" s="41"/>
    </row>
    <row r="907" spans="1:37" ht="21">
      <c r="A907" s="32" t="s">
        <v>1161</v>
      </c>
      <c r="B907" s="94" t="s">
        <v>60</v>
      </c>
      <c r="C907" s="95" t="s">
        <v>536</v>
      </c>
      <c r="D907" s="88"/>
      <c r="E907" s="73"/>
      <c r="F907" s="73"/>
      <c r="G907" s="73"/>
      <c r="H907" s="73"/>
      <c r="I907" s="73"/>
      <c r="J907" s="73"/>
      <c r="K907" s="73"/>
      <c r="L907" s="73"/>
      <c r="M907" s="73"/>
      <c r="N907" s="73"/>
      <c r="O907" s="73"/>
      <c r="P907" s="73"/>
      <c r="Q907" s="73"/>
      <c r="R907" s="73"/>
      <c r="S907" s="73"/>
      <c r="T907" s="73"/>
      <c r="U907" s="73"/>
      <c r="V907" s="73"/>
      <c r="W907" s="73"/>
      <c r="X907" s="73"/>
      <c r="Y907" s="73"/>
      <c r="Z907" s="73"/>
      <c r="AA907" s="75"/>
      <c r="AB907" s="75"/>
      <c r="AC907" s="55"/>
      <c r="AD907" s="89"/>
      <c r="AE907" s="89"/>
      <c r="AF907" s="89"/>
      <c r="AG907" s="91"/>
      <c r="AH907" s="48"/>
      <c r="AI907" s="39"/>
      <c r="AK907" s="41"/>
    </row>
    <row r="908" spans="1:37" ht="21">
      <c r="A908" s="32" t="s">
        <v>1162</v>
      </c>
      <c r="B908" s="92" t="s">
        <v>525</v>
      </c>
      <c r="C908" s="93" t="s">
        <v>528</v>
      </c>
      <c r="D908" s="88" t="s">
        <v>81</v>
      </c>
      <c r="E908" s="73"/>
      <c r="F908" s="73"/>
      <c r="G908" s="73"/>
      <c r="H908" s="73"/>
      <c r="I908" s="73"/>
      <c r="J908" s="73"/>
      <c r="K908" s="73"/>
      <c r="L908" s="73"/>
      <c r="M908" s="73"/>
      <c r="N908" s="73"/>
      <c r="O908" s="73"/>
      <c r="P908" s="73"/>
      <c r="Q908" s="73"/>
      <c r="R908" s="73"/>
      <c r="S908" s="73"/>
      <c r="T908" s="73"/>
      <c r="U908" s="73"/>
      <c r="V908" s="73"/>
      <c r="W908" s="73"/>
      <c r="X908" s="73"/>
      <c r="Y908" s="73"/>
      <c r="Z908" s="73"/>
      <c r="AA908" s="75"/>
      <c r="AB908" s="75"/>
      <c r="AC908" s="55"/>
      <c r="AD908" s="89"/>
      <c r="AE908" s="89"/>
      <c r="AF908" s="89"/>
      <c r="AG908" s="57"/>
      <c r="AH908" s="58"/>
      <c r="AI908" s="39"/>
      <c r="AK908" s="41"/>
    </row>
    <row r="909" spans="1:37" ht="21">
      <c r="A909" s="32" t="s">
        <v>1163</v>
      </c>
      <c r="B909" s="92" t="s">
        <v>529</v>
      </c>
      <c r="C909" s="93" t="s">
        <v>550</v>
      </c>
      <c r="D909" s="88" t="s">
        <v>81</v>
      </c>
      <c r="E909" s="73"/>
      <c r="F909" s="73"/>
      <c r="G909" s="73"/>
      <c r="H909" s="73"/>
      <c r="I909" s="73"/>
      <c r="J909" s="73"/>
      <c r="K909" s="73"/>
      <c r="L909" s="73"/>
      <c r="M909" s="73"/>
      <c r="N909" s="73"/>
      <c r="O909" s="73"/>
      <c r="P909" s="73"/>
      <c r="Q909" s="73"/>
      <c r="R909" s="73"/>
      <c r="S909" s="73"/>
      <c r="T909" s="73"/>
      <c r="U909" s="73"/>
      <c r="V909" s="73"/>
      <c r="W909" s="73"/>
      <c r="X909" s="73"/>
      <c r="Y909" s="73"/>
      <c r="Z909" s="73"/>
      <c r="AA909" s="75"/>
      <c r="AB909" s="75"/>
      <c r="AC909" s="55"/>
      <c r="AD909" s="89"/>
      <c r="AE909" s="89"/>
      <c r="AF909" s="89"/>
      <c r="AG909" s="57"/>
      <c r="AH909" s="58"/>
      <c r="AI909" s="39"/>
      <c r="AK909" s="41"/>
    </row>
    <row r="910" spans="1:37" ht="21">
      <c r="A910" s="32" t="s">
        <v>1164</v>
      </c>
      <c r="B910" s="94" t="s">
        <v>62</v>
      </c>
      <c r="C910" s="95" t="s">
        <v>551</v>
      </c>
      <c r="D910" s="88"/>
      <c r="E910" s="73"/>
      <c r="F910" s="73"/>
      <c r="G910" s="73"/>
      <c r="H910" s="73"/>
      <c r="I910" s="73"/>
      <c r="J910" s="73"/>
      <c r="K910" s="73"/>
      <c r="L910" s="73"/>
      <c r="M910" s="73"/>
      <c r="N910" s="73"/>
      <c r="O910" s="73"/>
      <c r="P910" s="73"/>
      <c r="Q910" s="73"/>
      <c r="R910" s="73"/>
      <c r="S910" s="73"/>
      <c r="T910" s="73"/>
      <c r="U910" s="73"/>
      <c r="V910" s="73"/>
      <c r="W910" s="73"/>
      <c r="X910" s="73"/>
      <c r="Y910" s="73"/>
      <c r="Z910" s="73"/>
      <c r="AA910" s="75"/>
      <c r="AB910" s="75"/>
      <c r="AC910" s="55"/>
      <c r="AD910" s="89"/>
      <c r="AE910" s="89"/>
      <c r="AF910" s="89"/>
      <c r="AG910" s="91"/>
      <c r="AH910" s="48"/>
      <c r="AI910" s="39"/>
      <c r="AK910" s="41"/>
    </row>
    <row r="911" spans="1:37" ht="21">
      <c r="A911" s="32" t="s">
        <v>1165</v>
      </c>
      <c r="B911" s="92" t="s">
        <v>525</v>
      </c>
      <c r="C911" s="93" t="s">
        <v>532</v>
      </c>
      <c r="D911" s="88" t="s">
        <v>81</v>
      </c>
      <c r="E911" s="73"/>
      <c r="F911" s="73"/>
      <c r="G911" s="73"/>
      <c r="H911" s="73"/>
      <c r="I911" s="73"/>
      <c r="J911" s="73"/>
      <c r="K911" s="73"/>
      <c r="L911" s="73"/>
      <c r="M911" s="73"/>
      <c r="N911" s="73"/>
      <c r="O911" s="73"/>
      <c r="P911" s="73"/>
      <c r="Q911" s="73"/>
      <c r="R911" s="73"/>
      <c r="S911" s="73"/>
      <c r="T911" s="73"/>
      <c r="U911" s="73"/>
      <c r="V911" s="73"/>
      <c r="W911" s="73"/>
      <c r="X911" s="73"/>
      <c r="Y911" s="73"/>
      <c r="Z911" s="73"/>
      <c r="AA911" s="75"/>
      <c r="AB911" s="75"/>
      <c r="AC911" s="55"/>
      <c r="AD911" s="89"/>
      <c r="AE911" s="89"/>
      <c r="AF911" s="89"/>
      <c r="AG911" s="57"/>
      <c r="AH911" s="58"/>
      <c r="AI911" s="39"/>
      <c r="AK911" s="41"/>
    </row>
    <row r="912" spans="1:37" ht="21">
      <c r="A912" s="32" t="s">
        <v>1166</v>
      </c>
      <c r="B912" s="92" t="s">
        <v>529</v>
      </c>
      <c r="C912" s="93" t="s">
        <v>552</v>
      </c>
      <c r="D912" s="88" t="s">
        <v>81</v>
      </c>
      <c r="E912" s="73"/>
      <c r="F912" s="73"/>
      <c r="G912" s="73"/>
      <c r="H912" s="73"/>
      <c r="I912" s="73"/>
      <c r="J912" s="73"/>
      <c r="K912" s="73"/>
      <c r="L912" s="73"/>
      <c r="M912" s="73"/>
      <c r="N912" s="73"/>
      <c r="O912" s="73"/>
      <c r="P912" s="73"/>
      <c r="Q912" s="73"/>
      <c r="R912" s="73"/>
      <c r="S912" s="73"/>
      <c r="T912" s="73"/>
      <c r="U912" s="73"/>
      <c r="V912" s="73"/>
      <c r="W912" s="73"/>
      <c r="X912" s="73"/>
      <c r="Y912" s="73"/>
      <c r="Z912" s="73"/>
      <c r="AA912" s="75"/>
      <c r="AB912" s="75"/>
      <c r="AC912" s="55"/>
      <c r="AD912" s="89"/>
      <c r="AE912" s="89"/>
      <c r="AF912" s="89"/>
      <c r="AG912" s="57"/>
      <c r="AH912" s="58"/>
      <c r="AI912" s="39"/>
      <c r="AK912" s="41"/>
    </row>
    <row r="913" spans="1:37" ht="21">
      <c r="A913" s="32" t="s">
        <v>1167</v>
      </c>
      <c r="B913" s="94" t="s">
        <v>15</v>
      </c>
      <c r="C913" s="95" t="s">
        <v>553</v>
      </c>
      <c r="D913" s="88"/>
      <c r="E913" s="73"/>
      <c r="F913" s="73"/>
      <c r="G913" s="73"/>
      <c r="H913" s="73"/>
      <c r="I913" s="73"/>
      <c r="J913" s="73"/>
      <c r="K913" s="73"/>
      <c r="L913" s="73"/>
      <c r="M913" s="73"/>
      <c r="N913" s="73"/>
      <c r="O913" s="73"/>
      <c r="P913" s="73"/>
      <c r="Q913" s="73"/>
      <c r="R913" s="73"/>
      <c r="S913" s="73"/>
      <c r="T913" s="73"/>
      <c r="U913" s="73"/>
      <c r="V913" s="73"/>
      <c r="W913" s="73"/>
      <c r="X913" s="73"/>
      <c r="Y913" s="73"/>
      <c r="Z913" s="73"/>
      <c r="AA913" s="75"/>
      <c r="AB913" s="75"/>
      <c r="AC913" s="55"/>
      <c r="AD913" s="89"/>
      <c r="AE913" s="89"/>
      <c r="AF913" s="89"/>
      <c r="AG913" s="91"/>
      <c r="AH913" s="48"/>
      <c r="AI913" s="39"/>
      <c r="AK913" s="41"/>
    </row>
    <row r="914" spans="1:37" ht="21">
      <c r="A914" s="32" t="s">
        <v>1168</v>
      </c>
      <c r="B914" s="131" t="s">
        <v>499</v>
      </c>
      <c r="C914" s="95" t="s">
        <v>522</v>
      </c>
      <c r="D914" s="88" t="s">
        <v>81</v>
      </c>
      <c r="E914" s="73"/>
      <c r="F914" s="73"/>
      <c r="G914" s="73"/>
      <c r="H914" s="73"/>
      <c r="I914" s="73"/>
      <c r="J914" s="73"/>
      <c r="K914" s="73"/>
      <c r="L914" s="73"/>
      <c r="M914" s="73"/>
      <c r="N914" s="73"/>
      <c r="O914" s="73"/>
      <c r="P914" s="73"/>
      <c r="Q914" s="73"/>
      <c r="R914" s="73"/>
      <c r="S914" s="73"/>
      <c r="T914" s="73"/>
      <c r="U914" s="73"/>
      <c r="V914" s="73"/>
      <c r="W914" s="73"/>
      <c r="X914" s="73"/>
      <c r="Y914" s="73"/>
      <c r="Z914" s="73"/>
      <c r="AA914" s="75"/>
      <c r="AB914" s="75"/>
      <c r="AC914" s="55"/>
      <c r="AD914" s="89"/>
      <c r="AE914" s="89"/>
      <c r="AF914" s="89"/>
      <c r="AG914" s="57"/>
      <c r="AH914" s="58"/>
      <c r="AI914" s="39"/>
      <c r="AK914" s="41"/>
    </row>
    <row r="915" spans="1:37" ht="21">
      <c r="A915" s="32" t="s">
        <v>1169</v>
      </c>
      <c r="B915" s="131" t="s">
        <v>24</v>
      </c>
      <c r="C915" s="95" t="s">
        <v>554</v>
      </c>
      <c r="D915" s="88" t="s">
        <v>81</v>
      </c>
      <c r="E915" s="73"/>
      <c r="F915" s="73"/>
      <c r="G915" s="73"/>
      <c r="H915" s="73"/>
      <c r="I915" s="73"/>
      <c r="J915" s="73"/>
      <c r="K915" s="73"/>
      <c r="L915" s="73"/>
      <c r="M915" s="73"/>
      <c r="N915" s="73"/>
      <c r="O915" s="73"/>
      <c r="P915" s="73"/>
      <c r="Q915" s="73"/>
      <c r="R915" s="73"/>
      <c r="S915" s="73"/>
      <c r="T915" s="73"/>
      <c r="U915" s="73"/>
      <c r="V915" s="73"/>
      <c r="W915" s="73"/>
      <c r="X915" s="73"/>
      <c r="Y915" s="73"/>
      <c r="Z915" s="73"/>
      <c r="AA915" s="75"/>
      <c r="AB915" s="75"/>
      <c r="AC915" s="55"/>
      <c r="AD915" s="89"/>
      <c r="AE915" s="89"/>
      <c r="AF915" s="89"/>
      <c r="AG915" s="57"/>
      <c r="AH915" s="58"/>
      <c r="AI915" s="39"/>
      <c r="AK915" s="41"/>
    </row>
    <row r="916" spans="1:37" ht="21">
      <c r="A916" s="32" t="s">
        <v>1170</v>
      </c>
      <c r="B916" s="94" t="s">
        <v>25</v>
      </c>
      <c r="C916" s="95" t="s">
        <v>534</v>
      </c>
      <c r="D916" s="88"/>
      <c r="E916" s="73"/>
      <c r="F916" s="73"/>
      <c r="G916" s="73"/>
      <c r="H916" s="73"/>
      <c r="I916" s="73"/>
      <c r="J916" s="73"/>
      <c r="K916" s="73"/>
      <c r="L916" s="73"/>
      <c r="M916" s="73"/>
      <c r="N916" s="73"/>
      <c r="O916" s="73"/>
      <c r="P916" s="73"/>
      <c r="Q916" s="73"/>
      <c r="R916" s="73"/>
      <c r="S916" s="73"/>
      <c r="T916" s="73"/>
      <c r="U916" s="73"/>
      <c r="V916" s="73"/>
      <c r="W916" s="73"/>
      <c r="X916" s="73"/>
      <c r="Y916" s="73"/>
      <c r="Z916" s="73"/>
      <c r="AA916" s="75"/>
      <c r="AB916" s="75"/>
      <c r="AC916" s="55"/>
      <c r="AD916" s="89"/>
      <c r="AE916" s="89"/>
      <c r="AF916" s="89"/>
      <c r="AG916" s="91"/>
      <c r="AH916" s="48"/>
      <c r="AI916" s="39"/>
      <c r="AK916" s="41"/>
    </row>
    <row r="917" spans="1:37" ht="21">
      <c r="A917" s="32" t="s">
        <v>1171</v>
      </c>
      <c r="B917" s="92" t="s">
        <v>525</v>
      </c>
      <c r="C917" s="93" t="s">
        <v>526</v>
      </c>
      <c r="D917" s="88" t="s">
        <v>81</v>
      </c>
      <c r="E917" s="73"/>
      <c r="F917" s="73"/>
      <c r="G917" s="73"/>
      <c r="H917" s="73"/>
      <c r="I917" s="73"/>
      <c r="J917" s="73"/>
      <c r="K917" s="73"/>
      <c r="L917" s="73"/>
      <c r="M917" s="73"/>
      <c r="N917" s="73"/>
      <c r="O917" s="73"/>
      <c r="P917" s="73"/>
      <c r="Q917" s="73"/>
      <c r="R917" s="73"/>
      <c r="S917" s="73"/>
      <c r="T917" s="73"/>
      <c r="U917" s="73"/>
      <c r="V917" s="73"/>
      <c r="W917" s="73"/>
      <c r="X917" s="73"/>
      <c r="Y917" s="73"/>
      <c r="Z917" s="73"/>
      <c r="AA917" s="75"/>
      <c r="AB917" s="75"/>
      <c r="AC917" s="55"/>
      <c r="AD917" s="89"/>
      <c r="AE917" s="89"/>
      <c r="AF917" s="89"/>
      <c r="AG917" s="57"/>
      <c r="AH917" s="58"/>
      <c r="AI917" s="39"/>
      <c r="AK917" s="41"/>
    </row>
    <row r="918" spans="1:37" ht="21">
      <c r="A918" s="32" t="s">
        <v>1172</v>
      </c>
      <c r="B918" s="92" t="s">
        <v>529</v>
      </c>
      <c r="C918" s="93" t="s">
        <v>535</v>
      </c>
      <c r="D918" s="88" t="s">
        <v>81</v>
      </c>
      <c r="E918" s="73"/>
      <c r="F918" s="73"/>
      <c r="G918" s="73"/>
      <c r="H918" s="73"/>
      <c r="I918" s="73"/>
      <c r="J918" s="73"/>
      <c r="K918" s="73"/>
      <c r="L918" s="73"/>
      <c r="M918" s="73"/>
      <c r="N918" s="73"/>
      <c r="O918" s="73"/>
      <c r="P918" s="73"/>
      <c r="Q918" s="73"/>
      <c r="R918" s="73"/>
      <c r="S918" s="73"/>
      <c r="T918" s="73"/>
      <c r="U918" s="73"/>
      <c r="V918" s="73"/>
      <c r="W918" s="73"/>
      <c r="X918" s="73"/>
      <c r="Y918" s="73"/>
      <c r="Z918" s="73"/>
      <c r="AA918" s="75"/>
      <c r="AB918" s="75"/>
      <c r="AC918" s="55"/>
      <c r="AD918" s="89"/>
      <c r="AE918" s="89"/>
      <c r="AF918" s="89"/>
      <c r="AG918" s="57"/>
      <c r="AH918" s="58"/>
      <c r="AI918" s="39"/>
      <c r="AK918" s="41"/>
    </row>
    <row r="919" spans="1:37" ht="21">
      <c r="A919" s="32" t="s">
        <v>1173</v>
      </c>
      <c r="B919" s="94" t="s">
        <v>60</v>
      </c>
      <c r="C919" s="95" t="s">
        <v>536</v>
      </c>
      <c r="D919" s="88"/>
      <c r="E919" s="73"/>
      <c r="F919" s="73"/>
      <c r="G919" s="73"/>
      <c r="H919" s="73"/>
      <c r="I919" s="73"/>
      <c r="J919" s="73"/>
      <c r="K919" s="73"/>
      <c r="L919" s="73"/>
      <c r="M919" s="73"/>
      <c r="N919" s="73"/>
      <c r="O919" s="73"/>
      <c r="P919" s="73"/>
      <c r="Q919" s="73"/>
      <c r="R919" s="73"/>
      <c r="S919" s="73"/>
      <c r="T919" s="73"/>
      <c r="U919" s="73"/>
      <c r="V919" s="73"/>
      <c r="W919" s="73"/>
      <c r="X919" s="73"/>
      <c r="Y919" s="73"/>
      <c r="Z919" s="73"/>
      <c r="AA919" s="75"/>
      <c r="AB919" s="75"/>
      <c r="AC919" s="55"/>
      <c r="AD919" s="89"/>
      <c r="AE919" s="89"/>
      <c r="AF919" s="89"/>
      <c r="AG919" s="91"/>
      <c r="AH919" s="48"/>
      <c r="AI919" s="39"/>
      <c r="AK919" s="41"/>
    </row>
    <row r="920" spans="1:37" ht="21">
      <c r="A920" s="32" t="s">
        <v>1174</v>
      </c>
      <c r="B920" s="92" t="s">
        <v>525</v>
      </c>
      <c r="C920" s="93" t="s">
        <v>528</v>
      </c>
      <c r="D920" s="88" t="s">
        <v>81</v>
      </c>
      <c r="E920" s="73"/>
      <c r="F920" s="73"/>
      <c r="G920" s="73"/>
      <c r="H920" s="73"/>
      <c r="I920" s="73"/>
      <c r="J920" s="73"/>
      <c r="K920" s="73"/>
      <c r="L920" s="73"/>
      <c r="M920" s="73"/>
      <c r="N920" s="73"/>
      <c r="O920" s="73"/>
      <c r="P920" s="73"/>
      <c r="Q920" s="73"/>
      <c r="R920" s="73"/>
      <c r="S920" s="73"/>
      <c r="T920" s="73"/>
      <c r="U920" s="73"/>
      <c r="V920" s="73"/>
      <c r="W920" s="73"/>
      <c r="X920" s="73"/>
      <c r="Y920" s="73"/>
      <c r="Z920" s="73"/>
      <c r="AA920" s="75"/>
      <c r="AB920" s="75"/>
      <c r="AC920" s="55"/>
      <c r="AD920" s="89"/>
      <c r="AE920" s="89"/>
      <c r="AF920" s="89"/>
      <c r="AG920" s="57"/>
      <c r="AH920" s="58"/>
      <c r="AI920" s="39"/>
      <c r="AK920" s="41"/>
    </row>
    <row r="921" spans="1:37" ht="21">
      <c r="A921" s="32" t="s">
        <v>1175</v>
      </c>
      <c r="B921" s="92" t="s">
        <v>529</v>
      </c>
      <c r="C921" s="93" t="s">
        <v>555</v>
      </c>
      <c r="D921" s="88" t="s">
        <v>81</v>
      </c>
      <c r="E921" s="73"/>
      <c r="F921" s="73"/>
      <c r="G921" s="73"/>
      <c r="H921" s="73"/>
      <c r="I921" s="73"/>
      <c r="J921" s="73"/>
      <c r="K921" s="73"/>
      <c r="L921" s="73"/>
      <c r="M921" s="73"/>
      <c r="N921" s="73"/>
      <c r="O921" s="73"/>
      <c r="P921" s="73"/>
      <c r="Q921" s="73"/>
      <c r="R921" s="73"/>
      <c r="S921" s="73"/>
      <c r="T921" s="73"/>
      <c r="U921" s="73"/>
      <c r="V921" s="73"/>
      <c r="W921" s="73"/>
      <c r="X921" s="73"/>
      <c r="Y921" s="73"/>
      <c r="Z921" s="73"/>
      <c r="AA921" s="75"/>
      <c r="AB921" s="75"/>
      <c r="AC921" s="55"/>
      <c r="AD921" s="89"/>
      <c r="AE921" s="89"/>
      <c r="AF921" s="89"/>
      <c r="AG921" s="57"/>
      <c r="AH921" s="58"/>
      <c r="AI921" s="39"/>
      <c r="AK921" s="41"/>
    </row>
    <row r="922" spans="1:37" ht="21">
      <c r="A922" s="32" t="s">
        <v>1176</v>
      </c>
      <c r="B922" s="92" t="s">
        <v>538</v>
      </c>
      <c r="C922" s="93" t="s">
        <v>539</v>
      </c>
      <c r="D922" s="88" t="s">
        <v>81</v>
      </c>
      <c r="E922" s="73"/>
      <c r="F922" s="73"/>
      <c r="G922" s="73"/>
      <c r="H922" s="73"/>
      <c r="I922" s="73"/>
      <c r="J922" s="73"/>
      <c r="K922" s="73"/>
      <c r="L922" s="73"/>
      <c r="M922" s="73"/>
      <c r="N922" s="73"/>
      <c r="O922" s="73"/>
      <c r="P922" s="73"/>
      <c r="Q922" s="73"/>
      <c r="R922" s="73"/>
      <c r="S922" s="73"/>
      <c r="T922" s="73"/>
      <c r="U922" s="73"/>
      <c r="V922" s="73"/>
      <c r="W922" s="73"/>
      <c r="X922" s="73"/>
      <c r="Y922" s="73"/>
      <c r="Z922" s="73"/>
      <c r="AA922" s="75"/>
      <c r="AB922" s="75"/>
      <c r="AC922" s="55"/>
      <c r="AD922" s="89"/>
      <c r="AE922" s="89"/>
      <c r="AF922" s="89"/>
      <c r="AG922" s="57"/>
      <c r="AH922" s="58"/>
      <c r="AI922" s="39"/>
      <c r="AK922" s="41"/>
    </row>
    <row r="923" spans="1:37" ht="21">
      <c r="A923" s="32" t="s">
        <v>1177</v>
      </c>
      <c r="B923" s="94" t="s">
        <v>62</v>
      </c>
      <c r="C923" s="95" t="s">
        <v>531</v>
      </c>
      <c r="D923" s="88"/>
      <c r="E923" s="73"/>
      <c r="F923" s="73"/>
      <c r="G923" s="73"/>
      <c r="H923" s="73"/>
      <c r="I923" s="73"/>
      <c r="J923" s="73"/>
      <c r="K923" s="73"/>
      <c r="L923" s="73"/>
      <c r="M923" s="73"/>
      <c r="N923" s="73"/>
      <c r="O923" s="73"/>
      <c r="P923" s="73"/>
      <c r="Q923" s="73"/>
      <c r="R923" s="73"/>
      <c r="S923" s="73"/>
      <c r="T923" s="73"/>
      <c r="U923" s="73"/>
      <c r="V923" s="73"/>
      <c r="W923" s="73"/>
      <c r="X923" s="73"/>
      <c r="Y923" s="73"/>
      <c r="Z923" s="73"/>
      <c r="AA923" s="75"/>
      <c r="AB923" s="75"/>
      <c r="AC923" s="55"/>
      <c r="AD923" s="89"/>
      <c r="AE923" s="89"/>
      <c r="AF923" s="89"/>
      <c r="AG923" s="91"/>
      <c r="AH923" s="48"/>
      <c r="AI923" s="39"/>
      <c r="AK923" s="41"/>
    </row>
    <row r="924" spans="1:37" ht="21">
      <c r="A924" s="32" t="s">
        <v>1178</v>
      </c>
      <c r="B924" s="92" t="s">
        <v>525</v>
      </c>
      <c r="C924" s="93" t="s">
        <v>532</v>
      </c>
      <c r="D924" s="88" t="s">
        <v>81</v>
      </c>
      <c r="E924" s="73"/>
      <c r="F924" s="73"/>
      <c r="G924" s="73"/>
      <c r="H924" s="73"/>
      <c r="I924" s="73"/>
      <c r="J924" s="73"/>
      <c r="K924" s="73"/>
      <c r="L924" s="73"/>
      <c r="M924" s="73"/>
      <c r="N924" s="73"/>
      <c r="O924" s="73"/>
      <c r="P924" s="73"/>
      <c r="Q924" s="73"/>
      <c r="R924" s="73"/>
      <c r="S924" s="73"/>
      <c r="T924" s="73"/>
      <c r="U924" s="73"/>
      <c r="V924" s="73"/>
      <c r="W924" s="73"/>
      <c r="X924" s="73"/>
      <c r="Y924" s="73"/>
      <c r="Z924" s="73"/>
      <c r="AA924" s="75"/>
      <c r="AB924" s="75"/>
      <c r="AC924" s="55"/>
      <c r="AD924" s="89"/>
      <c r="AE924" s="89"/>
      <c r="AF924" s="89"/>
      <c r="AG924" s="57"/>
      <c r="AH924" s="58"/>
      <c r="AI924" s="39"/>
      <c r="AK924" s="41"/>
    </row>
    <row r="925" spans="1:37" ht="21">
      <c r="A925" s="32" t="s">
        <v>1179</v>
      </c>
      <c r="B925" s="92" t="s">
        <v>529</v>
      </c>
      <c r="C925" s="93" t="s">
        <v>540</v>
      </c>
      <c r="D925" s="88" t="s">
        <v>81</v>
      </c>
      <c r="E925" s="73"/>
      <c r="F925" s="73"/>
      <c r="G925" s="73"/>
      <c r="H925" s="73"/>
      <c r="I925" s="73"/>
      <c r="J925" s="73"/>
      <c r="K925" s="73"/>
      <c r="L925" s="73"/>
      <c r="M925" s="73"/>
      <c r="N925" s="73"/>
      <c r="O925" s="73"/>
      <c r="P925" s="73"/>
      <c r="Q925" s="73"/>
      <c r="R925" s="73"/>
      <c r="S925" s="73"/>
      <c r="T925" s="73"/>
      <c r="U925" s="73"/>
      <c r="V925" s="73"/>
      <c r="W925" s="73"/>
      <c r="X925" s="73"/>
      <c r="Y925" s="73"/>
      <c r="Z925" s="73"/>
      <c r="AA925" s="75"/>
      <c r="AB925" s="75"/>
      <c r="AC925" s="55"/>
      <c r="AD925" s="89"/>
      <c r="AE925" s="89"/>
      <c r="AF925" s="89"/>
      <c r="AG925" s="57"/>
      <c r="AH925" s="58"/>
      <c r="AI925" s="39"/>
      <c r="AK925" s="41"/>
    </row>
    <row r="926" spans="1:37" ht="21">
      <c r="A926" s="32" t="s">
        <v>1180</v>
      </c>
      <c r="B926" s="92" t="s">
        <v>538</v>
      </c>
      <c r="C926" s="93" t="s">
        <v>541</v>
      </c>
      <c r="D926" s="88"/>
      <c r="E926" s="73"/>
      <c r="F926" s="73"/>
      <c r="G926" s="73"/>
      <c r="H926" s="73"/>
      <c r="I926" s="73"/>
      <c r="J926" s="73"/>
      <c r="K926" s="73"/>
      <c r="L926" s="73"/>
      <c r="M926" s="73"/>
      <c r="N926" s="73"/>
      <c r="O926" s="73"/>
      <c r="P926" s="73"/>
      <c r="Q926" s="73"/>
      <c r="R926" s="73"/>
      <c r="S926" s="73"/>
      <c r="T926" s="73"/>
      <c r="U926" s="73"/>
      <c r="V926" s="73"/>
      <c r="W926" s="73"/>
      <c r="X926" s="73"/>
      <c r="Y926" s="73"/>
      <c r="Z926" s="73"/>
      <c r="AA926" s="75"/>
      <c r="AB926" s="75"/>
      <c r="AC926" s="55"/>
      <c r="AD926" s="89"/>
      <c r="AE926" s="89"/>
      <c r="AF926" s="89"/>
      <c r="AG926" s="57"/>
      <c r="AH926" s="58"/>
      <c r="AI926" s="39"/>
      <c r="AK926" s="41"/>
    </row>
    <row r="927" spans="1:37" ht="21">
      <c r="A927" s="32" t="s">
        <v>1181</v>
      </c>
      <c r="B927" s="94" t="s">
        <v>40</v>
      </c>
      <c r="C927" s="95" t="s">
        <v>556</v>
      </c>
      <c r="D927" s="88"/>
      <c r="E927" s="73"/>
      <c r="F927" s="73"/>
      <c r="G927" s="73"/>
      <c r="H927" s="73"/>
      <c r="I927" s="73"/>
      <c r="J927" s="73"/>
      <c r="K927" s="73"/>
      <c r="L927" s="73"/>
      <c r="M927" s="73"/>
      <c r="N927" s="73"/>
      <c r="O927" s="73"/>
      <c r="P927" s="73"/>
      <c r="Q927" s="73"/>
      <c r="R927" s="73"/>
      <c r="S927" s="73"/>
      <c r="T927" s="73"/>
      <c r="U927" s="73"/>
      <c r="V927" s="73"/>
      <c r="W927" s="73"/>
      <c r="X927" s="73"/>
      <c r="Y927" s="73"/>
      <c r="Z927" s="73"/>
      <c r="AA927" s="75"/>
      <c r="AB927" s="75"/>
      <c r="AC927" s="55"/>
      <c r="AD927" s="89"/>
      <c r="AE927" s="89"/>
      <c r="AF927" s="89"/>
      <c r="AG927" s="91"/>
      <c r="AH927" s="48"/>
      <c r="AI927" s="39"/>
      <c r="AK927" s="41"/>
    </row>
    <row r="928" spans="1:37" ht="21">
      <c r="A928" s="32" t="s">
        <v>1182</v>
      </c>
      <c r="B928" s="131" t="s">
        <v>104</v>
      </c>
      <c r="C928" s="95" t="s">
        <v>557</v>
      </c>
      <c r="D928" s="88" t="s">
        <v>81</v>
      </c>
      <c r="E928" s="73"/>
      <c r="F928" s="73"/>
      <c r="G928" s="73"/>
      <c r="H928" s="73"/>
      <c r="I928" s="73"/>
      <c r="J928" s="73"/>
      <c r="K928" s="73"/>
      <c r="L928" s="73"/>
      <c r="M928" s="73"/>
      <c r="N928" s="73"/>
      <c r="O928" s="73"/>
      <c r="P928" s="73"/>
      <c r="Q928" s="73"/>
      <c r="R928" s="73"/>
      <c r="S928" s="73"/>
      <c r="T928" s="73"/>
      <c r="U928" s="73"/>
      <c r="V928" s="73"/>
      <c r="W928" s="73"/>
      <c r="X928" s="73"/>
      <c r="Y928" s="73"/>
      <c r="Z928" s="73"/>
      <c r="AA928" s="75"/>
      <c r="AB928" s="75"/>
      <c r="AC928" s="55"/>
      <c r="AD928" s="89"/>
      <c r="AE928" s="89"/>
      <c r="AF928" s="89"/>
      <c r="AG928" s="57"/>
      <c r="AH928" s="58"/>
      <c r="AI928" s="39"/>
      <c r="AK928" s="41"/>
    </row>
    <row r="929" spans="1:37" ht="21">
      <c r="A929" s="32" t="s">
        <v>1183</v>
      </c>
      <c r="B929" s="94" t="s">
        <v>48</v>
      </c>
      <c r="C929" s="95" t="s">
        <v>558</v>
      </c>
      <c r="D929" s="134"/>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6"/>
      <c r="AB929" s="136"/>
      <c r="AC929" s="55"/>
      <c r="AD929" s="89"/>
      <c r="AE929" s="89"/>
      <c r="AF929" s="89"/>
      <c r="AG929" s="91"/>
      <c r="AH929" s="48"/>
      <c r="AI929" s="39"/>
      <c r="AK929" s="41"/>
    </row>
    <row r="930" spans="1:37" ht="21">
      <c r="A930" s="32" t="s">
        <v>1184</v>
      </c>
      <c r="B930" s="131" t="s">
        <v>104</v>
      </c>
      <c r="C930" s="95" t="s">
        <v>559</v>
      </c>
      <c r="D930" s="88" t="s">
        <v>81</v>
      </c>
      <c r="E930" s="73"/>
      <c r="F930" s="73"/>
      <c r="G930" s="73"/>
      <c r="H930" s="73"/>
      <c r="I930" s="73"/>
      <c r="J930" s="73"/>
      <c r="K930" s="73"/>
      <c r="L930" s="73"/>
      <c r="M930" s="73"/>
      <c r="N930" s="73"/>
      <c r="O930" s="73"/>
      <c r="P930" s="73"/>
      <c r="Q930" s="73"/>
      <c r="R930" s="73"/>
      <c r="S930" s="73"/>
      <c r="T930" s="73"/>
      <c r="U930" s="73"/>
      <c r="V930" s="73"/>
      <c r="W930" s="73"/>
      <c r="X930" s="73"/>
      <c r="Y930" s="73"/>
      <c r="Z930" s="73"/>
      <c r="AA930" s="75"/>
      <c r="AB930" s="75"/>
      <c r="AC930" s="55"/>
      <c r="AD930" s="89"/>
      <c r="AE930" s="89"/>
      <c r="AF930" s="89"/>
      <c r="AG930" s="57"/>
      <c r="AH930" s="58"/>
      <c r="AI930" s="39"/>
      <c r="AK930" s="41"/>
    </row>
    <row r="931" spans="1:37" ht="21">
      <c r="A931" s="32" t="s">
        <v>1185</v>
      </c>
      <c r="B931" s="94" t="s">
        <v>55</v>
      </c>
      <c r="C931" s="95" t="s">
        <v>560</v>
      </c>
      <c r="D931" s="88"/>
      <c r="E931" s="73"/>
      <c r="F931" s="73"/>
      <c r="G931" s="73"/>
      <c r="H931" s="73"/>
      <c r="I931" s="73"/>
      <c r="J931" s="73"/>
      <c r="K931" s="73"/>
      <c r="L931" s="73"/>
      <c r="M931" s="73"/>
      <c r="N931" s="73"/>
      <c r="O931" s="73"/>
      <c r="P931" s="73"/>
      <c r="Q931" s="73"/>
      <c r="R931" s="73"/>
      <c r="S931" s="73"/>
      <c r="T931" s="73"/>
      <c r="U931" s="73"/>
      <c r="V931" s="73"/>
      <c r="W931" s="73"/>
      <c r="X931" s="73"/>
      <c r="Y931" s="73"/>
      <c r="Z931" s="73"/>
      <c r="AA931" s="75"/>
      <c r="AB931" s="75"/>
      <c r="AC931" s="55"/>
      <c r="AD931" s="89"/>
      <c r="AE931" s="89"/>
      <c r="AF931" s="89"/>
      <c r="AG931" s="91"/>
      <c r="AH931" s="48"/>
      <c r="AI931" s="39"/>
      <c r="AK931" s="41"/>
    </row>
    <row r="932" spans="1:37" ht="21">
      <c r="A932" s="32" t="s">
        <v>1186</v>
      </c>
      <c r="B932" s="131" t="s">
        <v>104</v>
      </c>
      <c r="C932" s="95" t="s">
        <v>561</v>
      </c>
      <c r="D932" s="88" t="s">
        <v>81</v>
      </c>
      <c r="E932" s="73"/>
      <c r="F932" s="73"/>
      <c r="G932" s="73"/>
      <c r="H932" s="73"/>
      <c r="I932" s="73"/>
      <c r="J932" s="73"/>
      <c r="K932" s="73"/>
      <c r="L932" s="73"/>
      <c r="M932" s="73"/>
      <c r="N932" s="73"/>
      <c r="O932" s="73"/>
      <c r="P932" s="73"/>
      <c r="Q932" s="73"/>
      <c r="R932" s="73"/>
      <c r="S932" s="73"/>
      <c r="T932" s="73"/>
      <c r="U932" s="73"/>
      <c r="V932" s="73"/>
      <c r="W932" s="73"/>
      <c r="X932" s="73"/>
      <c r="Y932" s="73"/>
      <c r="Z932" s="73"/>
      <c r="AA932" s="75"/>
      <c r="AB932" s="75"/>
      <c r="AC932" s="55"/>
      <c r="AD932" s="89"/>
      <c r="AE932" s="89"/>
      <c r="AF932" s="89"/>
      <c r="AG932" s="57"/>
      <c r="AH932" s="58"/>
      <c r="AI932" s="39"/>
      <c r="AK932" s="41"/>
    </row>
    <row r="933" spans="1:37" ht="40.5">
      <c r="A933" s="32" t="s">
        <v>562</v>
      </c>
      <c r="B933" s="86" t="s">
        <v>562</v>
      </c>
      <c r="C933" s="87" t="s">
        <v>2590</v>
      </c>
      <c r="D933" s="88"/>
      <c r="E933" s="73"/>
      <c r="F933" s="73"/>
      <c r="G933" s="73"/>
      <c r="H933" s="73"/>
      <c r="I933" s="73"/>
      <c r="J933" s="73"/>
      <c r="K933" s="73"/>
      <c r="L933" s="73"/>
      <c r="M933" s="73"/>
      <c r="N933" s="73"/>
      <c r="O933" s="73"/>
      <c r="P933" s="73"/>
      <c r="Q933" s="73"/>
      <c r="R933" s="73"/>
      <c r="S933" s="73"/>
      <c r="T933" s="73"/>
      <c r="U933" s="73"/>
      <c r="V933" s="73"/>
      <c r="W933" s="73"/>
      <c r="X933" s="73"/>
      <c r="Y933" s="73"/>
      <c r="Z933" s="73"/>
      <c r="AA933" s="75"/>
      <c r="AB933" s="75"/>
      <c r="AC933" s="55"/>
      <c r="AD933" s="89"/>
      <c r="AE933" s="89"/>
      <c r="AF933" s="89"/>
      <c r="AG933" s="91"/>
      <c r="AH933" s="48"/>
      <c r="AI933" s="39"/>
      <c r="AK933" s="41"/>
    </row>
    <row r="934" spans="1:37" ht="21">
      <c r="A934" s="32" t="s">
        <v>1187</v>
      </c>
      <c r="B934" s="94" t="s">
        <v>14</v>
      </c>
      <c r="C934" s="95" t="s">
        <v>521</v>
      </c>
      <c r="D934" s="88"/>
      <c r="E934" s="73"/>
      <c r="F934" s="73"/>
      <c r="G934" s="73"/>
      <c r="H934" s="73"/>
      <c r="I934" s="73"/>
      <c r="J934" s="73"/>
      <c r="K934" s="73"/>
      <c r="L934" s="73"/>
      <c r="M934" s="73"/>
      <c r="N934" s="73"/>
      <c r="O934" s="73"/>
      <c r="P934" s="73"/>
      <c r="Q934" s="73"/>
      <c r="R934" s="73"/>
      <c r="S934" s="73"/>
      <c r="T934" s="73"/>
      <c r="U934" s="73"/>
      <c r="V934" s="73"/>
      <c r="W934" s="73"/>
      <c r="X934" s="73"/>
      <c r="Y934" s="73"/>
      <c r="Z934" s="73"/>
      <c r="AA934" s="75"/>
      <c r="AB934" s="75"/>
      <c r="AC934" s="55"/>
      <c r="AD934" s="89"/>
      <c r="AE934" s="89"/>
      <c r="AF934" s="89"/>
      <c r="AG934" s="91"/>
      <c r="AH934" s="48"/>
      <c r="AI934" s="39"/>
      <c r="AK934" s="41"/>
    </row>
    <row r="935" spans="1:37" ht="21">
      <c r="A935" s="32" t="s">
        <v>1188</v>
      </c>
      <c r="B935" s="131" t="s">
        <v>104</v>
      </c>
      <c r="C935" s="95" t="s">
        <v>522</v>
      </c>
      <c r="D935" s="88" t="s">
        <v>81</v>
      </c>
      <c r="E935" s="73"/>
      <c r="F935" s="73"/>
      <c r="G935" s="73"/>
      <c r="H935" s="73"/>
      <c r="I935" s="73"/>
      <c r="J935" s="73"/>
      <c r="K935" s="73"/>
      <c r="L935" s="73"/>
      <c r="M935" s="73"/>
      <c r="N935" s="73"/>
      <c r="O935" s="73"/>
      <c r="P935" s="73"/>
      <c r="Q935" s="73"/>
      <c r="R935" s="73"/>
      <c r="S935" s="73"/>
      <c r="T935" s="73"/>
      <c r="U935" s="73"/>
      <c r="V935" s="73"/>
      <c r="W935" s="73"/>
      <c r="X935" s="73"/>
      <c r="Y935" s="73"/>
      <c r="Z935" s="73"/>
      <c r="AA935" s="75"/>
      <c r="AB935" s="75"/>
      <c r="AC935" s="55"/>
      <c r="AD935" s="89"/>
      <c r="AE935" s="89"/>
      <c r="AF935" s="89"/>
      <c r="AG935" s="57"/>
      <c r="AH935" s="58"/>
      <c r="AI935" s="39"/>
      <c r="AK935" s="41"/>
    </row>
    <row r="936" spans="1:37" ht="21">
      <c r="A936" s="32" t="s">
        <v>1189</v>
      </c>
      <c r="B936" s="131" t="s">
        <v>24</v>
      </c>
      <c r="C936" s="95" t="s">
        <v>523</v>
      </c>
      <c r="D936" s="88" t="s">
        <v>81</v>
      </c>
      <c r="E936" s="73"/>
      <c r="F936" s="73"/>
      <c r="G936" s="73"/>
      <c r="H936" s="73"/>
      <c r="I936" s="73"/>
      <c r="J936" s="73"/>
      <c r="K936" s="73"/>
      <c r="L936" s="73"/>
      <c r="M936" s="73"/>
      <c r="N936" s="73"/>
      <c r="O936" s="73"/>
      <c r="P936" s="73"/>
      <c r="Q936" s="73"/>
      <c r="R936" s="73"/>
      <c r="S936" s="73"/>
      <c r="T936" s="73"/>
      <c r="U936" s="73"/>
      <c r="V936" s="73"/>
      <c r="W936" s="73"/>
      <c r="X936" s="73"/>
      <c r="Y936" s="73"/>
      <c r="Z936" s="73"/>
      <c r="AA936" s="75"/>
      <c r="AB936" s="75"/>
      <c r="AC936" s="55"/>
      <c r="AD936" s="89"/>
      <c r="AE936" s="89"/>
      <c r="AF936" s="89"/>
      <c r="AG936" s="57"/>
      <c r="AH936" s="58"/>
      <c r="AI936" s="39"/>
      <c r="AK936" s="41"/>
    </row>
    <row r="937" spans="1:37" ht="21">
      <c r="A937" s="32" t="s">
        <v>1190</v>
      </c>
      <c r="B937" s="94" t="s">
        <v>25</v>
      </c>
      <c r="C937" s="95" t="s">
        <v>524</v>
      </c>
      <c r="D937" s="88"/>
      <c r="E937" s="73"/>
      <c r="F937" s="73"/>
      <c r="G937" s="73"/>
      <c r="H937" s="73"/>
      <c r="I937" s="73"/>
      <c r="J937" s="73"/>
      <c r="K937" s="73"/>
      <c r="L937" s="73"/>
      <c r="M937" s="73"/>
      <c r="N937" s="73"/>
      <c r="O937" s="73"/>
      <c r="P937" s="73"/>
      <c r="Q937" s="73"/>
      <c r="R937" s="73"/>
      <c r="S937" s="73"/>
      <c r="T937" s="73"/>
      <c r="U937" s="73"/>
      <c r="V937" s="73"/>
      <c r="W937" s="73"/>
      <c r="X937" s="73"/>
      <c r="Y937" s="73"/>
      <c r="Z937" s="73"/>
      <c r="AA937" s="75"/>
      <c r="AB937" s="75"/>
      <c r="AC937" s="55"/>
      <c r="AD937" s="89"/>
      <c r="AE937" s="89"/>
      <c r="AF937" s="89"/>
      <c r="AG937" s="91"/>
      <c r="AH937" s="48"/>
      <c r="AI937" s="39"/>
      <c r="AK937" s="41"/>
    </row>
    <row r="938" spans="1:37" ht="21">
      <c r="A938" s="32" t="s">
        <v>1191</v>
      </c>
      <c r="B938" s="92" t="s">
        <v>525</v>
      </c>
      <c r="C938" s="93" t="s">
        <v>526</v>
      </c>
      <c r="D938" s="88" t="s">
        <v>81</v>
      </c>
      <c r="E938" s="73"/>
      <c r="F938" s="73"/>
      <c r="G938" s="73"/>
      <c r="H938" s="73"/>
      <c r="I938" s="73"/>
      <c r="J938" s="73"/>
      <c r="K938" s="73"/>
      <c r="L938" s="73"/>
      <c r="M938" s="73"/>
      <c r="N938" s="73"/>
      <c r="O938" s="73"/>
      <c r="P938" s="73"/>
      <c r="Q938" s="73"/>
      <c r="R938" s="73"/>
      <c r="S938" s="73"/>
      <c r="T938" s="73"/>
      <c r="U938" s="73"/>
      <c r="V938" s="73"/>
      <c r="W938" s="73"/>
      <c r="X938" s="73"/>
      <c r="Y938" s="73"/>
      <c r="Z938" s="73"/>
      <c r="AA938" s="75"/>
      <c r="AB938" s="75"/>
      <c r="AC938" s="55"/>
      <c r="AD938" s="89"/>
      <c r="AE938" s="89"/>
      <c r="AF938" s="89"/>
      <c r="AG938" s="57"/>
      <c r="AH938" s="58"/>
      <c r="AI938" s="39"/>
      <c r="AK938" s="41"/>
    </row>
    <row r="939" spans="1:37" ht="21">
      <c r="A939" s="32" t="s">
        <v>1192</v>
      </c>
      <c r="B939" s="94" t="s">
        <v>60</v>
      </c>
      <c r="C939" s="95" t="s">
        <v>536</v>
      </c>
      <c r="D939" s="88"/>
      <c r="E939" s="73"/>
      <c r="F939" s="73"/>
      <c r="G939" s="73"/>
      <c r="H939" s="73"/>
      <c r="I939" s="73"/>
      <c r="J939" s="73"/>
      <c r="K939" s="73"/>
      <c r="L939" s="73"/>
      <c r="M939" s="73"/>
      <c r="N939" s="73"/>
      <c r="O939" s="73"/>
      <c r="P939" s="73"/>
      <c r="Q939" s="73"/>
      <c r="R939" s="73"/>
      <c r="S939" s="73"/>
      <c r="T939" s="73"/>
      <c r="U939" s="73"/>
      <c r="V939" s="73"/>
      <c r="W939" s="73"/>
      <c r="X939" s="73"/>
      <c r="Y939" s="73"/>
      <c r="Z939" s="73"/>
      <c r="AA939" s="75"/>
      <c r="AB939" s="75"/>
      <c r="AC939" s="55"/>
      <c r="AD939" s="89"/>
      <c r="AE939" s="89"/>
      <c r="AF939" s="89"/>
      <c r="AG939" s="91"/>
      <c r="AH939" s="48"/>
      <c r="AI939" s="39"/>
      <c r="AK939" s="41"/>
    </row>
    <row r="940" spans="1:37" ht="21">
      <c r="A940" s="32" t="s">
        <v>1193</v>
      </c>
      <c r="B940" s="92" t="s">
        <v>525</v>
      </c>
      <c r="C940" s="93" t="s">
        <v>528</v>
      </c>
      <c r="D940" s="88" t="s">
        <v>81</v>
      </c>
      <c r="E940" s="73"/>
      <c r="F940" s="73"/>
      <c r="G940" s="73"/>
      <c r="H940" s="73"/>
      <c r="I940" s="73"/>
      <c r="J940" s="73"/>
      <c r="K940" s="73"/>
      <c r="L940" s="73"/>
      <c r="M940" s="73"/>
      <c r="N940" s="73"/>
      <c r="O940" s="73"/>
      <c r="P940" s="73"/>
      <c r="Q940" s="73"/>
      <c r="R940" s="73"/>
      <c r="S940" s="73"/>
      <c r="T940" s="73"/>
      <c r="U940" s="73"/>
      <c r="V940" s="73"/>
      <c r="W940" s="73"/>
      <c r="X940" s="73"/>
      <c r="Y940" s="73"/>
      <c r="Z940" s="73"/>
      <c r="AA940" s="75"/>
      <c r="AB940" s="75"/>
      <c r="AC940" s="55"/>
      <c r="AD940" s="89"/>
      <c r="AE940" s="89"/>
      <c r="AF940" s="89"/>
      <c r="AG940" s="57"/>
      <c r="AH940" s="58"/>
      <c r="AI940" s="39"/>
      <c r="AK940" s="41"/>
    </row>
    <row r="941" spans="1:37" ht="21">
      <c r="A941" s="32" t="s">
        <v>1194</v>
      </c>
      <c r="B941" s="92" t="s">
        <v>529</v>
      </c>
      <c r="C941" s="93" t="s">
        <v>530</v>
      </c>
      <c r="D941" s="88" t="s">
        <v>81</v>
      </c>
      <c r="E941" s="73"/>
      <c r="F941" s="73"/>
      <c r="G941" s="73"/>
      <c r="H941" s="73"/>
      <c r="I941" s="73"/>
      <c r="J941" s="73"/>
      <c r="K941" s="73"/>
      <c r="L941" s="73"/>
      <c r="M941" s="73"/>
      <c r="N941" s="73"/>
      <c r="O941" s="73"/>
      <c r="P941" s="73"/>
      <c r="Q941" s="73"/>
      <c r="R941" s="73"/>
      <c r="S941" s="73"/>
      <c r="T941" s="73"/>
      <c r="U941" s="73"/>
      <c r="V941" s="73"/>
      <c r="W941" s="73"/>
      <c r="X941" s="73"/>
      <c r="Y941" s="73"/>
      <c r="Z941" s="73"/>
      <c r="AA941" s="75"/>
      <c r="AB941" s="75"/>
      <c r="AC941" s="55"/>
      <c r="AD941" s="89"/>
      <c r="AE941" s="89"/>
      <c r="AF941" s="89"/>
      <c r="AG941" s="57"/>
      <c r="AH941" s="58"/>
      <c r="AI941" s="39"/>
      <c r="AK941" s="41"/>
    </row>
    <row r="942" spans="1:37" ht="21">
      <c r="A942" s="32" t="s">
        <v>1195</v>
      </c>
      <c r="B942" s="94" t="s">
        <v>62</v>
      </c>
      <c r="C942" s="95" t="s">
        <v>551</v>
      </c>
      <c r="D942" s="88"/>
      <c r="E942" s="73"/>
      <c r="F942" s="73"/>
      <c r="G942" s="73"/>
      <c r="H942" s="73"/>
      <c r="I942" s="73"/>
      <c r="J942" s="73"/>
      <c r="K942" s="73"/>
      <c r="L942" s="73"/>
      <c r="M942" s="73"/>
      <c r="N942" s="73"/>
      <c r="O942" s="73"/>
      <c r="P942" s="73"/>
      <c r="Q942" s="73"/>
      <c r="R942" s="73"/>
      <c r="S942" s="73"/>
      <c r="T942" s="73"/>
      <c r="U942" s="73"/>
      <c r="V942" s="73"/>
      <c r="W942" s="73"/>
      <c r="X942" s="73"/>
      <c r="Y942" s="73"/>
      <c r="Z942" s="73"/>
      <c r="AA942" s="75"/>
      <c r="AB942" s="75"/>
      <c r="AC942" s="55"/>
      <c r="AD942" s="89"/>
      <c r="AE942" s="89"/>
      <c r="AF942" s="89"/>
      <c r="AG942" s="91"/>
      <c r="AH942" s="48"/>
      <c r="AI942" s="39"/>
      <c r="AK942" s="41"/>
    </row>
    <row r="943" spans="1:37" ht="21">
      <c r="A943" s="32" t="s">
        <v>1196</v>
      </c>
      <c r="B943" s="92" t="s">
        <v>525</v>
      </c>
      <c r="C943" s="93" t="s">
        <v>532</v>
      </c>
      <c r="D943" s="88" t="s">
        <v>81</v>
      </c>
      <c r="E943" s="73"/>
      <c r="F943" s="73"/>
      <c r="G943" s="73"/>
      <c r="H943" s="73"/>
      <c r="I943" s="73"/>
      <c r="J943" s="73"/>
      <c r="K943" s="73"/>
      <c r="L943" s="73"/>
      <c r="M943" s="73"/>
      <c r="N943" s="73"/>
      <c r="O943" s="73"/>
      <c r="P943" s="73"/>
      <c r="Q943" s="73"/>
      <c r="R943" s="73"/>
      <c r="S943" s="73"/>
      <c r="T943" s="73"/>
      <c r="U943" s="73"/>
      <c r="V943" s="73"/>
      <c r="W943" s="73"/>
      <c r="X943" s="73"/>
      <c r="Y943" s="73"/>
      <c r="Z943" s="73"/>
      <c r="AA943" s="75"/>
      <c r="AB943" s="75"/>
      <c r="AC943" s="55"/>
      <c r="AD943" s="89"/>
      <c r="AE943" s="89"/>
      <c r="AF943" s="89"/>
      <c r="AG943" s="57"/>
      <c r="AH943" s="58"/>
      <c r="AI943" s="39"/>
      <c r="AK943" s="41"/>
    </row>
    <row r="944" spans="1:37" ht="21">
      <c r="A944" s="32" t="s">
        <v>1197</v>
      </c>
      <c r="B944" s="92" t="s">
        <v>529</v>
      </c>
      <c r="C944" s="93" t="s">
        <v>552</v>
      </c>
      <c r="D944" s="88" t="s">
        <v>81</v>
      </c>
      <c r="E944" s="73"/>
      <c r="F944" s="73"/>
      <c r="G944" s="73"/>
      <c r="H944" s="73"/>
      <c r="I944" s="73"/>
      <c r="J944" s="73"/>
      <c r="K944" s="73"/>
      <c r="L944" s="73"/>
      <c r="M944" s="73"/>
      <c r="N944" s="73"/>
      <c r="O944" s="73"/>
      <c r="P944" s="73"/>
      <c r="Q944" s="73"/>
      <c r="R944" s="73"/>
      <c r="S944" s="73"/>
      <c r="T944" s="73"/>
      <c r="U944" s="73"/>
      <c r="V944" s="73"/>
      <c r="W944" s="73"/>
      <c r="X944" s="73"/>
      <c r="Y944" s="73"/>
      <c r="Z944" s="73"/>
      <c r="AA944" s="75"/>
      <c r="AB944" s="75"/>
      <c r="AC944" s="55"/>
      <c r="AD944" s="89"/>
      <c r="AE944" s="89"/>
      <c r="AF944" s="89"/>
      <c r="AG944" s="57"/>
      <c r="AH944" s="58"/>
      <c r="AI944" s="39"/>
      <c r="AK944" s="41"/>
    </row>
    <row r="945" spans="1:37" ht="21">
      <c r="A945" s="32" t="s">
        <v>1198</v>
      </c>
      <c r="B945" s="94" t="s">
        <v>15</v>
      </c>
      <c r="C945" s="95" t="s">
        <v>563</v>
      </c>
      <c r="D945" s="88"/>
      <c r="E945" s="73"/>
      <c r="F945" s="73"/>
      <c r="G945" s="73"/>
      <c r="H945" s="73"/>
      <c r="I945" s="73"/>
      <c r="J945" s="73"/>
      <c r="K945" s="73"/>
      <c r="L945" s="73"/>
      <c r="M945" s="73"/>
      <c r="N945" s="73"/>
      <c r="O945" s="73"/>
      <c r="P945" s="73"/>
      <c r="Q945" s="73"/>
      <c r="R945" s="73"/>
      <c r="S945" s="73"/>
      <c r="T945" s="73"/>
      <c r="U945" s="73"/>
      <c r="V945" s="73"/>
      <c r="W945" s="73"/>
      <c r="X945" s="73"/>
      <c r="Y945" s="73"/>
      <c r="Z945" s="73"/>
      <c r="AA945" s="75"/>
      <c r="AB945" s="75"/>
      <c r="AC945" s="55"/>
      <c r="AD945" s="89"/>
      <c r="AE945" s="89"/>
      <c r="AF945" s="89"/>
      <c r="AG945" s="91"/>
      <c r="AH945" s="48"/>
      <c r="AI945" s="39"/>
      <c r="AK945" s="41"/>
    </row>
    <row r="946" spans="1:37" ht="21">
      <c r="A946" s="32" t="s">
        <v>1199</v>
      </c>
      <c r="B946" s="131" t="s">
        <v>104</v>
      </c>
      <c r="C946" s="95" t="s">
        <v>564</v>
      </c>
      <c r="D946" s="88" t="s">
        <v>81</v>
      </c>
      <c r="E946" s="73"/>
      <c r="F946" s="73"/>
      <c r="G946" s="73"/>
      <c r="H946" s="73"/>
      <c r="I946" s="73"/>
      <c r="J946" s="73"/>
      <c r="K946" s="73"/>
      <c r="L946" s="73"/>
      <c r="M946" s="73"/>
      <c r="N946" s="73"/>
      <c r="O946" s="73"/>
      <c r="P946" s="73"/>
      <c r="Q946" s="73"/>
      <c r="R946" s="73"/>
      <c r="S946" s="73"/>
      <c r="T946" s="73"/>
      <c r="U946" s="73"/>
      <c r="V946" s="73"/>
      <c r="W946" s="73"/>
      <c r="X946" s="73"/>
      <c r="Y946" s="73"/>
      <c r="Z946" s="73"/>
      <c r="AA946" s="75"/>
      <c r="AB946" s="75"/>
      <c r="AC946" s="55"/>
      <c r="AD946" s="89"/>
      <c r="AE946" s="89"/>
      <c r="AF946" s="89"/>
      <c r="AG946" s="57"/>
      <c r="AH946" s="58"/>
      <c r="AI946" s="39"/>
      <c r="AK946" s="41"/>
    </row>
    <row r="947" spans="1:37" ht="21">
      <c r="A947" s="32" t="s">
        <v>1200</v>
      </c>
      <c r="B947" s="131" t="s">
        <v>24</v>
      </c>
      <c r="C947" s="95" t="s">
        <v>554</v>
      </c>
      <c r="D947" s="88" t="s">
        <v>81</v>
      </c>
      <c r="E947" s="73"/>
      <c r="F947" s="73"/>
      <c r="G947" s="73"/>
      <c r="H947" s="73"/>
      <c r="I947" s="73"/>
      <c r="J947" s="73"/>
      <c r="K947" s="73"/>
      <c r="L947" s="73"/>
      <c r="M947" s="73"/>
      <c r="N947" s="73"/>
      <c r="O947" s="73"/>
      <c r="P947" s="73"/>
      <c r="Q947" s="73"/>
      <c r="R947" s="73"/>
      <c r="S947" s="73"/>
      <c r="T947" s="73"/>
      <c r="U947" s="73"/>
      <c r="V947" s="73"/>
      <c r="W947" s="73"/>
      <c r="X947" s="73"/>
      <c r="Y947" s="73"/>
      <c r="Z947" s="73"/>
      <c r="AA947" s="75"/>
      <c r="AB947" s="75"/>
      <c r="AC947" s="55"/>
      <c r="AD947" s="89"/>
      <c r="AE947" s="89"/>
      <c r="AF947" s="89"/>
      <c r="AG947" s="57"/>
      <c r="AH947" s="58"/>
      <c r="AI947" s="39"/>
      <c r="AK947" s="41"/>
    </row>
    <row r="948" spans="1:37" ht="21">
      <c r="A948" s="32" t="s">
        <v>1201</v>
      </c>
      <c r="B948" s="94" t="s">
        <v>25</v>
      </c>
      <c r="C948" s="95" t="s">
        <v>534</v>
      </c>
      <c r="D948" s="88"/>
      <c r="E948" s="73"/>
      <c r="F948" s="73"/>
      <c r="G948" s="73"/>
      <c r="H948" s="73"/>
      <c r="I948" s="73"/>
      <c r="J948" s="73"/>
      <c r="K948" s="73"/>
      <c r="L948" s="73"/>
      <c r="M948" s="73"/>
      <c r="N948" s="73"/>
      <c r="O948" s="73"/>
      <c r="P948" s="73"/>
      <c r="Q948" s="73"/>
      <c r="R948" s="73"/>
      <c r="S948" s="73"/>
      <c r="T948" s="73"/>
      <c r="U948" s="73"/>
      <c r="V948" s="73"/>
      <c r="W948" s="73"/>
      <c r="X948" s="73"/>
      <c r="Y948" s="73"/>
      <c r="Z948" s="73"/>
      <c r="AA948" s="75"/>
      <c r="AB948" s="75"/>
      <c r="AC948" s="55"/>
      <c r="AD948" s="89"/>
      <c r="AE948" s="89"/>
      <c r="AF948" s="89"/>
      <c r="AG948" s="91"/>
      <c r="AH948" s="48"/>
      <c r="AI948" s="39"/>
      <c r="AK948" s="41"/>
    </row>
    <row r="949" spans="1:37" ht="21">
      <c r="A949" s="32" t="s">
        <v>1202</v>
      </c>
      <c r="B949" s="92" t="s">
        <v>525</v>
      </c>
      <c r="C949" s="93" t="s">
        <v>526</v>
      </c>
      <c r="D949" s="88" t="s">
        <v>81</v>
      </c>
      <c r="E949" s="73"/>
      <c r="F949" s="73"/>
      <c r="G949" s="73"/>
      <c r="H949" s="73"/>
      <c r="I949" s="73"/>
      <c r="J949" s="73"/>
      <c r="K949" s="73"/>
      <c r="L949" s="73"/>
      <c r="M949" s="73"/>
      <c r="N949" s="73"/>
      <c r="O949" s="73"/>
      <c r="P949" s="73"/>
      <c r="Q949" s="73"/>
      <c r="R949" s="73"/>
      <c r="S949" s="73"/>
      <c r="T949" s="73"/>
      <c r="U949" s="73"/>
      <c r="V949" s="73"/>
      <c r="W949" s="73"/>
      <c r="X949" s="73"/>
      <c r="Y949" s="73"/>
      <c r="Z949" s="73"/>
      <c r="AA949" s="75"/>
      <c r="AB949" s="75"/>
      <c r="AC949" s="55"/>
      <c r="AD949" s="89"/>
      <c r="AE949" s="89"/>
      <c r="AF949" s="89"/>
      <c r="AG949" s="57"/>
      <c r="AH949" s="58"/>
      <c r="AI949" s="39"/>
      <c r="AK949" s="41"/>
    </row>
    <row r="950" spans="1:37" ht="21">
      <c r="A950" s="32" t="s">
        <v>1203</v>
      </c>
      <c r="B950" s="92" t="s">
        <v>529</v>
      </c>
      <c r="C950" s="93" t="s">
        <v>535</v>
      </c>
      <c r="D950" s="88" t="s">
        <v>81</v>
      </c>
      <c r="E950" s="73"/>
      <c r="F950" s="73"/>
      <c r="G950" s="73"/>
      <c r="H950" s="73"/>
      <c r="I950" s="73"/>
      <c r="J950" s="73"/>
      <c r="K950" s="73"/>
      <c r="L950" s="73"/>
      <c r="M950" s="73"/>
      <c r="N950" s="73"/>
      <c r="O950" s="73"/>
      <c r="P950" s="73"/>
      <c r="Q950" s="73"/>
      <c r="R950" s="73"/>
      <c r="S950" s="73"/>
      <c r="T950" s="73"/>
      <c r="U950" s="73"/>
      <c r="V950" s="73"/>
      <c r="W950" s="73"/>
      <c r="X950" s="73"/>
      <c r="Y950" s="73"/>
      <c r="Z950" s="73"/>
      <c r="AA950" s="75"/>
      <c r="AB950" s="75"/>
      <c r="AC950" s="55"/>
      <c r="AD950" s="89"/>
      <c r="AE950" s="89"/>
      <c r="AF950" s="89"/>
      <c r="AG950" s="57"/>
      <c r="AH950" s="58"/>
      <c r="AI950" s="39"/>
      <c r="AK950" s="41"/>
    </row>
    <row r="951" spans="1:37" ht="21">
      <c r="A951" s="32" t="s">
        <v>1204</v>
      </c>
      <c r="B951" s="94" t="s">
        <v>60</v>
      </c>
      <c r="C951" s="95" t="s">
        <v>536</v>
      </c>
      <c r="D951" s="88"/>
      <c r="E951" s="73"/>
      <c r="F951" s="73"/>
      <c r="G951" s="73"/>
      <c r="H951" s="73"/>
      <c r="I951" s="73"/>
      <c r="J951" s="73"/>
      <c r="K951" s="73"/>
      <c r="L951" s="73"/>
      <c r="M951" s="73"/>
      <c r="N951" s="73"/>
      <c r="O951" s="73"/>
      <c r="P951" s="73"/>
      <c r="Q951" s="73"/>
      <c r="R951" s="73"/>
      <c r="S951" s="73"/>
      <c r="T951" s="73"/>
      <c r="U951" s="73"/>
      <c r="V951" s="73"/>
      <c r="W951" s="73"/>
      <c r="X951" s="73"/>
      <c r="Y951" s="73"/>
      <c r="Z951" s="73"/>
      <c r="AA951" s="75"/>
      <c r="AB951" s="75"/>
      <c r="AC951" s="55"/>
      <c r="AD951" s="89"/>
      <c r="AE951" s="89"/>
      <c r="AF951" s="89"/>
      <c r="AG951" s="91"/>
      <c r="AH951" s="48"/>
      <c r="AI951" s="39"/>
      <c r="AK951" s="41"/>
    </row>
    <row r="952" spans="1:37" ht="21">
      <c r="A952" s="32" t="s">
        <v>1205</v>
      </c>
      <c r="B952" s="92" t="s">
        <v>525</v>
      </c>
      <c r="C952" s="93" t="s">
        <v>528</v>
      </c>
      <c r="D952" s="88" t="s">
        <v>81</v>
      </c>
      <c r="E952" s="73"/>
      <c r="F952" s="73"/>
      <c r="G952" s="73"/>
      <c r="H952" s="73"/>
      <c r="I952" s="73"/>
      <c r="J952" s="73"/>
      <c r="K952" s="73"/>
      <c r="L952" s="73"/>
      <c r="M952" s="73"/>
      <c r="N952" s="73"/>
      <c r="O952" s="73"/>
      <c r="P952" s="73"/>
      <c r="Q952" s="73"/>
      <c r="R952" s="73"/>
      <c r="S952" s="73"/>
      <c r="T952" s="73"/>
      <c r="U952" s="73"/>
      <c r="V952" s="73"/>
      <c r="W952" s="73"/>
      <c r="X952" s="73"/>
      <c r="Y952" s="73"/>
      <c r="Z952" s="73"/>
      <c r="AA952" s="75"/>
      <c r="AB952" s="75"/>
      <c r="AC952" s="55"/>
      <c r="AD952" s="89"/>
      <c r="AE952" s="89"/>
      <c r="AF952" s="89"/>
      <c r="AG952" s="57"/>
      <c r="AH952" s="58"/>
      <c r="AI952" s="39"/>
      <c r="AK952" s="41"/>
    </row>
    <row r="953" spans="1:37" ht="21">
      <c r="A953" s="32" t="s">
        <v>1206</v>
      </c>
      <c r="B953" s="92" t="s">
        <v>529</v>
      </c>
      <c r="C953" s="93" t="s">
        <v>555</v>
      </c>
      <c r="D953" s="88" t="s">
        <v>81</v>
      </c>
      <c r="E953" s="73"/>
      <c r="F953" s="73"/>
      <c r="G953" s="73"/>
      <c r="H953" s="73"/>
      <c r="I953" s="73"/>
      <c r="J953" s="73"/>
      <c r="K953" s="73"/>
      <c r="L953" s="73"/>
      <c r="M953" s="73"/>
      <c r="N953" s="73"/>
      <c r="O953" s="73"/>
      <c r="P953" s="73"/>
      <c r="Q953" s="73"/>
      <c r="R953" s="73"/>
      <c r="S953" s="73"/>
      <c r="T953" s="73"/>
      <c r="U953" s="73"/>
      <c r="V953" s="73"/>
      <c r="W953" s="73"/>
      <c r="X953" s="73"/>
      <c r="Y953" s="73"/>
      <c r="Z953" s="73"/>
      <c r="AA953" s="75"/>
      <c r="AB953" s="75"/>
      <c r="AC953" s="55"/>
      <c r="AD953" s="89"/>
      <c r="AE953" s="89"/>
      <c r="AF953" s="89"/>
      <c r="AG953" s="57"/>
      <c r="AH953" s="58"/>
      <c r="AI953" s="39"/>
      <c r="AK953" s="41"/>
    </row>
    <row r="954" spans="1:37" ht="21">
      <c r="A954" s="32" t="s">
        <v>1207</v>
      </c>
      <c r="B954" s="92" t="s">
        <v>538</v>
      </c>
      <c r="C954" s="93" t="s">
        <v>539</v>
      </c>
      <c r="D954" s="88" t="s">
        <v>81</v>
      </c>
      <c r="E954" s="73"/>
      <c r="F954" s="73"/>
      <c r="G954" s="73"/>
      <c r="H954" s="73"/>
      <c r="I954" s="73"/>
      <c r="J954" s="73"/>
      <c r="K954" s="73"/>
      <c r="L954" s="73"/>
      <c r="M954" s="73"/>
      <c r="N954" s="73"/>
      <c r="O954" s="73"/>
      <c r="P954" s="73"/>
      <c r="Q954" s="73"/>
      <c r="R954" s="73"/>
      <c r="S954" s="73"/>
      <c r="T954" s="73"/>
      <c r="U954" s="73"/>
      <c r="V954" s="73"/>
      <c r="W954" s="73"/>
      <c r="X954" s="73"/>
      <c r="Y954" s="73"/>
      <c r="Z954" s="73"/>
      <c r="AA954" s="75"/>
      <c r="AB954" s="75"/>
      <c r="AC954" s="55"/>
      <c r="AD954" s="89"/>
      <c r="AE954" s="89"/>
      <c r="AF954" s="89"/>
      <c r="AG954" s="57"/>
      <c r="AH954" s="58"/>
      <c r="AI954" s="39"/>
      <c r="AK954" s="41"/>
    </row>
    <row r="955" spans="1:37" ht="21">
      <c r="A955" s="32" t="s">
        <v>1208</v>
      </c>
      <c r="B955" s="94" t="s">
        <v>62</v>
      </c>
      <c r="C955" s="95" t="s">
        <v>531</v>
      </c>
      <c r="D955" s="88"/>
      <c r="E955" s="73"/>
      <c r="F955" s="73"/>
      <c r="G955" s="73"/>
      <c r="H955" s="73"/>
      <c r="I955" s="73"/>
      <c r="J955" s="73"/>
      <c r="K955" s="73"/>
      <c r="L955" s="73"/>
      <c r="M955" s="73"/>
      <c r="N955" s="73"/>
      <c r="O955" s="73"/>
      <c r="P955" s="73"/>
      <c r="Q955" s="73"/>
      <c r="R955" s="73"/>
      <c r="S955" s="73"/>
      <c r="T955" s="73"/>
      <c r="U955" s="73"/>
      <c r="V955" s="73"/>
      <c r="W955" s="73"/>
      <c r="X955" s="73"/>
      <c r="Y955" s="73"/>
      <c r="Z955" s="73"/>
      <c r="AA955" s="75"/>
      <c r="AB955" s="75"/>
      <c r="AC955" s="55"/>
      <c r="AD955" s="89"/>
      <c r="AE955" s="89"/>
      <c r="AF955" s="89"/>
      <c r="AG955" s="91"/>
      <c r="AH955" s="48"/>
      <c r="AI955" s="39"/>
      <c r="AK955" s="41"/>
    </row>
    <row r="956" spans="1:37" ht="21">
      <c r="A956" s="32" t="s">
        <v>1209</v>
      </c>
      <c r="B956" s="92" t="s">
        <v>525</v>
      </c>
      <c r="C956" s="93" t="s">
        <v>532</v>
      </c>
      <c r="D956" s="88" t="s">
        <v>81</v>
      </c>
      <c r="E956" s="73"/>
      <c r="F956" s="73"/>
      <c r="G956" s="73"/>
      <c r="H956" s="73"/>
      <c r="I956" s="73"/>
      <c r="J956" s="73"/>
      <c r="K956" s="73"/>
      <c r="L956" s="73"/>
      <c r="M956" s="73"/>
      <c r="N956" s="73"/>
      <c r="O956" s="73"/>
      <c r="P956" s="73"/>
      <c r="Q956" s="73"/>
      <c r="R956" s="73"/>
      <c r="S956" s="73"/>
      <c r="T956" s="73"/>
      <c r="U956" s="73"/>
      <c r="V956" s="73"/>
      <c r="W956" s="73"/>
      <c r="X956" s="73"/>
      <c r="Y956" s="73"/>
      <c r="Z956" s="73"/>
      <c r="AA956" s="75"/>
      <c r="AB956" s="75"/>
      <c r="AC956" s="55"/>
      <c r="AD956" s="89"/>
      <c r="AE956" s="89"/>
      <c r="AF956" s="89"/>
      <c r="AG956" s="57"/>
      <c r="AH956" s="58"/>
      <c r="AI956" s="39"/>
      <c r="AK956" s="41"/>
    </row>
    <row r="957" spans="1:37" ht="21">
      <c r="A957" s="32" t="s">
        <v>1210</v>
      </c>
      <c r="B957" s="92" t="s">
        <v>529</v>
      </c>
      <c r="C957" s="93" t="s">
        <v>540</v>
      </c>
      <c r="D957" s="88" t="s">
        <v>81</v>
      </c>
      <c r="E957" s="73"/>
      <c r="F957" s="73"/>
      <c r="G957" s="73"/>
      <c r="H957" s="73"/>
      <c r="I957" s="73"/>
      <c r="J957" s="73"/>
      <c r="K957" s="73"/>
      <c r="L957" s="73"/>
      <c r="M957" s="73"/>
      <c r="N957" s="73"/>
      <c r="O957" s="73"/>
      <c r="P957" s="73"/>
      <c r="Q957" s="73"/>
      <c r="R957" s="73"/>
      <c r="S957" s="73"/>
      <c r="T957" s="73"/>
      <c r="U957" s="73"/>
      <c r="V957" s="73"/>
      <c r="W957" s="73"/>
      <c r="X957" s="73"/>
      <c r="Y957" s="73"/>
      <c r="Z957" s="73"/>
      <c r="AA957" s="75"/>
      <c r="AB957" s="75"/>
      <c r="AC957" s="55"/>
      <c r="AD957" s="89"/>
      <c r="AE957" s="89"/>
      <c r="AF957" s="89"/>
      <c r="AG957" s="57"/>
      <c r="AH957" s="58"/>
      <c r="AI957" s="39"/>
      <c r="AK957" s="41"/>
    </row>
    <row r="958" spans="1:37" ht="21">
      <c r="A958" s="32" t="s">
        <v>1211</v>
      </c>
      <c r="B958" s="92" t="s">
        <v>538</v>
      </c>
      <c r="C958" s="93" t="s">
        <v>541</v>
      </c>
      <c r="D958" s="88" t="s">
        <v>81</v>
      </c>
      <c r="E958" s="73"/>
      <c r="F958" s="73"/>
      <c r="G958" s="73"/>
      <c r="H958" s="73"/>
      <c r="I958" s="73"/>
      <c r="J958" s="73"/>
      <c r="K958" s="73"/>
      <c r="L958" s="73"/>
      <c r="M958" s="73"/>
      <c r="N958" s="73"/>
      <c r="O958" s="73"/>
      <c r="P958" s="73"/>
      <c r="Q958" s="73"/>
      <c r="R958" s="73"/>
      <c r="S958" s="73"/>
      <c r="T958" s="73"/>
      <c r="U958" s="73"/>
      <c r="V958" s="73"/>
      <c r="W958" s="73"/>
      <c r="X958" s="73"/>
      <c r="Y958" s="73"/>
      <c r="Z958" s="73"/>
      <c r="AA958" s="75"/>
      <c r="AB958" s="75"/>
      <c r="AC958" s="55"/>
      <c r="AD958" s="89"/>
      <c r="AE958" s="89"/>
      <c r="AF958" s="89"/>
      <c r="AG958" s="57"/>
      <c r="AH958" s="58"/>
      <c r="AI958" s="39"/>
      <c r="AK958" s="41"/>
    </row>
    <row r="959" spans="1:37" ht="21">
      <c r="A959" s="32" t="s">
        <v>1212</v>
      </c>
      <c r="B959" s="94" t="s">
        <v>40</v>
      </c>
      <c r="C959" s="95" t="s">
        <v>565</v>
      </c>
      <c r="D959" s="88"/>
      <c r="E959" s="73"/>
      <c r="F959" s="73"/>
      <c r="G959" s="73"/>
      <c r="H959" s="73"/>
      <c r="I959" s="73"/>
      <c r="J959" s="73"/>
      <c r="K959" s="73"/>
      <c r="L959" s="73"/>
      <c r="M959" s="73"/>
      <c r="N959" s="73"/>
      <c r="O959" s="73"/>
      <c r="P959" s="73"/>
      <c r="Q959" s="73"/>
      <c r="R959" s="73"/>
      <c r="S959" s="73"/>
      <c r="T959" s="73"/>
      <c r="U959" s="73"/>
      <c r="V959" s="73"/>
      <c r="W959" s="73"/>
      <c r="X959" s="73"/>
      <c r="Y959" s="73"/>
      <c r="Z959" s="73"/>
      <c r="AA959" s="75"/>
      <c r="AB959" s="75"/>
      <c r="AC959" s="55"/>
      <c r="AD959" s="89"/>
      <c r="AE959" s="89"/>
      <c r="AF959" s="89"/>
      <c r="AG959" s="91"/>
      <c r="AH959" s="48"/>
      <c r="AI959" s="39"/>
      <c r="AK959" s="41"/>
    </row>
    <row r="960" spans="1:37" ht="21">
      <c r="A960" s="32" t="s">
        <v>1213</v>
      </c>
      <c r="B960" s="131" t="s">
        <v>104</v>
      </c>
      <c r="C960" s="95" t="s">
        <v>566</v>
      </c>
      <c r="D960" s="88" t="s">
        <v>81</v>
      </c>
      <c r="E960" s="73"/>
      <c r="F960" s="73"/>
      <c r="G960" s="73"/>
      <c r="H960" s="73"/>
      <c r="I960" s="73"/>
      <c r="J960" s="73"/>
      <c r="K960" s="73"/>
      <c r="L960" s="73"/>
      <c r="M960" s="73"/>
      <c r="N960" s="73"/>
      <c r="O960" s="73"/>
      <c r="P960" s="73"/>
      <c r="Q960" s="73"/>
      <c r="R960" s="73"/>
      <c r="S960" s="73"/>
      <c r="T960" s="73"/>
      <c r="U960" s="73"/>
      <c r="V960" s="73"/>
      <c r="W960" s="73"/>
      <c r="X960" s="73"/>
      <c r="Y960" s="73"/>
      <c r="Z960" s="73"/>
      <c r="AA960" s="75"/>
      <c r="AB960" s="75"/>
      <c r="AC960" s="55"/>
      <c r="AD960" s="89"/>
      <c r="AE960" s="89"/>
      <c r="AF960" s="89"/>
      <c r="AG960" s="57"/>
      <c r="AH960" s="58"/>
      <c r="AI960" s="39"/>
      <c r="AK960" s="41"/>
    </row>
    <row r="961" spans="1:37" ht="21">
      <c r="A961" s="32" t="s">
        <v>1214</v>
      </c>
      <c r="B961" s="94" t="s">
        <v>48</v>
      </c>
      <c r="C961" s="95" t="s">
        <v>567</v>
      </c>
      <c r="D961" s="134"/>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6"/>
      <c r="AB961" s="136"/>
      <c r="AC961" s="55"/>
      <c r="AD961" s="89"/>
      <c r="AE961" s="89"/>
      <c r="AF961" s="89"/>
      <c r="AG961" s="91"/>
      <c r="AH961" s="48"/>
      <c r="AI961" s="39"/>
      <c r="AK961" s="41"/>
    </row>
    <row r="962" spans="1:37" ht="21">
      <c r="A962" s="32" t="s">
        <v>1215</v>
      </c>
      <c r="B962" s="131" t="s">
        <v>104</v>
      </c>
      <c r="C962" s="95" t="s">
        <v>566</v>
      </c>
      <c r="D962" s="88" t="s">
        <v>81</v>
      </c>
      <c r="E962" s="73"/>
      <c r="F962" s="73"/>
      <c r="G962" s="73"/>
      <c r="H962" s="73"/>
      <c r="I962" s="73"/>
      <c r="J962" s="73"/>
      <c r="K962" s="73"/>
      <c r="L962" s="73"/>
      <c r="M962" s="73"/>
      <c r="N962" s="73"/>
      <c r="O962" s="73"/>
      <c r="P962" s="73"/>
      <c r="Q962" s="73"/>
      <c r="R962" s="73"/>
      <c r="S962" s="73"/>
      <c r="T962" s="73"/>
      <c r="U962" s="73"/>
      <c r="V962" s="73"/>
      <c r="W962" s="73"/>
      <c r="X962" s="73"/>
      <c r="Y962" s="73"/>
      <c r="Z962" s="73"/>
      <c r="AA962" s="75"/>
      <c r="AB962" s="75"/>
      <c r="AC962" s="55"/>
      <c r="AD962" s="89"/>
      <c r="AE962" s="89"/>
      <c r="AF962" s="89"/>
      <c r="AG962" s="57"/>
      <c r="AH962" s="58"/>
      <c r="AI962" s="39"/>
      <c r="AK962" s="41"/>
    </row>
    <row r="963" spans="1:37" ht="21">
      <c r="A963" s="32" t="s">
        <v>1216</v>
      </c>
      <c r="B963" s="94" t="s">
        <v>55</v>
      </c>
      <c r="C963" s="95" t="s">
        <v>568</v>
      </c>
      <c r="D963" s="88"/>
      <c r="E963" s="73"/>
      <c r="F963" s="73"/>
      <c r="G963" s="73"/>
      <c r="H963" s="73"/>
      <c r="I963" s="73"/>
      <c r="J963" s="73"/>
      <c r="K963" s="73"/>
      <c r="L963" s="73"/>
      <c r="M963" s="73"/>
      <c r="N963" s="73"/>
      <c r="O963" s="73"/>
      <c r="P963" s="73"/>
      <c r="Q963" s="73"/>
      <c r="R963" s="73"/>
      <c r="S963" s="73"/>
      <c r="T963" s="73"/>
      <c r="U963" s="73"/>
      <c r="V963" s="73"/>
      <c r="W963" s="73"/>
      <c r="X963" s="73"/>
      <c r="Y963" s="73"/>
      <c r="Z963" s="73"/>
      <c r="AA963" s="75"/>
      <c r="AB963" s="75"/>
      <c r="AC963" s="55"/>
      <c r="AD963" s="89"/>
      <c r="AE963" s="89"/>
      <c r="AF963" s="89"/>
      <c r="AG963" s="91"/>
      <c r="AH963" s="48"/>
      <c r="AI963" s="39"/>
      <c r="AK963" s="41"/>
    </row>
    <row r="964" spans="1:37" ht="21">
      <c r="A964" s="32" t="s">
        <v>1217</v>
      </c>
      <c r="B964" s="131" t="s">
        <v>104</v>
      </c>
      <c r="C964" s="95" t="s">
        <v>569</v>
      </c>
      <c r="D964" s="88" t="s">
        <v>81</v>
      </c>
      <c r="E964" s="73"/>
      <c r="F964" s="73"/>
      <c r="G964" s="73"/>
      <c r="H964" s="73"/>
      <c r="I964" s="73"/>
      <c r="J964" s="73"/>
      <c r="K964" s="73"/>
      <c r="L964" s="73"/>
      <c r="M964" s="73"/>
      <c r="N964" s="73"/>
      <c r="O964" s="73"/>
      <c r="P964" s="73"/>
      <c r="Q964" s="73"/>
      <c r="R964" s="73"/>
      <c r="S964" s="73"/>
      <c r="T964" s="73"/>
      <c r="U964" s="73"/>
      <c r="V964" s="73"/>
      <c r="W964" s="73"/>
      <c r="X964" s="73"/>
      <c r="Y964" s="73"/>
      <c r="Z964" s="73"/>
      <c r="AA964" s="75"/>
      <c r="AB964" s="75"/>
      <c r="AC964" s="55"/>
      <c r="AD964" s="89"/>
      <c r="AE964" s="89"/>
      <c r="AF964" s="89"/>
      <c r="AG964" s="57"/>
      <c r="AH964" s="58"/>
      <c r="AI964" s="39"/>
      <c r="AK964" s="41"/>
    </row>
    <row r="965" spans="1:37" ht="40.5">
      <c r="A965" s="32" t="s">
        <v>570</v>
      </c>
      <c r="B965" s="131" t="s">
        <v>570</v>
      </c>
      <c r="C965" s="95" t="s">
        <v>2674</v>
      </c>
      <c r="D965" s="88"/>
      <c r="E965" s="73"/>
      <c r="F965" s="73"/>
      <c r="G965" s="73"/>
      <c r="H965" s="73"/>
      <c r="I965" s="73"/>
      <c r="J965" s="73"/>
      <c r="K965" s="73"/>
      <c r="L965" s="73"/>
      <c r="M965" s="73"/>
      <c r="N965" s="73"/>
      <c r="O965" s="73"/>
      <c r="P965" s="73"/>
      <c r="Q965" s="73"/>
      <c r="R965" s="73"/>
      <c r="S965" s="73"/>
      <c r="T965" s="73"/>
      <c r="U965" s="73"/>
      <c r="V965" s="73"/>
      <c r="W965" s="73"/>
      <c r="X965" s="73"/>
      <c r="Y965" s="73"/>
      <c r="Z965" s="73"/>
      <c r="AA965" s="75"/>
      <c r="AB965" s="75"/>
      <c r="AC965" s="55"/>
      <c r="AD965" s="89"/>
      <c r="AE965" s="89"/>
      <c r="AF965" s="89"/>
      <c r="AG965" s="91"/>
      <c r="AH965" s="48"/>
      <c r="AI965" s="39"/>
      <c r="AK965" s="41"/>
    </row>
    <row r="966" spans="1:37" ht="21">
      <c r="A966" s="32" t="s">
        <v>1218</v>
      </c>
      <c r="B966" s="131" t="s">
        <v>14</v>
      </c>
      <c r="C966" s="95" t="s">
        <v>521</v>
      </c>
      <c r="D966" s="88"/>
      <c r="E966" s="73"/>
      <c r="F966" s="73"/>
      <c r="G966" s="73"/>
      <c r="H966" s="73"/>
      <c r="I966" s="73"/>
      <c r="J966" s="73"/>
      <c r="K966" s="73"/>
      <c r="L966" s="73"/>
      <c r="M966" s="73"/>
      <c r="N966" s="73"/>
      <c r="O966" s="73"/>
      <c r="P966" s="73"/>
      <c r="Q966" s="73"/>
      <c r="R966" s="73"/>
      <c r="S966" s="73"/>
      <c r="T966" s="73"/>
      <c r="U966" s="73"/>
      <c r="V966" s="73"/>
      <c r="W966" s="73"/>
      <c r="X966" s="73"/>
      <c r="Y966" s="73"/>
      <c r="Z966" s="73"/>
      <c r="AA966" s="75"/>
      <c r="AB966" s="75"/>
      <c r="AC966" s="55"/>
      <c r="AD966" s="89"/>
      <c r="AE966" s="89"/>
      <c r="AF966" s="89"/>
      <c r="AG966" s="91"/>
      <c r="AH966" s="48"/>
      <c r="AI966" s="39"/>
      <c r="AK966" s="41"/>
    </row>
    <row r="967" spans="1:37" ht="21">
      <c r="A967" s="32" t="s">
        <v>1219</v>
      </c>
      <c r="B967" s="131" t="s">
        <v>104</v>
      </c>
      <c r="C967" s="95" t="s">
        <v>522</v>
      </c>
      <c r="D967" s="88" t="s">
        <v>81</v>
      </c>
      <c r="E967" s="73"/>
      <c r="F967" s="73"/>
      <c r="G967" s="73"/>
      <c r="H967" s="73"/>
      <c r="I967" s="73"/>
      <c r="J967" s="73"/>
      <c r="K967" s="73"/>
      <c r="L967" s="73"/>
      <c r="M967" s="73"/>
      <c r="N967" s="73"/>
      <c r="O967" s="73"/>
      <c r="P967" s="73"/>
      <c r="Q967" s="73"/>
      <c r="R967" s="73"/>
      <c r="S967" s="73"/>
      <c r="T967" s="73"/>
      <c r="U967" s="73"/>
      <c r="V967" s="73"/>
      <c r="W967" s="73"/>
      <c r="X967" s="73"/>
      <c r="Y967" s="73"/>
      <c r="Z967" s="73"/>
      <c r="AA967" s="75"/>
      <c r="AB967" s="75"/>
      <c r="AC967" s="55"/>
      <c r="AD967" s="89"/>
      <c r="AE967" s="89"/>
      <c r="AF967" s="89"/>
      <c r="AG967" s="57"/>
      <c r="AH967" s="58"/>
      <c r="AI967" s="39"/>
      <c r="AK967" s="41"/>
    </row>
    <row r="968" spans="1:37" ht="21">
      <c r="A968" s="32" t="s">
        <v>1220</v>
      </c>
      <c r="B968" s="131" t="s">
        <v>24</v>
      </c>
      <c r="C968" s="95" t="s">
        <v>523</v>
      </c>
      <c r="D968" s="88" t="s">
        <v>81</v>
      </c>
      <c r="E968" s="73"/>
      <c r="F968" s="73"/>
      <c r="G968" s="73"/>
      <c r="H968" s="73"/>
      <c r="I968" s="73"/>
      <c r="J968" s="73"/>
      <c r="K968" s="73"/>
      <c r="L968" s="73"/>
      <c r="M968" s="73"/>
      <c r="N968" s="73"/>
      <c r="O968" s="73"/>
      <c r="P968" s="73"/>
      <c r="Q968" s="73"/>
      <c r="R968" s="73"/>
      <c r="S968" s="73"/>
      <c r="T968" s="73"/>
      <c r="U968" s="73"/>
      <c r="V968" s="73"/>
      <c r="W968" s="73"/>
      <c r="X968" s="73"/>
      <c r="Y968" s="73"/>
      <c r="Z968" s="73"/>
      <c r="AA968" s="75"/>
      <c r="AB968" s="75"/>
      <c r="AC968" s="55"/>
      <c r="AD968" s="89"/>
      <c r="AE968" s="89"/>
      <c r="AF968" s="89"/>
      <c r="AG968" s="57"/>
      <c r="AH968" s="58"/>
      <c r="AI968" s="39"/>
      <c r="AK968" s="41"/>
    </row>
    <row r="969" spans="1:37" ht="21">
      <c r="A969" s="32" t="s">
        <v>1221</v>
      </c>
      <c r="B969" s="94" t="s">
        <v>25</v>
      </c>
      <c r="C969" s="95" t="s">
        <v>524</v>
      </c>
      <c r="D969" s="88"/>
      <c r="E969" s="73"/>
      <c r="F969" s="73"/>
      <c r="G969" s="73"/>
      <c r="H969" s="73"/>
      <c r="I969" s="73"/>
      <c r="J969" s="73"/>
      <c r="K969" s="73"/>
      <c r="L969" s="73"/>
      <c r="M969" s="73"/>
      <c r="N969" s="73"/>
      <c r="O969" s="73"/>
      <c r="P969" s="73"/>
      <c r="Q969" s="73"/>
      <c r="R969" s="73"/>
      <c r="S969" s="73"/>
      <c r="T969" s="73"/>
      <c r="U969" s="73"/>
      <c r="V969" s="73"/>
      <c r="W969" s="73"/>
      <c r="X969" s="73"/>
      <c r="Y969" s="73"/>
      <c r="Z969" s="73"/>
      <c r="AA969" s="75"/>
      <c r="AB969" s="75"/>
      <c r="AC969" s="55"/>
      <c r="AD969" s="89"/>
      <c r="AE969" s="89"/>
      <c r="AF969" s="89"/>
      <c r="AG969" s="91"/>
      <c r="AH969" s="48"/>
      <c r="AI969" s="39"/>
      <c r="AK969" s="41"/>
    </row>
    <row r="970" spans="1:37" ht="21">
      <c r="A970" s="32" t="s">
        <v>1222</v>
      </c>
      <c r="B970" s="92" t="s">
        <v>525</v>
      </c>
      <c r="C970" s="93" t="s">
        <v>526</v>
      </c>
      <c r="D970" s="88" t="s">
        <v>81</v>
      </c>
      <c r="E970" s="73"/>
      <c r="F970" s="73"/>
      <c r="G970" s="73"/>
      <c r="H970" s="73"/>
      <c r="I970" s="73"/>
      <c r="J970" s="73"/>
      <c r="K970" s="73"/>
      <c r="L970" s="73"/>
      <c r="M970" s="73"/>
      <c r="N970" s="73"/>
      <c r="O970" s="73"/>
      <c r="P970" s="73"/>
      <c r="Q970" s="73"/>
      <c r="R970" s="73"/>
      <c r="S970" s="73"/>
      <c r="T970" s="73"/>
      <c r="U970" s="73"/>
      <c r="V970" s="73"/>
      <c r="W970" s="73"/>
      <c r="X970" s="73"/>
      <c r="Y970" s="73"/>
      <c r="Z970" s="73"/>
      <c r="AA970" s="75"/>
      <c r="AB970" s="75"/>
      <c r="AC970" s="55"/>
      <c r="AD970" s="89"/>
      <c r="AE970" s="89"/>
      <c r="AF970" s="89"/>
      <c r="AG970" s="57"/>
      <c r="AH970" s="58"/>
      <c r="AI970" s="39"/>
      <c r="AK970" s="41"/>
    </row>
    <row r="971" spans="1:37" ht="21">
      <c r="A971" s="32" t="s">
        <v>1223</v>
      </c>
      <c r="B971" s="94" t="s">
        <v>60</v>
      </c>
      <c r="C971" s="95" t="s">
        <v>536</v>
      </c>
      <c r="D971" s="88"/>
      <c r="E971" s="73"/>
      <c r="F971" s="73"/>
      <c r="G971" s="73"/>
      <c r="H971" s="73"/>
      <c r="I971" s="73"/>
      <c r="J971" s="73"/>
      <c r="K971" s="73"/>
      <c r="L971" s="73"/>
      <c r="M971" s="73"/>
      <c r="N971" s="73"/>
      <c r="O971" s="73"/>
      <c r="P971" s="73"/>
      <c r="Q971" s="73"/>
      <c r="R971" s="73"/>
      <c r="S971" s="73"/>
      <c r="T971" s="73"/>
      <c r="U971" s="73"/>
      <c r="V971" s="73"/>
      <c r="W971" s="73"/>
      <c r="X971" s="73"/>
      <c r="Y971" s="73"/>
      <c r="Z971" s="73"/>
      <c r="AA971" s="75"/>
      <c r="AB971" s="75"/>
      <c r="AC971" s="55"/>
      <c r="AD971" s="89"/>
      <c r="AE971" s="89"/>
      <c r="AF971" s="89"/>
      <c r="AG971" s="91"/>
      <c r="AH971" s="48"/>
      <c r="AI971" s="39"/>
      <c r="AK971" s="41"/>
    </row>
    <row r="972" spans="1:37" ht="21">
      <c r="A972" s="32" t="s">
        <v>1224</v>
      </c>
      <c r="B972" s="92" t="s">
        <v>525</v>
      </c>
      <c r="C972" s="93" t="s">
        <v>528</v>
      </c>
      <c r="D972" s="88" t="s">
        <v>81</v>
      </c>
      <c r="E972" s="73"/>
      <c r="F972" s="73"/>
      <c r="G972" s="73"/>
      <c r="H972" s="73"/>
      <c r="I972" s="73"/>
      <c r="J972" s="73"/>
      <c r="K972" s="73"/>
      <c r="L972" s="73"/>
      <c r="M972" s="73"/>
      <c r="N972" s="73"/>
      <c r="O972" s="73"/>
      <c r="P972" s="73"/>
      <c r="Q972" s="73"/>
      <c r="R972" s="73"/>
      <c r="S972" s="73"/>
      <c r="T972" s="73"/>
      <c r="U972" s="73"/>
      <c r="V972" s="73"/>
      <c r="W972" s="73"/>
      <c r="X972" s="73"/>
      <c r="Y972" s="73"/>
      <c r="Z972" s="73"/>
      <c r="AA972" s="75"/>
      <c r="AB972" s="75"/>
      <c r="AC972" s="55"/>
      <c r="AD972" s="89"/>
      <c r="AE972" s="89"/>
      <c r="AF972" s="89"/>
      <c r="AG972" s="57"/>
      <c r="AH972" s="58"/>
      <c r="AI972" s="39"/>
      <c r="AK972" s="41"/>
    </row>
    <row r="973" spans="1:37" ht="21">
      <c r="A973" s="32" t="s">
        <v>1225</v>
      </c>
      <c r="B973" s="92" t="s">
        <v>529</v>
      </c>
      <c r="C973" s="93" t="s">
        <v>530</v>
      </c>
      <c r="D973" s="88" t="s">
        <v>81</v>
      </c>
      <c r="E973" s="73"/>
      <c r="F973" s="73"/>
      <c r="G973" s="73"/>
      <c r="H973" s="73"/>
      <c r="I973" s="73"/>
      <c r="J973" s="73"/>
      <c r="K973" s="73"/>
      <c r="L973" s="73"/>
      <c r="M973" s="73"/>
      <c r="N973" s="73"/>
      <c r="O973" s="73"/>
      <c r="P973" s="73"/>
      <c r="Q973" s="73"/>
      <c r="R973" s="73"/>
      <c r="S973" s="73"/>
      <c r="T973" s="73"/>
      <c r="U973" s="73"/>
      <c r="V973" s="73"/>
      <c r="W973" s="73"/>
      <c r="X973" s="73"/>
      <c r="Y973" s="73"/>
      <c r="Z973" s="73"/>
      <c r="AA973" s="75"/>
      <c r="AB973" s="75"/>
      <c r="AC973" s="55"/>
      <c r="AD973" s="89"/>
      <c r="AE973" s="89"/>
      <c r="AF973" s="89"/>
      <c r="AG973" s="57"/>
      <c r="AH973" s="58"/>
      <c r="AI973" s="39"/>
      <c r="AK973" s="41"/>
    </row>
    <row r="974" spans="1:37" ht="21">
      <c r="A974" s="32" t="s">
        <v>1226</v>
      </c>
      <c r="B974" s="94" t="s">
        <v>62</v>
      </c>
      <c r="C974" s="95" t="s">
        <v>551</v>
      </c>
      <c r="D974" s="88"/>
      <c r="E974" s="73"/>
      <c r="F974" s="73"/>
      <c r="G974" s="73"/>
      <c r="H974" s="73"/>
      <c r="I974" s="73"/>
      <c r="J974" s="73"/>
      <c r="K974" s="73"/>
      <c r="L974" s="73"/>
      <c r="M974" s="73"/>
      <c r="N974" s="73"/>
      <c r="O974" s="73"/>
      <c r="P974" s="73"/>
      <c r="Q974" s="73"/>
      <c r="R974" s="73"/>
      <c r="S974" s="73"/>
      <c r="T974" s="73"/>
      <c r="U974" s="73"/>
      <c r="V974" s="73"/>
      <c r="W974" s="73"/>
      <c r="X974" s="73"/>
      <c r="Y974" s="73"/>
      <c r="Z974" s="73"/>
      <c r="AA974" s="75"/>
      <c r="AB974" s="75"/>
      <c r="AC974" s="55"/>
      <c r="AD974" s="89"/>
      <c r="AE974" s="89"/>
      <c r="AF974" s="89"/>
      <c r="AG974" s="91"/>
      <c r="AH974" s="48"/>
      <c r="AI974" s="39"/>
      <c r="AK974" s="41"/>
    </row>
    <row r="975" spans="1:37" ht="21">
      <c r="A975" s="32" t="s">
        <v>1227</v>
      </c>
      <c r="B975" s="92" t="s">
        <v>525</v>
      </c>
      <c r="C975" s="93" t="s">
        <v>532</v>
      </c>
      <c r="D975" s="88" t="s">
        <v>81</v>
      </c>
      <c r="E975" s="73"/>
      <c r="F975" s="73"/>
      <c r="G975" s="73"/>
      <c r="H975" s="73"/>
      <c r="I975" s="73"/>
      <c r="J975" s="73"/>
      <c r="K975" s="73"/>
      <c r="L975" s="73"/>
      <c r="M975" s="73"/>
      <c r="N975" s="73"/>
      <c r="O975" s="73"/>
      <c r="P975" s="73"/>
      <c r="Q975" s="73"/>
      <c r="R975" s="73"/>
      <c r="S975" s="73"/>
      <c r="T975" s="73"/>
      <c r="U975" s="73"/>
      <c r="V975" s="73"/>
      <c r="W975" s="73"/>
      <c r="X975" s="73"/>
      <c r="Y975" s="73"/>
      <c r="Z975" s="73"/>
      <c r="AA975" s="75"/>
      <c r="AB975" s="75"/>
      <c r="AC975" s="55"/>
      <c r="AD975" s="89"/>
      <c r="AE975" s="89"/>
      <c r="AF975" s="89"/>
      <c r="AG975" s="57"/>
      <c r="AH975" s="58"/>
      <c r="AI975" s="39"/>
      <c r="AK975" s="41"/>
    </row>
    <row r="976" spans="1:37" ht="21">
      <c r="A976" s="32" t="s">
        <v>1228</v>
      </c>
      <c r="B976" s="92" t="s">
        <v>529</v>
      </c>
      <c r="C976" s="93" t="s">
        <v>552</v>
      </c>
      <c r="D976" s="88" t="s">
        <v>81</v>
      </c>
      <c r="E976" s="73"/>
      <c r="F976" s="73"/>
      <c r="G976" s="73"/>
      <c r="H976" s="73"/>
      <c r="I976" s="73"/>
      <c r="J976" s="73"/>
      <c r="K976" s="73"/>
      <c r="L976" s="73"/>
      <c r="M976" s="73"/>
      <c r="N976" s="73"/>
      <c r="O976" s="73"/>
      <c r="P976" s="73"/>
      <c r="Q976" s="73"/>
      <c r="R976" s="73"/>
      <c r="S976" s="73"/>
      <c r="T976" s="73"/>
      <c r="U976" s="73"/>
      <c r="V976" s="73"/>
      <c r="W976" s="73"/>
      <c r="X976" s="73"/>
      <c r="Y976" s="73"/>
      <c r="Z976" s="73"/>
      <c r="AA976" s="75"/>
      <c r="AB976" s="75"/>
      <c r="AC976" s="55"/>
      <c r="AD976" s="89"/>
      <c r="AE976" s="89"/>
      <c r="AF976" s="89"/>
      <c r="AG976" s="57"/>
      <c r="AH976" s="58"/>
      <c r="AI976" s="39"/>
      <c r="AK976" s="41"/>
    </row>
    <row r="977" spans="1:37" ht="21">
      <c r="A977" s="32" t="s">
        <v>1229</v>
      </c>
      <c r="B977" s="94" t="s">
        <v>15</v>
      </c>
      <c r="C977" s="95" t="s">
        <v>571</v>
      </c>
      <c r="D977" s="88"/>
      <c r="E977" s="73"/>
      <c r="F977" s="73"/>
      <c r="G977" s="73"/>
      <c r="H977" s="73"/>
      <c r="I977" s="73"/>
      <c r="J977" s="73"/>
      <c r="K977" s="73"/>
      <c r="L977" s="73"/>
      <c r="M977" s="73"/>
      <c r="N977" s="73"/>
      <c r="O977" s="73"/>
      <c r="P977" s="73"/>
      <c r="Q977" s="73"/>
      <c r="R977" s="73"/>
      <c r="S977" s="73"/>
      <c r="T977" s="73"/>
      <c r="U977" s="73"/>
      <c r="V977" s="73"/>
      <c r="W977" s="73"/>
      <c r="X977" s="73"/>
      <c r="Y977" s="73"/>
      <c r="Z977" s="73"/>
      <c r="AA977" s="75"/>
      <c r="AB977" s="75"/>
      <c r="AC977" s="55"/>
      <c r="AD977" s="89"/>
      <c r="AE977" s="89"/>
      <c r="AF977" s="89"/>
      <c r="AG977" s="91"/>
      <c r="AH977" s="48"/>
      <c r="AI977" s="39"/>
      <c r="AK977" s="41"/>
    </row>
    <row r="978" spans="1:37" ht="21">
      <c r="A978" s="32" t="s">
        <v>1230</v>
      </c>
      <c r="B978" s="131" t="s">
        <v>104</v>
      </c>
      <c r="C978" s="95" t="s">
        <v>572</v>
      </c>
      <c r="D978" s="88" t="s">
        <v>81</v>
      </c>
      <c r="E978" s="73"/>
      <c r="F978" s="73"/>
      <c r="G978" s="73"/>
      <c r="H978" s="73"/>
      <c r="I978" s="73"/>
      <c r="J978" s="73"/>
      <c r="K978" s="73"/>
      <c r="L978" s="73"/>
      <c r="M978" s="73"/>
      <c r="N978" s="73"/>
      <c r="O978" s="73"/>
      <c r="P978" s="73"/>
      <c r="Q978" s="73"/>
      <c r="R978" s="73"/>
      <c r="S978" s="73"/>
      <c r="T978" s="73"/>
      <c r="U978" s="73"/>
      <c r="V978" s="73"/>
      <c r="W978" s="73"/>
      <c r="X978" s="73"/>
      <c r="Y978" s="73"/>
      <c r="Z978" s="73"/>
      <c r="AA978" s="75"/>
      <c r="AB978" s="75"/>
      <c r="AC978" s="55"/>
      <c r="AD978" s="89"/>
      <c r="AE978" s="89"/>
      <c r="AF978" s="89"/>
      <c r="AG978" s="57"/>
      <c r="AH978" s="58"/>
      <c r="AI978" s="39"/>
      <c r="AK978" s="41"/>
    </row>
    <row r="979" spans="1:37" ht="21">
      <c r="A979" s="32" t="s">
        <v>1231</v>
      </c>
      <c r="B979" s="131" t="s">
        <v>24</v>
      </c>
      <c r="C979" s="95" t="s">
        <v>554</v>
      </c>
      <c r="D979" s="88" t="s">
        <v>81</v>
      </c>
      <c r="E979" s="73"/>
      <c r="F979" s="73"/>
      <c r="G979" s="73"/>
      <c r="H979" s="73"/>
      <c r="I979" s="73"/>
      <c r="J979" s="73"/>
      <c r="K979" s="73"/>
      <c r="L979" s="73"/>
      <c r="M979" s="73"/>
      <c r="N979" s="73"/>
      <c r="O979" s="73"/>
      <c r="P979" s="73"/>
      <c r="Q979" s="73"/>
      <c r="R979" s="73"/>
      <c r="S979" s="73"/>
      <c r="T979" s="73"/>
      <c r="U979" s="73"/>
      <c r="V979" s="73"/>
      <c r="W979" s="73"/>
      <c r="X979" s="73"/>
      <c r="Y979" s="73"/>
      <c r="Z979" s="73"/>
      <c r="AA979" s="75"/>
      <c r="AB979" s="75"/>
      <c r="AC979" s="55"/>
      <c r="AD979" s="89"/>
      <c r="AE979" s="89"/>
      <c r="AF979" s="89"/>
      <c r="AG979" s="57"/>
      <c r="AH979" s="58"/>
      <c r="AI979" s="39"/>
      <c r="AK979" s="41"/>
    </row>
    <row r="980" spans="1:37" ht="21">
      <c r="A980" s="32" t="s">
        <v>1232</v>
      </c>
      <c r="B980" s="94" t="s">
        <v>25</v>
      </c>
      <c r="C980" s="95" t="s">
        <v>534</v>
      </c>
      <c r="D980" s="88"/>
      <c r="E980" s="73"/>
      <c r="F980" s="73"/>
      <c r="G980" s="73"/>
      <c r="H980" s="73"/>
      <c r="I980" s="73"/>
      <c r="J980" s="73"/>
      <c r="K980" s="73"/>
      <c r="L980" s="73"/>
      <c r="M980" s="73"/>
      <c r="N980" s="73"/>
      <c r="O980" s="73"/>
      <c r="P980" s="73"/>
      <c r="Q980" s="73"/>
      <c r="R980" s="73"/>
      <c r="S980" s="73"/>
      <c r="T980" s="73"/>
      <c r="U980" s="73"/>
      <c r="V980" s="73"/>
      <c r="W980" s="73"/>
      <c r="X980" s="73"/>
      <c r="Y980" s="73"/>
      <c r="Z980" s="73"/>
      <c r="AA980" s="75"/>
      <c r="AB980" s="75"/>
      <c r="AC980" s="55"/>
      <c r="AD980" s="89"/>
      <c r="AE980" s="89"/>
      <c r="AF980" s="89"/>
      <c r="AG980" s="91"/>
      <c r="AH980" s="48"/>
      <c r="AI980" s="39"/>
      <c r="AK980" s="41"/>
    </row>
    <row r="981" spans="1:37" ht="21">
      <c r="A981" s="32" t="s">
        <v>1233</v>
      </c>
      <c r="B981" s="92" t="s">
        <v>525</v>
      </c>
      <c r="C981" s="93" t="s">
        <v>526</v>
      </c>
      <c r="D981" s="88" t="s">
        <v>81</v>
      </c>
      <c r="E981" s="73"/>
      <c r="F981" s="73"/>
      <c r="G981" s="73"/>
      <c r="H981" s="73"/>
      <c r="I981" s="73"/>
      <c r="J981" s="73"/>
      <c r="K981" s="73"/>
      <c r="L981" s="73"/>
      <c r="M981" s="73"/>
      <c r="N981" s="73"/>
      <c r="O981" s="73"/>
      <c r="P981" s="73"/>
      <c r="Q981" s="73"/>
      <c r="R981" s="73"/>
      <c r="S981" s="73"/>
      <c r="T981" s="73"/>
      <c r="U981" s="73"/>
      <c r="V981" s="73"/>
      <c r="W981" s="73"/>
      <c r="X981" s="73"/>
      <c r="Y981" s="73"/>
      <c r="Z981" s="73"/>
      <c r="AA981" s="75"/>
      <c r="AB981" s="75"/>
      <c r="AC981" s="55"/>
      <c r="AD981" s="89"/>
      <c r="AE981" s="89"/>
      <c r="AF981" s="89"/>
      <c r="AG981" s="57"/>
      <c r="AH981" s="58"/>
      <c r="AI981" s="39"/>
      <c r="AK981" s="41"/>
    </row>
    <row r="982" spans="1:37" ht="21">
      <c r="A982" s="32" t="s">
        <v>1234</v>
      </c>
      <c r="B982" s="92" t="s">
        <v>529</v>
      </c>
      <c r="C982" s="93" t="s">
        <v>535</v>
      </c>
      <c r="D982" s="88" t="s">
        <v>81</v>
      </c>
      <c r="E982" s="73"/>
      <c r="F982" s="73"/>
      <c r="G982" s="73"/>
      <c r="H982" s="73"/>
      <c r="I982" s="73"/>
      <c r="J982" s="73"/>
      <c r="K982" s="73"/>
      <c r="L982" s="73"/>
      <c r="M982" s="73"/>
      <c r="N982" s="73"/>
      <c r="O982" s="73"/>
      <c r="P982" s="73"/>
      <c r="Q982" s="73"/>
      <c r="R982" s="73"/>
      <c r="S982" s="73"/>
      <c r="T982" s="73"/>
      <c r="U982" s="73"/>
      <c r="V982" s="73"/>
      <c r="W982" s="73"/>
      <c r="X982" s="73"/>
      <c r="Y982" s="73"/>
      <c r="Z982" s="73"/>
      <c r="AA982" s="75"/>
      <c r="AB982" s="75"/>
      <c r="AC982" s="55"/>
      <c r="AD982" s="89"/>
      <c r="AE982" s="89"/>
      <c r="AF982" s="89"/>
      <c r="AG982" s="57"/>
      <c r="AH982" s="58"/>
      <c r="AI982" s="39"/>
      <c r="AK982" s="41"/>
    </row>
    <row r="983" spans="1:37" ht="21">
      <c r="A983" s="32" t="s">
        <v>1235</v>
      </c>
      <c r="B983" s="94" t="s">
        <v>60</v>
      </c>
      <c r="C983" s="95" t="s">
        <v>536</v>
      </c>
      <c r="D983" s="88"/>
      <c r="E983" s="73"/>
      <c r="F983" s="73"/>
      <c r="G983" s="73"/>
      <c r="H983" s="73"/>
      <c r="I983" s="73"/>
      <c r="J983" s="73"/>
      <c r="K983" s="73"/>
      <c r="L983" s="73"/>
      <c r="M983" s="73"/>
      <c r="N983" s="73"/>
      <c r="O983" s="73"/>
      <c r="P983" s="73"/>
      <c r="Q983" s="73"/>
      <c r="R983" s="73"/>
      <c r="S983" s="73"/>
      <c r="T983" s="73"/>
      <c r="U983" s="73"/>
      <c r="V983" s="73"/>
      <c r="W983" s="73"/>
      <c r="X983" s="73"/>
      <c r="Y983" s="73"/>
      <c r="Z983" s="73"/>
      <c r="AA983" s="75"/>
      <c r="AB983" s="75"/>
      <c r="AC983" s="55"/>
      <c r="AD983" s="89"/>
      <c r="AE983" s="89"/>
      <c r="AF983" s="89"/>
      <c r="AG983" s="91"/>
      <c r="AH983" s="48"/>
      <c r="AI983" s="39"/>
      <c r="AK983" s="41"/>
    </row>
    <row r="984" spans="1:37" ht="21">
      <c r="A984" s="32" t="s">
        <v>1236</v>
      </c>
      <c r="B984" s="92" t="s">
        <v>525</v>
      </c>
      <c r="C984" s="93" t="s">
        <v>528</v>
      </c>
      <c r="D984" s="88" t="s">
        <v>81</v>
      </c>
      <c r="E984" s="73"/>
      <c r="F984" s="73"/>
      <c r="G984" s="73"/>
      <c r="H984" s="73"/>
      <c r="I984" s="73"/>
      <c r="J984" s="73"/>
      <c r="K984" s="73"/>
      <c r="L984" s="73"/>
      <c r="M984" s="73"/>
      <c r="N984" s="73"/>
      <c r="O984" s="73"/>
      <c r="P984" s="73"/>
      <c r="Q984" s="73"/>
      <c r="R984" s="73"/>
      <c r="S984" s="73"/>
      <c r="T984" s="73"/>
      <c r="U984" s="73"/>
      <c r="V984" s="73"/>
      <c r="W984" s="73"/>
      <c r="X984" s="73"/>
      <c r="Y984" s="73"/>
      <c r="Z984" s="73"/>
      <c r="AA984" s="75"/>
      <c r="AB984" s="75"/>
      <c r="AC984" s="55"/>
      <c r="AD984" s="89"/>
      <c r="AE984" s="89"/>
      <c r="AF984" s="89"/>
      <c r="AG984" s="57"/>
      <c r="AH984" s="58"/>
      <c r="AI984" s="39"/>
      <c r="AK984" s="41"/>
    </row>
    <row r="985" spans="1:37" ht="21">
      <c r="A985" s="32" t="s">
        <v>1237</v>
      </c>
      <c r="B985" s="92" t="s">
        <v>529</v>
      </c>
      <c r="C985" s="93" t="s">
        <v>555</v>
      </c>
      <c r="D985" s="88" t="s">
        <v>81</v>
      </c>
      <c r="E985" s="73"/>
      <c r="F985" s="73"/>
      <c r="G985" s="73"/>
      <c r="H985" s="73"/>
      <c r="I985" s="73"/>
      <c r="J985" s="73"/>
      <c r="K985" s="73"/>
      <c r="L985" s="73"/>
      <c r="M985" s="73"/>
      <c r="N985" s="73"/>
      <c r="O985" s="73"/>
      <c r="P985" s="73"/>
      <c r="Q985" s="73"/>
      <c r="R985" s="73"/>
      <c r="S985" s="73"/>
      <c r="T985" s="73"/>
      <c r="U985" s="73"/>
      <c r="V985" s="73"/>
      <c r="W985" s="73"/>
      <c r="X985" s="73"/>
      <c r="Y985" s="73"/>
      <c r="Z985" s="73"/>
      <c r="AA985" s="75"/>
      <c r="AB985" s="75"/>
      <c r="AC985" s="55"/>
      <c r="AD985" s="89"/>
      <c r="AE985" s="89"/>
      <c r="AF985" s="89"/>
      <c r="AG985" s="57"/>
      <c r="AH985" s="58"/>
      <c r="AI985" s="39"/>
      <c r="AK985" s="41"/>
    </row>
    <row r="986" spans="1:37" ht="21">
      <c r="A986" s="32" t="s">
        <v>1238</v>
      </c>
      <c r="B986" s="92" t="s">
        <v>538</v>
      </c>
      <c r="C986" s="93" t="s">
        <v>539</v>
      </c>
      <c r="D986" s="88" t="s">
        <v>81</v>
      </c>
      <c r="E986" s="73"/>
      <c r="F986" s="73"/>
      <c r="G986" s="73"/>
      <c r="H986" s="73"/>
      <c r="I986" s="73"/>
      <c r="J986" s="73"/>
      <c r="K986" s="73"/>
      <c r="L986" s="73"/>
      <c r="M986" s="73"/>
      <c r="N986" s="73"/>
      <c r="O986" s="73"/>
      <c r="P986" s="73"/>
      <c r="Q986" s="73"/>
      <c r="R986" s="73"/>
      <c r="S986" s="73"/>
      <c r="T986" s="73"/>
      <c r="U986" s="73"/>
      <c r="V986" s="73"/>
      <c r="W986" s="73"/>
      <c r="X986" s="73"/>
      <c r="Y986" s="73"/>
      <c r="Z986" s="73"/>
      <c r="AA986" s="75"/>
      <c r="AB986" s="75"/>
      <c r="AC986" s="55"/>
      <c r="AD986" s="89"/>
      <c r="AE986" s="89"/>
      <c r="AF986" s="89"/>
      <c r="AG986" s="57"/>
      <c r="AH986" s="58"/>
      <c r="AI986" s="39"/>
      <c r="AK986" s="41"/>
    </row>
    <row r="987" spans="1:37" ht="21">
      <c r="A987" s="32" t="s">
        <v>1239</v>
      </c>
      <c r="B987" s="94" t="s">
        <v>496</v>
      </c>
      <c r="C987" s="95" t="s">
        <v>531</v>
      </c>
      <c r="D987" s="88"/>
      <c r="E987" s="73"/>
      <c r="F987" s="73"/>
      <c r="G987" s="73"/>
      <c r="H987" s="73"/>
      <c r="I987" s="73"/>
      <c r="J987" s="73"/>
      <c r="K987" s="73"/>
      <c r="L987" s="73"/>
      <c r="M987" s="73"/>
      <c r="N987" s="73"/>
      <c r="O987" s="73"/>
      <c r="P987" s="73"/>
      <c r="Q987" s="73"/>
      <c r="R987" s="73"/>
      <c r="S987" s="73"/>
      <c r="T987" s="73"/>
      <c r="U987" s="73"/>
      <c r="V987" s="73"/>
      <c r="W987" s="73"/>
      <c r="X987" s="73"/>
      <c r="Y987" s="73"/>
      <c r="Z987" s="73"/>
      <c r="AA987" s="75"/>
      <c r="AB987" s="75"/>
      <c r="AC987" s="55"/>
      <c r="AD987" s="89"/>
      <c r="AE987" s="89"/>
      <c r="AF987" s="89"/>
      <c r="AG987" s="91"/>
      <c r="AH987" s="48"/>
      <c r="AI987" s="39"/>
      <c r="AK987" s="41"/>
    </row>
    <row r="988" spans="1:37" ht="21">
      <c r="A988" s="32" t="s">
        <v>1240</v>
      </c>
      <c r="B988" s="92" t="s">
        <v>525</v>
      </c>
      <c r="C988" s="93" t="s">
        <v>532</v>
      </c>
      <c r="D988" s="88" t="s">
        <v>81</v>
      </c>
      <c r="E988" s="73"/>
      <c r="F988" s="73"/>
      <c r="G988" s="73"/>
      <c r="H988" s="73"/>
      <c r="I988" s="73"/>
      <c r="J988" s="73"/>
      <c r="K988" s="73"/>
      <c r="L988" s="73"/>
      <c r="M988" s="73"/>
      <c r="N988" s="73"/>
      <c r="O988" s="73"/>
      <c r="P988" s="73"/>
      <c r="Q988" s="73"/>
      <c r="R988" s="73"/>
      <c r="S988" s="73"/>
      <c r="T988" s="73"/>
      <c r="U988" s="73"/>
      <c r="V988" s="73"/>
      <c r="W988" s="73"/>
      <c r="X988" s="73"/>
      <c r="Y988" s="73"/>
      <c r="Z988" s="73"/>
      <c r="AA988" s="75"/>
      <c r="AB988" s="75"/>
      <c r="AC988" s="55"/>
      <c r="AD988" s="89"/>
      <c r="AE988" s="89"/>
      <c r="AF988" s="89"/>
      <c r="AG988" s="57"/>
      <c r="AH988" s="58"/>
      <c r="AI988" s="39"/>
      <c r="AK988" s="41"/>
    </row>
    <row r="989" spans="1:37" ht="21">
      <c r="A989" s="32" t="s">
        <v>1241</v>
      </c>
      <c r="B989" s="92" t="s">
        <v>529</v>
      </c>
      <c r="C989" s="93" t="s">
        <v>540</v>
      </c>
      <c r="D989" s="88" t="s">
        <v>81</v>
      </c>
      <c r="E989" s="73"/>
      <c r="F989" s="73"/>
      <c r="G989" s="73"/>
      <c r="H989" s="73"/>
      <c r="I989" s="73"/>
      <c r="J989" s="73"/>
      <c r="K989" s="73"/>
      <c r="L989" s="73"/>
      <c r="M989" s="73"/>
      <c r="N989" s="73"/>
      <c r="O989" s="73"/>
      <c r="P989" s="73"/>
      <c r="Q989" s="73"/>
      <c r="R989" s="73"/>
      <c r="S989" s="73"/>
      <c r="T989" s="73"/>
      <c r="U989" s="73"/>
      <c r="V989" s="73"/>
      <c r="W989" s="73"/>
      <c r="X989" s="73"/>
      <c r="Y989" s="73"/>
      <c r="Z989" s="73"/>
      <c r="AA989" s="75"/>
      <c r="AB989" s="75"/>
      <c r="AC989" s="55"/>
      <c r="AD989" s="89"/>
      <c r="AE989" s="89"/>
      <c r="AF989" s="89"/>
      <c r="AG989" s="57"/>
      <c r="AH989" s="58"/>
      <c r="AI989" s="39"/>
      <c r="AK989" s="41"/>
    </row>
    <row r="990" spans="1:37" ht="21">
      <c r="A990" s="32" t="s">
        <v>1242</v>
      </c>
      <c r="B990" s="92" t="s">
        <v>538</v>
      </c>
      <c r="C990" s="93" t="s">
        <v>541</v>
      </c>
      <c r="D990" s="88" t="s">
        <v>81</v>
      </c>
      <c r="E990" s="73"/>
      <c r="F990" s="73"/>
      <c r="G990" s="73"/>
      <c r="H990" s="73"/>
      <c r="I990" s="73"/>
      <c r="J990" s="73"/>
      <c r="K990" s="73"/>
      <c r="L990" s="73"/>
      <c r="M990" s="73"/>
      <c r="N990" s="73"/>
      <c r="O990" s="73"/>
      <c r="P990" s="73"/>
      <c r="Q990" s="73"/>
      <c r="R990" s="73"/>
      <c r="S990" s="73"/>
      <c r="T990" s="73"/>
      <c r="U990" s="73"/>
      <c r="V990" s="73"/>
      <c r="W990" s="73"/>
      <c r="X990" s="73"/>
      <c r="Y990" s="73"/>
      <c r="Z990" s="73"/>
      <c r="AA990" s="75"/>
      <c r="AB990" s="75"/>
      <c r="AC990" s="55"/>
      <c r="AD990" s="89"/>
      <c r="AE990" s="89"/>
      <c r="AF990" s="89"/>
      <c r="AG990" s="57"/>
      <c r="AH990" s="58"/>
      <c r="AI990" s="39"/>
      <c r="AK990" s="41"/>
    </row>
    <row r="991" spans="1:37" ht="21">
      <c r="A991" s="32" t="s">
        <v>1243</v>
      </c>
      <c r="B991" s="94" t="s">
        <v>40</v>
      </c>
      <c r="C991" s="95" t="s">
        <v>573</v>
      </c>
      <c r="D991" s="88"/>
      <c r="E991" s="73"/>
      <c r="F991" s="73"/>
      <c r="G991" s="73"/>
      <c r="H991" s="73"/>
      <c r="I991" s="73"/>
      <c r="J991" s="73"/>
      <c r="K991" s="73"/>
      <c r="L991" s="73"/>
      <c r="M991" s="73"/>
      <c r="N991" s="73"/>
      <c r="O991" s="73"/>
      <c r="P991" s="73"/>
      <c r="Q991" s="73"/>
      <c r="R991" s="73"/>
      <c r="S991" s="73"/>
      <c r="T991" s="73"/>
      <c r="U991" s="73"/>
      <c r="V991" s="73"/>
      <c r="W991" s="73"/>
      <c r="X991" s="73"/>
      <c r="Y991" s="73"/>
      <c r="Z991" s="73"/>
      <c r="AA991" s="75"/>
      <c r="AB991" s="75"/>
      <c r="AC991" s="55"/>
      <c r="AD991" s="89"/>
      <c r="AE991" s="89"/>
      <c r="AF991" s="89"/>
      <c r="AG991" s="91"/>
      <c r="AH991" s="48"/>
      <c r="AI991" s="39"/>
      <c r="AK991" s="41"/>
    </row>
    <row r="992" spans="1:37" ht="21">
      <c r="A992" s="32" t="s">
        <v>1244</v>
      </c>
      <c r="B992" s="131" t="s">
        <v>104</v>
      </c>
      <c r="C992" s="95" t="s">
        <v>1914</v>
      </c>
      <c r="D992" s="88" t="s">
        <v>81</v>
      </c>
      <c r="E992" s="73"/>
      <c r="F992" s="73"/>
      <c r="G992" s="73"/>
      <c r="H992" s="73"/>
      <c r="I992" s="73"/>
      <c r="J992" s="73"/>
      <c r="K992" s="73"/>
      <c r="L992" s="73"/>
      <c r="M992" s="73"/>
      <c r="N992" s="73"/>
      <c r="O992" s="73"/>
      <c r="P992" s="73"/>
      <c r="Q992" s="73"/>
      <c r="R992" s="73"/>
      <c r="S992" s="73"/>
      <c r="T992" s="73"/>
      <c r="U992" s="73"/>
      <c r="V992" s="73"/>
      <c r="W992" s="73"/>
      <c r="X992" s="73"/>
      <c r="Y992" s="73"/>
      <c r="Z992" s="73"/>
      <c r="AA992" s="75"/>
      <c r="AB992" s="75"/>
      <c r="AC992" s="55"/>
      <c r="AD992" s="89"/>
      <c r="AE992" s="89"/>
      <c r="AF992" s="89"/>
      <c r="AG992" s="57"/>
      <c r="AH992" s="58"/>
      <c r="AI992" s="39"/>
      <c r="AK992" s="41"/>
    </row>
    <row r="993" spans="1:37" ht="21">
      <c r="A993" s="32" t="s">
        <v>1245</v>
      </c>
      <c r="B993" s="94" t="s">
        <v>48</v>
      </c>
      <c r="C993" s="95" t="s">
        <v>574</v>
      </c>
      <c r="D993" s="134"/>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6"/>
      <c r="AB993" s="136"/>
      <c r="AC993" s="55"/>
      <c r="AD993" s="89"/>
      <c r="AE993" s="89"/>
      <c r="AF993" s="89"/>
      <c r="AG993" s="91"/>
      <c r="AH993" s="48"/>
      <c r="AI993" s="39"/>
      <c r="AK993" s="41"/>
    </row>
    <row r="994" spans="1:37" ht="21">
      <c r="A994" s="32" t="s">
        <v>1246</v>
      </c>
      <c r="B994" s="131" t="s">
        <v>104</v>
      </c>
      <c r="C994" s="95" t="s">
        <v>1915</v>
      </c>
      <c r="D994" s="88" t="s">
        <v>81</v>
      </c>
      <c r="E994" s="73"/>
      <c r="F994" s="73"/>
      <c r="G994" s="73"/>
      <c r="H994" s="73"/>
      <c r="I994" s="73"/>
      <c r="J994" s="73"/>
      <c r="K994" s="73"/>
      <c r="L994" s="73"/>
      <c r="M994" s="73"/>
      <c r="N994" s="73"/>
      <c r="O994" s="73"/>
      <c r="P994" s="73"/>
      <c r="Q994" s="73"/>
      <c r="R994" s="73"/>
      <c r="S994" s="73"/>
      <c r="T994" s="73"/>
      <c r="U994" s="73"/>
      <c r="V994" s="73"/>
      <c r="W994" s="73"/>
      <c r="X994" s="73"/>
      <c r="Y994" s="73"/>
      <c r="Z994" s="73"/>
      <c r="AA994" s="75"/>
      <c r="AB994" s="75"/>
      <c r="AC994" s="55"/>
      <c r="AD994" s="89"/>
      <c r="AE994" s="89"/>
      <c r="AF994" s="89"/>
      <c r="AG994" s="57"/>
      <c r="AH994" s="58"/>
      <c r="AI994" s="39"/>
      <c r="AK994" s="41"/>
    </row>
    <row r="995" spans="1:37" ht="21">
      <c r="A995" s="32" t="s">
        <v>1247</v>
      </c>
      <c r="B995" s="94" t="s">
        <v>55</v>
      </c>
      <c r="C995" s="95" t="s">
        <v>575</v>
      </c>
      <c r="D995" s="88"/>
      <c r="E995" s="73"/>
      <c r="F995" s="73"/>
      <c r="G995" s="73"/>
      <c r="H995" s="73"/>
      <c r="I995" s="73"/>
      <c r="J995" s="73"/>
      <c r="K995" s="73"/>
      <c r="L995" s="73"/>
      <c r="M995" s="73"/>
      <c r="N995" s="73"/>
      <c r="O995" s="73"/>
      <c r="P995" s="73"/>
      <c r="Q995" s="73"/>
      <c r="R995" s="73"/>
      <c r="S995" s="73"/>
      <c r="T995" s="73"/>
      <c r="U995" s="73"/>
      <c r="V995" s="73"/>
      <c r="W995" s="73"/>
      <c r="X995" s="73"/>
      <c r="Y995" s="73"/>
      <c r="Z995" s="73"/>
      <c r="AA995" s="75"/>
      <c r="AB995" s="75"/>
      <c r="AC995" s="55"/>
      <c r="AD995" s="89"/>
      <c r="AE995" s="89"/>
      <c r="AF995" s="89"/>
      <c r="AG995" s="91"/>
      <c r="AH995" s="48"/>
      <c r="AI995" s="39"/>
      <c r="AK995" s="41"/>
    </row>
    <row r="996" spans="1:37" ht="21">
      <c r="A996" s="32" t="s">
        <v>1248</v>
      </c>
      <c r="B996" s="131" t="s">
        <v>104</v>
      </c>
      <c r="C996" s="95" t="s">
        <v>1916</v>
      </c>
      <c r="D996" s="88" t="s">
        <v>81</v>
      </c>
      <c r="E996" s="73"/>
      <c r="F996" s="73"/>
      <c r="G996" s="73"/>
      <c r="H996" s="73"/>
      <c r="I996" s="73"/>
      <c r="J996" s="73"/>
      <c r="K996" s="73"/>
      <c r="L996" s="73"/>
      <c r="M996" s="73"/>
      <c r="N996" s="73"/>
      <c r="O996" s="73"/>
      <c r="P996" s="73"/>
      <c r="Q996" s="73"/>
      <c r="R996" s="73"/>
      <c r="S996" s="73"/>
      <c r="T996" s="73"/>
      <c r="U996" s="73"/>
      <c r="V996" s="73"/>
      <c r="W996" s="73"/>
      <c r="X996" s="73"/>
      <c r="Y996" s="73"/>
      <c r="Z996" s="73"/>
      <c r="AA996" s="75"/>
      <c r="AB996" s="75"/>
      <c r="AC996" s="55"/>
      <c r="AD996" s="89"/>
      <c r="AE996" s="89"/>
      <c r="AF996" s="89"/>
      <c r="AG996" s="57"/>
      <c r="AH996" s="58"/>
      <c r="AI996" s="39"/>
      <c r="AK996" s="41"/>
    </row>
    <row r="997" spans="1:37" ht="40.5">
      <c r="A997" s="32" t="s">
        <v>576</v>
      </c>
      <c r="B997" s="86" t="s">
        <v>576</v>
      </c>
      <c r="C997" s="87" t="s">
        <v>2591</v>
      </c>
      <c r="D997" s="88"/>
      <c r="E997" s="73"/>
      <c r="F997" s="73"/>
      <c r="G997" s="73"/>
      <c r="H997" s="73"/>
      <c r="I997" s="73"/>
      <c r="J997" s="73"/>
      <c r="K997" s="73"/>
      <c r="L997" s="73"/>
      <c r="M997" s="73"/>
      <c r="N997" s="73"/>
      <c r="O997" s="73"/>
      <c r="P997" s="73"/>
      <c r="Q997" s="73"/>
      <c r="R997" s="73"/>
      <c r="S997" s="73"/>
      <c r="T997" s="73"/>
      <c r="U997" s="73"/>
      <c r="V997" s="73"/>
      <c r="W997" s="73"/>
      <c r="X997" s="73"/>
      <c r="Y997" s="73"/>
      <c r="Z997" s="73"/>
      <c r="AA997" s="75"/>
      <c r="AB997" s="75"/>
      <c r="AC997" s="55"/>
      <c r="AD997" s="89"/>
      <c r="AE997" s="89"/>
      <c r="AF997" s="89"/>
      <c r="AG997" s="91"/>
      <c r="AH997" s="48"/>
      <c r="AI997" s="39"/>
      <c r="AK997" s="41"/>
    </row>
    <row r="998" spans="1:37" ht="21">
      <c r="A998" s="32" t="s">
        <v>1249</v>
      </c>
      <c r="B998" s="94" t="s">
        <v>14</v>
      </c>
      <c r="C998" s="95" t="s">
        <v>577</v>
      </c>
      <c r="D998" s="88"/>
      <c r="E998" s="73"/>
      <c r="F998" s="73"/>
      <c r="G998" s="73"/>
      <c r="H998" s="73"/>
      <c r="I998" s="73"/>
      <c r="J998" s="73"/>
      <c r="K998" s="73"/>
      <c r="L998" s="73"/>
      <c r="M998" s="73"/>
      <c r="N998" s="73"/>
      <c r="O998" s="73"/>
      <c r="P998" s="73"/>
      <c r="Q998" s="73"/>
      <c r="R998" s="73"/>
      <c r="S998" s="73"/>
      <c r="T998" s="73"/>
      <c r="U998" s="73"/>
      <c r="V998" s="73"/>
      <c r="W998" s="73"/>
      <c r="X998" s="73"/>
      <c r="Y998" s="73"/>
      <c r="Z998" s="73"/>
      <c r="AA998" s="75"/>
      <c r="AB998" s="75"/>
      <c r="AC998" s="55"/>
      <c r="AD998" s="89"/>
      <c r="AE998" s="89"/>
      <c r="AF998" s="89"/>
      <c r="AG998" s="91"/>
      <c r="AH998" s="48"/>
      <c r="AI998" s="39"/>
      <c r="AK998" s="41"/>
    </row>
    <row r="999" spans="1:37" ht="21">
      <c r="A999" s="32" t="s">
        <v>1250</v>
      </c>
      <c r="B999" s="131" t="s">
        <v>104</v>
      </c>
      <c r="C999" s="95" t="s">
        <v>572</v>
      </c>
      <c r="D999" s="88" t="s">
        <v>81</v>
      </c>
      <c r="E999" s="73"/>
      <c r="F999" s="73"/>
      <c r="G999" s="73"/>
      <c r="H999" s="73"/>
      <c r="I999" s="73"/>
      <c r="J999" s="73"/>
      <c r="K999" s="73"/>
      <c r="L999" s="73"/>
      <c r="M999" s="73"/>
      <c r="N999" s="73"/>
      <c r="O999" s="73"/>
      <c r="P999" s="73"/>
      <c r="Q999" s="73"/>
      <c r="R999" s="73"/>
      <c r="S999" s="73"/>
      <c r="T999" s="73"/>
      <c r="U999" s="73"/>
      <c r="V999" s="73"/>
      <c r="W999" s="73"/>
      <c r="X999" s="73"/>
      <c r="Y999" s="73"/>
      <c r="Z999" s="73"/>
      <c r="AA999" s="75"/>
      <c r="AB999" s="75"/>
      <c r="AC999" s="55"/>
      <c r="AD999" s="89"/>
      <c r="AE999" s="89"/>
      <c r="AF999" s="89"/>
      <c r="AG999" s="57"/>
      <c r="AH999" s="58"/>
      <c r="AI999" s="39"/>
      <c r="AK999" s="41"/>
    </row>
    <row r="1000" spans="1:37" ht="21">
      <c r="A1000" s="32" t="s">
        <v>1251</v>
      </c>
      <c r="B1000" s="131" t="s">
        <v>24</v>
      </c>
      <c r="C1000" s="95" t="s">
        <v>554</v>
      </c>
      <c r="D1000" s="88" t="s">
        <v>81</v>
      </c>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5"/>
      <c r="AB1000" s="75"/>
      <c r="AC1000" s="55"/>
      <c r="AD1000" s="89"/>
      <c r="AE1000" s="89"/>
      <c r="AF1000" s="89"/>
      <c r="AG1000" s="57"/>
      <c r="AH1000" s="58"/>
      <c r="AI1000" s="39"/>
      <c r="AK1000" s="41"/>
    </row>
    <row r="1001" spans="1:37" ht="21">
      <c r="A1001" s="32" t="s">
        <v>1252</v>
      </c>
      <c r="B1001" s="94" t="s">
        <v>25</v>
      </c>
      <c r="C1001" s="95" t="s">
        <v>524</v>
      </c>
      <c r="D1001" s="88"/>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5"/>
      <c r="AB1001" s="75"/>
      <c r="AC1001" s="55"/>
      <c r="AD1001" s="89"/>
      <c r="AE1001" s="89"/>
      <c r="AF1001" s="89"/>
      <c r="AG1001" s="91"/>
      <c r="AH1001" s="48"/>
      <c r="AI1001" s="39"/>
      <c r="AK1001" s="41"/>
    </row>
    <row r="1002" spans="1:37" ht="21">
      <c r="A1002" s="32" t="s">
        <v>1253</v>
      </c>
      <c r="B1002" s="92" t="s">
        <v>525</v>
      </c>
      <c r="C1002" s="93" t="s">
        <v>526</v>
      </c>
      <c r="D1002" s="88" t="s">
        <v>81</v>
      </c>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5"/>
      <c r="AB1002" s="75"/>
      <c r="AC1002" s="55"/>
      <c r="AD1002" s="89"/>
      <c r="AE1002" s="89"/>
      <c r="AF1002" s="89"/>
      <c r="AG1002" s="57"/>
      <c r="AH1002" s="58"/>
      <c r="AI1002" s="39"/>
      <c r="AK1002" s="41"/>
    </row>
    <row r="1003" spans="1:37" ht="21">
      <c r="A1003" s="32" t="s">
        <v>1254</v>
      </c>
      <c r="B1003" s="94" t="s">
        <v>60</v>
      </c>
      <c r="C1003" s="95" t="s">
        <v>536</v>
      </c>
      <c r="D1003" s="88"/>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5"/>
      <c r="AB1003" s="75"/>
      <c r="AC1003" s="55"/>
      <c r="AD1003" s="89"/>
      <c r="AE1003" s="89"/>
      <c r="AF1003" s="89"/>
      <c r="AG1003" s="91"/>
      <c r="AH1003" s="48"/>
      <c r="AI1003" s="39"/>
      <c r="AK1003" s="41"/>
    </row>
    <row r="1004" spans="1:37" ht="21">
      <c r="A1004" s="32" t="s">
        <v>1255</v>
      </c>
      <c r="B1004" s="92" t="s">
        <v>525</v>
      </c>
      <c r="C1004" s="93" t="s">
        <v>528</v>
      </c>
      <c r="D1004" s="88" t="s">
        <v>81</v>
      </c>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c r="AA1004" s="75"/>
      <c r="AB1004" s="75"/>
      <c r="AC1004" s="55"/>
      <c r="AD1004" s="89"/>
      <c r="AE1004" s="89"/>
      <c r="AF1004" s="89"/>
      <c r="AG1004" s="57"/>
      <c r="AH1004" s="58"/>
      <c r="AI1004" s="39"/>
      <c r="AK1004" s="41"/>
    </row>
    <row r="1005" spans="1:37" ht="21">
      <c r="A1005" s="32" t="s">
        <v>1256</v>
      </c>
      <c r="B1005" s="92" t="s">
        <v>529</v>
      </c>
      <c r="C1005" s="93" t="s">
        <v>530</v>
      </c>
      <c r="D1005" s="88" t="s">
        <v>81</v>
      </c>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c r="AA1005" s="75"/>
      <c r="AB1005" s="75"/>
      <c r="AC1005" s="55"/>
      <c r="AD1005" s="89"/>
      <c r="AE1005" s="89"/>
      <c r="AF1005" s="89"/>
      <c r="AG1005" s="57"/>
      <c r="AH1005" s="58"/>
      <c r="AI1005" s="39"/>
      <c r="AK1005" s="41"/>
    </row>
    <row r="1006" spans="1:37" ht="21">
      <c r="A1006" s="32" t="s">
        <v>1257</v>
      </c>
      <c r="B1006" s="94" t="s">
        <v>62</v>
      </c>
      <c r="C1006" s="95" t="s">
        <v>551</v>
      </c>
      <c r="D1006" s="88"/>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c r="AA1006" s="75"/>
      <c r="AB1006" s="75"/>
      <c r="AC1006" s="55"/>
      <c r="AD1006" s="89"/>
      <c r="AE1006" s="89"/>
      <c r="AF1006" s="89"/>
      <c r="AG1006" s="91"/>
      <c r="AH1006" s="48"/>
      <c r="AI1006" s="39"/>
      <c r="AK1006" s="41"/>
    </row>
    <row r="1007" spans="1:37" ht="21">
      <c r="A1007" s="32" t="s">
        <v>1258</v>
      </c>
      <c r="B1007" s="92" t="s">
        <v>525</v>
      </c>
      <c r="C1007" s="93" t="s">
        <v>532</v>
      </c>
      <c r="D1007" s="88" t="s">
        <v>81</v>
      </c>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c r="AA1007" s="75"/>
      <c r="AB1007" s="75"/>
      <c r="AC1007" s="55"/>
      <c r="AD1007" s="89"/>
      <c r="AE1007" s="89"/>
      <c r="AF1007" s="89"/>
      <c r="AG1007" s="57"/>
      <c r="AH1007" s="58"/>
      <c r="AI1007" s="39"/>
      <c r="AK1007" s="41"/>
    </row>
    <row r="1008" spans="1:37" ht="21">
      <c r="A1008" s="32" t="s">
        <v>1259</v>
      </c>
      <c r="B1008" s="92" t="s">
        <v>529</v>
      </c>
      <c r="C1008" s="93" t="s">
        <v>552</v>
      </c>
      <c r="D1008" s="88" t="s">
        <v>81</v>
      </c>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c r="AA1008" s="75"/>
      <c r="AB1008" s="75"/>
      <c r="AC1008" s="55"/>
      <c r="AD1008" s="89"/>
      <c r="AE1008" s="89"/>
      <c r="AF1008" s="89"/>
      <c r="AG1008" s="57"/>
      <c r="AH1008" s="58"/>
      <c r="AI1008" s="39"/>
      <c r="AK1008" s="41"/>
    </row>
    <row r="1009" spans="1:37" ht="21">
      <c r="A1009" s="32" t="s">
        <v>1260</v>
      </c>
      <c r="B1009" s="94" t="s">
        <v>15</v>
      </c>
      <c r="C1009" s="95" t="s">
        <v>578</v>
      </c>
      <c r="D1009" s="88"/>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5"/>
      <c r="AB1009" s="75"/>
      <c r="AC1009" s="55"/>
      <c r="AD1009" s="89"/>
      <c r="AE1009" s="89"/>
      <c r="AF1009" s="89"/>
      <c r="AG1009" s="91"/>
      <c r="AH1009" s="48"/>
      <c r="AI1009" s="39"/>
      <c r="AK1009" s="41"/>
    </row>
    <row r="1010" spans="1:37" ht="21">
      <c r="A1010" s="32" t="s">
        <v>1261</v>
      </c>
      <c r="B1010" s="131" t="s">
        <v>104</v>
      </c>
      <c r="C1010" s="95" t="s">
        <v>572</v>
      </c>
      <c r="D1010" s="88" t="s">
        <v>81</v>
      </c>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c r="AA1010" s="75"/>
      <c r="AB1010" s="75"/>
      <c r="AC1010" s="55"/>
      <c r="AD1010" s="89"/>
      <c r="AE1010" s="89"/>
      <c r="AF1010" s="89"/>
      <c r="AG1010" s="57"/>
      <c r="AH1010" s="58"/>
      <c r="AI1010" s="39"/>
      <c r="AK1010" s="41"/>
    </row>
    <row r="1011" spans="1:37" ht="21">
      <c r="A1011" s="32" t="s">
        <v>1262</v>
      </c>
      <c r="B1011" s="131" t="s">
        <v>24</v>
      </c>
      <c r="C1011" s="95" t="s">
        <v>554</v>
      </c>
      <c r="D1011" s="88" t="s">
        <v>81</v>
      </c>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c r="AA1011" s="75"/>
      <c r="AB1011" s="75"/>
      <c r="AC1011" s="55"/>
      <c r="AD1011" s="89"/>
      <c r="AE1011" s="89"/>
      <c r="AF1011" s="89"/>
      <c r="AG1011" s="57"/>
      <c r="AH1011" s="58"/>
      <c r="AI1011" s="39"/>
      <c r="AK1011" s="41"/>
    </row>
    <row r="1012" spans="1:37" ht="21">
      <c r="A1012" s="32" t="s">
        <v>1263</v>
      </c>
      <c r="B1012" s="94" t="s">
        <v>25</v>
      </c>
      <c r="C1012" s="95" t="s">
        <v>534</v>
      </c>
      <c r="D1012" s="88"/>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c r="AA1012" s="75"/>
      <c r="AB1012" s="75"/>
      <c r="AC1012" s="55"/>
      <c r="AD1012" s="89"/>
      <c r="AE1012" s="89"/>
      <c r="AF1012" s="89"/>
      <c r="AG1012" s="91"/>
      <c r="AH1012" s="48"/>
      <c r="AI1012" s="39"/>
      <c r="AK1012" s="41"/>
    </row>
    <row r="1013" spans="1:37" ht="21">
      <c r="A1013" s="32" t="s">
        <v>1264</v>
      </c>
      <c r="B1013" s="92" t="s">
        <v>525</v>
      </c>
      <c r="C1013" s="93" t="s">
        <v>526</v>
      </c>
      <c r="D1013" s="88" t="s">
        <v>81</v>
      </c>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c r="AA1013" s="75"/>
      <c r="AB1013" s="75"/>
      <c r="AC1013" s="55"/>
      <c r="AD1013" s="89"/>
      <c r="AE1013" s="89"/>
      <c r="AF1013" s="89"/>
      <c r="AG1013" s="57"/>
      <c r="AH1013" s="58"/>
      <c r="AI1013" s="39"/>
      <c r="AK1013" s="41"/>
    </row>
    <row r="1014" spans="1:37" ht="21">
      <c r="A1014" s="32" t="s">
        <v>1265</v>
      </c>
      <c r="B1014" s="92" t="s">
        <v>529</v>
      </c>
      <c r="C1014" s="93" t="s">
        <v>535</v>
      </c>
      <c r="D1014" s="88" t="s">
        <v>81</v>
      </c>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c r="AA1014" s="75"/>
      <c r="AB1014" s="75"/>
      <c r="AC1014" s="55"/>
      <c r="AD1014" s="89"/>
      <c r="AE1014" s="89"/>
      <c r="AF1014" s="89"/>
      <c r="AG1014" s="57"/>
      <c r="AH1014" s="58"/>
      <c r="AI1014" s="39"/>
      <c r="AK1014" s="41"/>
    </row>
    <row r="1015" spans="1:37" ht="21">
      <c r="A1015" s="32" t="s">
        <v>1266</v>
      </c>
      <c r="B1015" s="94" t="s">
        <v>60</v>
      </c>
      <c r="C1015" s="95" t="s">
        <v>536</v>
      </c>
      <c r="D1015" s="88"/>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c r="AA1015" s="75"/>
      <c r="AB1015" s="75"/>
      <c r="AC1015" s="55"/>
      <c r="AD1015" s="89"/>
      <c r="AE1015" s="89"/>
      <c r="AF1015" s="89"/>
      <c r="AG1015" s="91"/>
      <c r="AH1015" s="48"/>
      <c r="AI1015" s="39"/>
      <c r="AK1015" s="41"/>
    </row>
    <row r="1016" spans="1:37" ht="21">
      <c r="A1016" s="32" t="s">
        <v>1267</v>
      </c>
      <c r="B1016" s="92" t="s">
        <v>525</v>
      </c>
      <c r="C1016" s="93" t="s">
        <v>528</v>
      </c>
      <c r="D1016" s="88" t="s">
        <v>81</v>
      </c>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c r="AA1016" s="75"/>
      <c r="AB1016" s="75"/>
      <c r="AC1016" s="55"/>
      <c r="AD1016" s="89"/>
      <c r="AE1016" s="89"/>
      <c r="AF1016" s="89"/>
      <c r="AG1016" s="57"/>
      <c r="AH1016" s="58"/>
      <c r="AI1016" s="39"/>
      <c r="AK1016" s="41"/>
    </row>
    <row r="1017" spans="1:37" ht="21">
      <c r="A1017" s="32" t="s">
        <v>1268</v>
      </c>
      <c r="B1017" s="111" t="s">
        <v>579</v>
      </c>
      <c r="C1017" s="93" t="s">
        <v>555</v>
      </c>
      <c r="D1017" s="88" t="s">
        <v>81</v>
      </c>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c r="AA1017" s="75"/>
      <c r="AB1017" s="75"/>
      <c r="AC1017" s="55"/>
      <c r="AD1017" s="89"/>
      <c r="AE1017" s="89"/>
      <c r="AF1017" s="89"/>
      <c r="AG1017" s="57"/>
      <c r="AH1017" s="58"/>
      <c r="AI1017" s="39"/>
      <c r="AK1017" s="41"/>
    </row>
    <row r="1018" spans="1:37" ht="21">
      <c r="A1018" s="32" t="s">
        <v>1269</v>
      </c>
      <c r="B1018" s="92" t="s">
        <v>538</v>
      </c>
      <c r="C1018" s="93" t="s">
        <v>539</v>
      </c>
      <c r="D1018" s="88" t="s">
        <v>81</v>
      </c>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c r="AA1018" s="75"/>
      <c r="AB1018" s="75"/>
      <c r="AC1018" s="55"/>
      <c r="AD1018" s="89"/>
      <c r="AE1018" s="89"/>
      <c r="AF1018" s="89"/>
      <c r="AG1018" s="57"/>
      <c r="AH1018" s="58"/>
      <c r="AI1018" s="39"/>
      <c r="AK1018" s="41"/>
    </row>
    <row r="1019" spans="1:37" ht="21">
      <c r="A1019" s="32" t="s">
        <v>1270</v>
      </c>
      <c r="B1019" s="94" t="s">
        <v>496</v>
      </c>
      <c r="C1019" s="95" t="s">
        <v>531</v>
      </c>
      <c r="D1019" s="88"/>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c r="AA1019" s="75"/>
      <c r="AB1019" s="75"/>
      <c r="AC1019" s="55"/>
      <c r="AD1019" s="89"/>
      <c r="AE1019" s="89"/>
      <c r="AF1019" s="89"/>
      <c r="AG1019" s="91"/>
      <c r="AH1019" s="48"/>
      <c r="AI1019" s="39"/>
      <c r="AK1019" s="41"/>
    </row>
    <row r="1020" spans="1:37" ht="21">
      <c r="A1020" s="32" t="s">
        <v>1271</v>
      </c>
      <c r="B1020" s="92" t="s">
        <v>525</v>
      </c>
      <c r="C1020" s="93" t="s">
        <v>532</v>
      </c>
      <c r="D1020" s="88" t="s">
        <v>81</v>
      </c>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5"/>
      <c r="AB1020" s="75"/>
      <c r="AC1020" s="55"/>
      <c r="AD1020" s="89"/>
      <c r="AE1020" s="89"/>
      <c r="AF1020" s="89"/>
      <c r="AG1020" s="57"/>
      <c r="AH1020" s="58"/>
      <c r="AI1020" s="39"/>
      <c r="AK1020" s="41"/>
    </row>
    <row r="1021" spans="1:37" ht="21">
      <c r="A1021" s="32" t="s">
        <v>1272</v>
      </c>
      <c r="B1021" s="92" t="s">
        <v>529</v>
      </c>
      <c r="C1021" s="93" t="s">
        <v>540</v>
      </c>
      <c r="D1021" s="88" t="s">
        <v>81</v>
      </c>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c r="AA1021" s="75"/>
      <c r="AB1021" s="75"/>
      <c r="AC1021" s="55"/>
      <c r="AD1021" s="89"/>
      <c r="AE1021" s="89"/>
      <c r="AF1021" s="89"/>
      <c r="AG1021" s="57"/>
      <c r="AH1021" s="58"/>
      <c r="AI1021" s="39"/>
      <c r="AK1021" s="41"/>
    </row>
    <row r="1022" spans="1:37" ht="21">
      <c r="A1022" s="32" t="s">
        <v>1273</v>
      </c>
      <c r="B1022" s="92" t="s">
        <v>538</v>
      </c>
      <c r="C1022" s="93" t="s">
        <v>541</v>
      </c>
      <c r="D1022" s="88"/>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c r="AA1022" s="75"/>
      <c r="AB1022" s="75"/>
      <c r="AC1022" s="55"/>
      <c r="AD1022" s="89"/>
      <c r="AE1022" s="89"/>
      <c r="AF1022" s="89"/>
      <c r="AG1022" s="57"/>
      <c r="AH1022" s="58"/>
      <c r="AI1022" s="39"/>
      <c r="AK1022" s="41"/>
    </row>
    <row r="1023" spans="1:37" ht="21">
      <c r="A1023" s="32" t="s">
        <v>1274</v>
      </c>
      <c r="B1023" s="94" t="s">
        <v>40</v>
      </c>
      <c r="C1023" s="95" t="s">
        <v>580</v>
      </c>
      <c r="D1023" s="88"/>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c r="AA1023" s="75"/>
      <c r="AB1023" s="75"/>
      <c r="AC1023" s="55"/>
      <c r="AD1023" s="89"/>
      <c r="AE1023" s="89"/>
      <c r="AF1023" s="89"/>
      <c r="AG1023" s="91"/>
      <c r="AH1023" s="48"/>
      <c r="AI1023" s="39"/>
      <c r="AK1023" s="41"/>
    </row>
    <row r="1024" spans="1:37" ht="21">
      <c r="A1024" s="32" t="s">
        <v>1275</v>
      </c>
      <c r="B1024" s="131" t="s">
        <v>104</v>
      </c>
      <c r="C1024" s="95" t="s">
        <v>1911</v>
      </c>
      <c r="D1024" s="88" t="s">
        <v>81</v>
      </c>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c r="AA1024" s="75"/>
      <c r="AB1024" s="75"/>
      <c r="AC1024" s="55"/>
      <c r="AD1024" s="89"/>
      <c r="AE1024" s="89"/>
      <c r="AF1024" s="89"/>
      <c r="AG1024" s="57"/>
      <c r="AH1024" s="58"/>
      <c r="AI1024" s="39"/>
      <c r="AK1024" s="41"/>
    </row>
    <row r="1025" spans="1:37" ht="21">
      <c r="A1025" s="32" t="s">
        <v>1276</v>
      </c>
      <c r="B1025" s="94" t="s">
        <v>48</v>
      </c>
      <c r="C1025" s="95" t="s">
        <v>581</v>
      </c>
      <c r="D1025" s="134"/>
      <c r="E1025" s="135"/>
      <c r="F1025" s="135"/>
      <c r="G1025" s="135"/>
      <c r="H1025" s="135"/>
      <c r="I1025" s="135"/>
      <c r="J1025" s="135"/>
      <c r="K1025" s="135"/>
      <c r="L1025" s="135"/>
      <c r="M1025" s="135"/>
      <c r="N1025" s="135"/>
      <c r="O1025" s="135"/>
      <c r="P1025" s="135"/>
      <c r="Q1025" s="135"/>
      <c r="R1025" s="135"/>
      <c r="S1025" s="135"/>
      <c r="T1025" s="135"/>
      <c r="U1025" s="135"/>
      <c r="V1025" s="135"/>
      <c r="W1025" s="135"/>
      <c r="X1025" s="135"/>
      <c r="Y1025" s="135"/>
      <c r="Z1025" s="135"/>
      <c r="AA1025" s="136"/>
      <c r="AB1025" s="136"/>
      <c r="AC1025" s="55"/>
      <c r="AD1025" s="89"/>
      <c r="AE1025" s="89"/>
      <c r="AF1025" s="89"/>
      <c r="AG1025" s="91"/>
      <c r="AH1025" s="48"/>
      <c r="AI1025" s="39"/>
      <c r="AK1025" s="41"/>
    </row>
    <row r="1026" spans="1:37" ht="21">
      <c r="A1026" s="32" t="s">
        <v>1277</v>
      </c>
      <c r="B1026" s="131" t="s">
        <v>104</v>
      </c>
      <c r="C1026" s="95" t="s">
        <v>1912</v>
      </c>
      <c r="D1026" s="88" t="s">
        <v>81</v>
      </c>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c r="AA1026" s="75"/>
      <c r="AB1026" s="75"/>
      <c r="AC1026" s="55"/>
      <c r="AD1026" s="89"/>
      <c r="AE1026" s="89"/>
      <c r="AF1026" s="89"/>
      <c r="AG1026" s="57"/>
      <c r="AH1026" s="58"/>
      <c r="AI1026" s="39"/>
      <c r="AK1026" s="41"/>
    </row>
    <row r="1027" spans="1:37" ht="21">
      <c r="A1027" s="32" t="s">
        <v>1278</v>
      </c>
      <c r="B1027" s="94" t="s">
        <v>55</v>
      </c>
      <c r="C1027" s="95" t="s">
        <v>582</v>
      </c>
      <c r="D1027" s="88"/>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c r="AA1027" s="75"/>
      <c r="AB1027" s="75"/>
      <c r="AC1027" s="55"/>
      <c r="AD1027" s="89"/>
      <c r="AE1027" s="89"/>
      <c r="AF1027" s="89"/>
      <c r="AG1027" s="91"/>
      <c r="AH1027" s="48"/>
      <c r="AI1027" s="39"/>
      <c r="AK1027" s="41"/>
    </row>
    <row r="1028" spans="1:37" ht="21">
      <c r="A1028" s="32" t="s">
        <v>1279</v>
      </c>
      <c r="B1028" s="131" t="s">
        <v>104</v>
      </c>
      <c r="C1028" s="95" t="s">
        <v>1913</v>
      </c>
      <c r="D1028" s="88" t="s">
        <v>81</v>
      </c>
      <c r="E1028" s="73"/>
      <c r="F1028" s="73"/>
      <c r="G1028" s="73"/>
      <c r="H1028" s="73"/>
      <c r="I1028" s="73"/>
      <c r="J1028" s="73"/>
      <c r="K1028" s="73"/>
      <c r="L1028" s="73"/>
      <c r="M1028" s="73"/>
      <c r="N1028" s="73"/>
      <c r="O1028" s="73"/>
      <c r="P1028" s="73"/>
      <c r="Q1028" s="73"/>
      <c r="R1028" s="73"/>
      <c r="S1028" s="73"/>
      <c r="T1028" s="73"/>
      <c r="U1028" s="73"/>
      <c r="V1028" s="73"/>
      <c r="W1028" s="73"/>
      <c r="X1028" s="73"/>
      <c r="Y1028" s="73"/>
      <c r="Z1028" s="73"/>
      <c r="AA1028" s="75"/>
      <c r="AB1028" s="75"/>
      <c r="AC1028" s="55"/>
      <c r="AD1028" s="89"/>
      <c r="AE1028" s="89"/>
      <c r="AF1028" s="89"/>
      <c r="AG1028" s="57"/>
      <c r="AH1028" s="58"/>
      <c r="AI1028" s="39"/>
      <c r="AK1028" s="41"/>
    </row>
    <row r="1029" spans="1:37" ht="40.5">
      <c r="A1029" s="32" t="s">
        <v>583</v>
      </c>
      <c r="B1029" s="86" t="s">
        <v>583</v>
      </c>
      <c r="C1029" s="87" t="s">
        <v>2592</v>
      </c>
      <c r="D1029" s="88"/>
      <c r="E1029" s="73"/>
      <c r="F1029" s="73"/>
      <c r="G1029" s="73"/>
      <c r="H1029" s="73"/>
      <c r="I1029" s="73"/>
      <c r="J1029" s="73"/>
      <c r="K1029" s="73"/>
      <c r="L1029" s="73"/>
      <c r="M1029" s="73"/>
      <c r="N1029" s="73"/>
      <c r="O1029" s="73"/>
      <c r="P1029" s="73"/>
      <c r="Q1029" s="73"/>
      <c r="R1029" s="73"/>
      <c r="S1029" s="73"/>
      <c r="T1029" s="73"/>
      <c r="U1029" s="73"/>
      <c r="V1029" s="73"/>
      <c r="W1029" s="73"/>
      <c r="X1029" s="73"/>
      <c r="Y1029" s="73"/>
      <c r="Z1029" s="73"/>
      <c r="AA1029" s="75"/>
      <c r="AB1029" s="75"/>
      <c r="AC1029" s="55"/>
      <c r="AD1029" s="89"/>
      <c r="AE1029" s="89"/>
      <c r="AF1029" s="89"/>
      <c r="AG1029" s="91"/>
      <c r="AH1029" s="48"/>
      <c r="AI1029" s="39"/>
      <c r="AK1029" s="41"/>
    </row>
    <row r="1030" spans="1:37" ht="21">
      <c r="A1030" s="32" t="s">
        <v>1280</v>
      </c>
      <c r="B1030" s="94" t="s">
        <v>14</v>
      </c>
      <c r="C1030" s="95" t="s">
        <v>577</v>
      </c>
      <c r="D1030" s="88"/>
      <c r="E1030" s="73"/>
      <c r="F1030" s="73"/>
      <c r="G1030" s="73"/>
      <c r="H1030" s="73"/>
      <c r="I1030" s="73"/>
      <c r="J1030" s="73"/>
      <c r="K1030" s="73"/>
      <c r="L1030" s="73"/>
      <c r="M1030" s="73"/>
      <c r="N1030" s="73"/>
      <c r="O1030" s="73"/>
      <c r="P1030" s="73"/>
      <c r="Q1030" s="73"/>
      <c r="R1030" s="73"/>
      <c r="S1030" s="73"/>
      <c r="T1030" s="73"/>
      <c r="U1030" s="73"/>
      <c r="V1030" s="73"/>
      <c r="W1030" s="73"/>
      <c r="X1030" s="73"/>
      <c r="Y1030" s="73"/>
      <c r="Z1030" s="73"/>
      <c r="AA1030" s="75"/>
      <c r="AB1030" s="75"/>
      <c r="AC1030" s="55"/>
      <c r="AD1030" s="89"/>
      <c r="AE1030" s="89"/>
      <c r="AF1030" s="89"/>
      <c r="AG1030" s="91"/>
      <c r="AH1030" s="48"/>
      <c r="AI1030" s="39"/>
      <c r="AK1030" s="41"/>
    </row>
    <row r="1031" spans="1:37" ht="21">
      <c r="A1031" s="32" t="s">
        <v>1281</v>
      </c>
      <c r="B1031" s="131" t="s">
        <v>104</v>
      </c>
      <c r="C1031" s="95" t="s">
        <v>584</v>
      </c>
      <c r="D1031" s="88" t="s">
        <v>81</v>
      </c>
      <c r="E1031" s="73"/>
      <c r="F1031" s="73"/>
      <c r="G1031" s="73"/>
      <c r="H1031" s="73"/>
      <c r="I1031" s="73"/>
      <c r="J1031" s="73"/>
      <c r="K1031" s="73"/>
      <c r="L1031" s="73"/>
      <c r="M1031" s="73"/>
      <c r="N1031" s="73"/>
      <c r="O1031" s="73"/>
      <c r="P1031" s="73"/>
      <c r="Q1031" s="73"/>
      <c r="R1031" s="73"/>
      <c r="S1031" s="73"/>
      <c r="T1031" s="73"/>
      <c r="U1031" s="73"/>
      <c r="V1031" s="73"/>
      <c r="W1031" s="73"/>
      <c r="X1031" s="73"/>
      <c r="Y1031" s="73"/>
      <c r="Z1031" s="73"/>
      <c r="AA1031" s="75"/>
      <c r="AB1031" s="75"/>
      <c r="AC1031" s="55"/>
      <c r="AD1031" s="89"/>
      <c r="AE1031" s="89"/>
      <c r="AF1031" s="89"/>
      <c r="AG1031" s="57"/>
      <c r="AH1031" s="58"/>
      <c r="AI1031" s="39"/>
      <c r="AK1031" s="41"/>
    </row>
    <row r="1032" spans="1:37" ht="21">
      <c r="A1032" s="32" t="s">
        <v>1282</v>
      </c>
      <c r="B1032" s="131" t="s">
        <v>24</v>
      </c>
      <c r="C1032" s="95" t="s">
        <v>554</v>
      </c>
      <c r="D1032" s="88" t="s">
        <v>81</v>
      </c>
      <c r="E1032" s="73"/>
      <c r="F1032" s="73"/>
      <c r="G1032" s="73"/>
      <c r="H1032" s="73"/>
      <c r="I1032" s="73"/>
      <c r="J1032" s="73"/>
      <c r="K1032" s="73"/>
      <c r="L1032" s="73"/>
      <c r="M1032" s="73"/>
      <c r="N1032" s="73"/>
      <c r="O1032" s="73"/>
      <c r="P1032" s="73"/>
      <c r="Q1032" s="73"/>
      <c r="R1032" s="73"/>
      <c r="S1032" s="73"/>
      <c r="T1032" s="73"/>
      <c r="U1032" s="73"/>
      <c r="V1032" s="73"/>
      <c r="W1032" s="73"/>
      <c r="X1032" s="73"/>
      <c r="Y1032" s="73"/>
      <c r="Z1032" s="73"/>
      <c r="AA1032" s="75"/>
      <c r="AB1032" s="75"/>
      <c r="AC1032" s="55"/>
      <c r="AD1032" s="89"/>
      <c r="AE1032" s="89"/>
      <c r="AF1032" s="89"/>
      <c r="AG1032" s="57"/>
      <c r="AH1032" s="58"/>
      <c r="AI1032" s="39"/>
      <c r="AK1032" s="41"/>
    </row>
    <row r="1033" spans="1:37" ht="21">
      <c r="A1033" s="32" t="s">
        <v>1283</v>
      </c>
      <c r="B1033" s="94" t="s">
        <v>25</v>
      </c>
      <c r="C1033" s="95" t="s">
        <v>524</v>
      </c>
      <c r="D1033" s="88"/>
      <c r="E1033" s="73"/>
      <c r="F1033" s="73"/>
      <c r="G1033" s="73"/>
      <c r="H1033" s="73"/>
      <c r="I1033" s="73"/>
      <c r="J1033" s="73"/>
      <c r="K1033" s="73"/>
      <c r="L1033" s="73"/>
      <c r="M1033" s="73"/>
      <c r="N1033" s="73"/>
      <c r="O1033" s="73"/>
      <c r="P1033" s="73"/>
      <c r="Q1033" s="73"/>
      <c r="R1033" s="73"/>
      <c r="S1033" s="73"/>
      <c r="T1033" s="73"/>
      <c r="U1033" s="73"/>
      <c r="V1033" s="73"/>
      <c r="W1033" s="73"/>
      <c r="X1033" s="73"/>
      <c r="Y1033" s="73"/>
      <c r="Z1033" s="73"/>
      <c r="AA1033" s="75"/>
      <c r="AB1033" s="75"/>
      <c r="AC1033" s="55"/>
      <c r="AD1033" s="89"/>
      <c r="AE1033" s="89"/>
      <c r="AF1033" s="89"/>
      <c r="AG1033" s="91"/>
      <c r="AH1033" s="48"/>
      <c r="AI1033" s="39"/>
      <c r="AK1033" s="41"/>
    </row>
    <row r="1034" spans="1:37" ht="21">
      <c r="A1034" s="32" t="s">
        <v>1284</v>
      </c>
      <c r="B1034" s="92" t="s">
        <v>525</v>
      </c>
      <c r="C1034" s="93" t="s">
        <v>526</v>
      </c>
      <c r="D1034" s="88" t="s">
        <v>81</v>
      </c>
      <c r="E1034" s="73"/>
      <c r="F1034" s="73"/>
      <c r="G1034" s="73"/>
      <c r="H1034" s="73"/>
      <c r="I1034" s="73"/>
      <c r="J1034" s="73"/>
      <c r="K1034" s="73"/>
      <c r="L1034" s="73"/>
      <c r="M1034" s="73"/>
      <c r="N1034" s="73"/>
      <c r="O1034" s="73"/>
      <c r="P1034" s="73"/>
      <c r="Q1034" s="73"/>
      <c r="R1034" s="73"/>
      <c r="S1034" s="73"/>
      <c r="T1034" s="73"/>
      <c r="U1034" s="73"/>
      <c r="V1034" s="73"/>
      <c r="W1034" s="73"/>
      <c r="X1034" s="73"/>
      <c r="Y1034" s="73"/>
      <c r="Z1034" s="73"/>
      <c r="AA1034" s="75"/>
      <c r="AB1034" s="75"/>
      <c r="AC1034" s="55"/>
      <c r="AD1034" s="89"/>
      <c r="AE1034" s="89"/>
      <c r="AF1034" s="89"/>
      <c r="AG1034" s="57"/>
      <c r="AH1034" s="58"/>
      <c r="AI1034" s="39"/>
      <c r="AK1034" s="41"/>
    </row>
    <row r="1035" spans="1:37" ht="21">
      <c r="A1035" s="32" t="s">
        <v>1285</v>
      </c>
      <c r="B1035" s="94" t="s">
        <v>60</v>
      </c>
      <c r="C1035" s="95" t="s">
        <v>536</v>
      </c>
      <c r="D1035" s="88"/>
      <c r="E1035" s="73"/>
      <c r="F1035" s="73"/>
      <c r="G1035" s="73"/>
      <c r="H1035" s="73"/>
      <c r="I1035" s="73"/>
      <c r="J1035" s="73"/>
      <c r="K1035" s="73"/>
      <c r="L1035" s="73"/>
      <c r="M1035" s="73"/>
      <c r="N1035" s="73"/>
      <c r="O1035" s="73"/>
      <c r="P1035" s="73"/>
      <c r="Q1035" s="73"/>
      <c r="R1035" s="73"/>
      <c r="S1035" s="73"/>
      <c r="T1035" s="73"/>
      <c r="U1035" s="73"/>
      <c r="V1035" s="73"/>
      <c r="W1035" s="73"/>
      <c r="X1035" s="73"/>
      <c r="Y1035" s="73"/>
      <c r="Z1035" s="73"/>
      <c r="AA1035" s="75"/>
      <c r="AB1035" s="75"/>
      <c r="AC1035" s="55"/>
      <c r="AD1035" s="89"/>
      <c r="AE1035" s="89"/>
      <c r="AF1035" s="89"/>
      <c r="AG1035" s="91"/>
      <c r="AH1035" s="48"/>
      <c r="AI1035" s="39"/>
      <c r="AK1035" s="41"/>
    </row>
    <row r="1036" spans="1:37" ht="21">
      <c r="A1036" s="32" t="s">
        <v>1286</v>
      </c>
      <c r="B1036" s="92" t="s">
        <v>525</v>
      </c>
      <c r="C1036" s="93" t="s">
        <v>528</v>
      </c>
      <c r="D1036" s="88" t="s">
        <v>81</v>
      </c>
      <c r="E1036" s="73"/>
      <c r="F1036" s="73"/>
      <c r="G1036" s="73"/>
      <c r="H1036" s="73"/>
      <c r="I1036" s="73"/>
      <c r="J1036" s="73"/>
      <c r="K1036" s="73"/>
      <c r="L1036" s="73"/>
      <c r="M1036" s="73"/>
      <c r="N1036" s="73"/>
      <c r="O1036" s="73"/>
      <c r="P1036" s="73"/>
      <c r="Q1036" s="73"/>
      <c r="R1036" s="73"/>
      <c r="S1036" s="73"/>
      <c r="T1036" s="73"/>
      <c r="U1036" s="73"/>
      <c r="V1036" s="73"/>
      <c r="W1036" s="73"/>
      <c r="X1036" s="73"/>
      <c r="Y1036" s="73"/>
      <c r="Z1036" s="73"/>
      <c r="AA1036" s="75"/>
      <c r="AB1036" s="75"/>
      <c r="AC1036" s="55"/>
      <c r="AD1036" s="89"/>
      <c r="AE1036" s="89"/>
      <c r="AF1036" s="89"/>
      <c r="AG1036" s="57"/>
      <c r="AH1036" s="58"/>
      <c r="AI1036" s="39"/>
      <c r="AK1036" s="41"/>
    </row>
    <row r="1037" spans="1:37" ht="21">
      <c r="A1037" s="32" t="s">
        <v>1287</v>
      </c>
      <c r="B1037" s="92" t="s">
        <v>529</v>
      </c>
      <c r="C1037" s="93" t="s">
        <v>530</v>
      </c>
      <c r="D1037" s="88" t="s">
        <v>81</v>
      </c>
      <c r="E1037" s="73"/>
      <c r="F1037" s="73"/>
      <c r="G1037" s="73"/>
      <c r="H1037" s="73"/>
      <c r="I1037" s="73"/>
      <c r="J1037" s="73"/>
      <c r="K1037" s="73"/>
      <c r="L1037" s="73"/>
      <c r="M1037" s="73"/>
      <c r="N1037" s="73"/>
      <c r="O1037" s="73"/>
      <c r="P1037" s="73"/>
      <c r="Q1037" s="73"/>
      <c r="R1037" s="73"/>
      <c r="S1037" s="73"/>
      <c r="T1037" s="73"/>
      <c r="U1037" s="73"/>
      <c r="V1037" s="73"/>
      <c r="W1037" s="73"/>
      <c r="X1037" s="73"/>
      <c r="Y1037" s="73"/>
      <c r="Z1037" s="73"/>
      <c r="AA1037" s="75"/>
      <c r="AB1037" s="75"/>
      <c r="AC1037" s="55"/>
      <c r="AD1037" s="89"/>
      <c r="AE1037" s="89"/>
      <c r="AF1037" s="89"/>
      <c r="AG1037" s="57"/>
      <c r="AH1037" s="58"/>
      <c r="AI1037" s="39"/>
      <c r="AK1037" s="41"/>
    </row>
    <row r="1038" spans="1:37" ht="21">
      <c r="A1038" s="32" t="s">
        <v>1288</v>
      </c>
      <c r="B1038" s="94" t="s">
        <v>62</v>
      </c>
      <c r="C1038" s="95" t="s">
        <v>551</v>
      </c>
      <c r="D1038" s="88"/>
      <c r="E1038" s="73"/>
      <c r="F1038" s="73"/>
      <c r="G1038" s="73"/>
      <c r="H1038" s="73"/>
      <c r="I1038" s="73"/>
      <c r="J1038" s="73"/>
      <c r="K1038" s="73"/>
      <c r="L1038" s="73"/>
      <c r="M1038" s="73"/>
      <c r="N1038" s="73"/>
      <c r="O1038" s="73"/>
      <c r="P1038" s="73"/>
      <c r="Q1038" s="73"/>
      <c r="R1038" s="73"/>
      <c r="S1038" s="73"/>
      <c r="T1038" s="73"/>
      <c r="U1038" s="73"/>
      <c r="V1038" s="73"/>
      <c r="W1038" s="73"/>
      <c r="X1038" s="73"/>
      <c r="Y1038" s="73"/>
      <c r="Z1038" s="73"/>
      <c r="AA1038" s="75"/>
      <c r="AB1038" s="75"/>
      <c r="AC1038" s="55"/>
      <c r="AD1038" s="89"/>
      <c r="AE1038" s="89"/>
      <c r="AF1038" s="89"/>
      <c r="AG1038" s="91"/>
      <c r="AH1038" s="48"/>
      <c r="AI1038" s="39"/>
      <c r="AK1038" s="41"/>
    </row>
    <row r="1039" spans="1:37" ht="21">
      <c r="A1039" s="32" t="s">
        <v>1289</v>
      </c>
      <c r="B1039" s="92" t="s">
        <v>525</v>
      </c>
      <c r="C1039" s="93" t="s">
        <v>532</v>
      </c>
      <c r="D1039" s="88" t="s">
        <v>81</v>
      </c>
      <c r="E1039" s="73"/>
      <c r="F1039" s="73"/>
      <c r="G1039" s="73"/>
      <c r="H1039" s="73"/>
      <c r="I1039" s="73"/>
      <c r="J1039" s="73"/>
      <c r="K1039" s="73"/>
      <c r="L1039" s="73"/>
      <c r="M1039" s="73"/>
      <c r="N1039" s="73"/>
      <c r="O1039" s="73"/>
      <c r="P1039" s="73"/>
      <c r="Q1039" s="73"/>
      <c r="R1039" s="73"/>
      <c r="S1039" s="73"/>
      <c r="T1039" s="73"/>
      <c r="U1039" s="73"/>
      <c r="V1039" s="73"/>
      <c r="W1039" s="73"/>
      <c r="X1039" s="73"/>
      <c r="Y1039" s="73"/>
      <c r="Z1039" s="73"/>
      <c r="AA1039" s="75"/>
      <c r="AB1039" s="75"/>
      <c r="AC1039" s="55"/>
      <c r="AD1039" s="89"/>
      <c r="AE1039" s="89"/>
      <c r="AF1039" s="89"/>
      <c r="AG1039" s="57"/>
      <c r="AH1039" s="58"/>
      <c r="AI1039" s="39"/>
      <c r="AK1039" s="41"/>
    </row>
    <row r="1040" spans="1:37" ht="21">
      <c r="A1040" s="32" t="s">
        <v>1290</v>
      </c>
      <c r="B1040" s="92" t="s">
        <v>529</v>
      </c>
      <c r="C1040" s="93" t="s">
        <v>552</v>
      </c>
      <c r="D1040" s="88" t="s">
        <v>81</v>
      </c>
      <c r="E1040" s="73"/>
      <c r="F1040" s="73"/>
      <c r="G1040" s="73"/>
      <c r="H1040" s="73"/>
      <c r="I1040" s="73"/>
      <c r="J1040" s="73"/>
      <c r="K1040" s="73"/>
      <c r="L1040" s="73"/>
      <c r="M1040" s="73"/>
      <c r="N1040" s="73"/>
      <c r="O1040" s="73"/>
      <c r="P1040" s="73"/>
      <c r="Q1040" s="73"/>
      <c r="R1040" s="73"/>
      <c r="S1040" s="73"/>
      <c r="T1040" s="73"/>
      <c r="U1040" s="73"/>
      <c r="V1040" s="73"/>
      <c r="W1040" s="73"/>
      <c r="X1040" s="73"/>
      <c r="Y1040" s="73"/>
      <c r="Z1040" s="73"/>
      <c r="AA1040" s="75"/>
      <c r="AB1040" s="75"/>
      <c r="AC1040" s="55"/>
      <c r="AD1040" s="89"/>
      <c r="AE1040" s="89"/>
      <c r="AF1040" s="89"/>
      <c r="AG1040" s="57"/>
      <c r="AH1040" s="58"/>
      <c r="AI1040" s="39"/>
      <c r="AK1040" s="41"/>
    </row>
    <row r="1041" spans="1:37" ht="21">
      <c r="A1041" s="32" t="s">
        <v>1291</v>
      </c>
      <c r="B1041" s="94" t="s">
        <v>15</v>
      </c>
      <c r="C1041" s="95" t="s">
        <v>585</v>
      </c>
      <c r="D1041" s="88"/>
      <c r="E1041" s="73"/>
      <c r="F1041" s="73"/>
      <c r="G1041" s="73"/>
      <c r="H1041" s="73"/>
      <c r="I1041" s="73"/>
      <c r="J1041" s="73"/>
      <c r="K1041" s="73"/>
      <c r="L1041" s="73"/>
      <c r="M1041" s="73"/>
      <c r="N1041" s="73"/>
      <c r="O1041" s="73"/>
      <c r="P1041" s="73"/>
      <c r="Q1041" s="73"/>
      <c r="R1041" s="73"/>
      <c r="S1041" s="73"/>
      <c r="T1041" s="73"/>
      <c r="U1041" s="73"/>
      <c r="V1041" s="73"/>
      <c r="W1041" s="73"/>
      <c r="X1041" s="73"/>
      <c r="Y1041" s="73"/>
      <c r="Z1041" s="73"/>
      <c r="AA1041" s="75"/>
      <c r="AB1041" s="75"/>
      <c r="AC1041" s="55"/>
      <c r="AD1041" s="89"/>
      <c r="AE1041" s="89"/>
      <c r="AF1041" s="89"/>
      <c r="AG1041" s="91"/>
      <c r="AH1041" s="48"/>
      <c r="AI1041" s="39"/>
      <c r="AK1041" s="41"/>
    </row>
    <row r="1042" spans="1:37" ht="21">
      <c r="A1042" s="32" t="s">
        <v>1292</v>
      </c>
      <c r="B1042" s="131" t="s">
        <v>104</v>
      </c>
      <c r="C1042" s="95" t="s">
        <v>584</v>
      </c>
      <c r="D1042" s="88" t="s">
        <v>81</v>
      </c>
      <c r="E1042" s="73"/>
      <c r="F1042" s="73"/>
      <c r="G1042" s="73"/>
      <c r="H1042" s="73"/>
      <c r="I1042" s="73"/>
      <c r="J1042" s="73"/>
      <c r="K1042" s="73"/>
      <c r="L1042" s="73"/>
      <c r="M1042" s="73"/>
      <c r="N1042" s="73"/>
      <c r="O1042" s="73"/>
      <c r="P1042" s="73"/>
      <c r="Q1042" s="73"/>
      <c r="R1042" s="73"/>
      <c r="S1042" s="73"/>
      <c r="T1042" s="73"/>
      <c r="U1042" s="73"/>
      <c r="V1042" s="73"/>
      <c r="W1042" s="73"/>
      <c r="X1042" s="73"/>
      <c r="Y1042" s="73"/>
      <c r="Z1042" s="73"/>
      <c r="AA1042" s="75"/>
      <c r="AB1042" s="75"/>
      <c r="AC1042" s="55"/>
      <c r="AD1042" s="89"/>
      <c r="AE1042" s="89"/>
      <c r="AF1042" s="89"/>
      <c r="AG1042" s="57"/>
      <c r="AH1042" s="58"/>
      <c r="AI1042" s="39"/>
      <c r="AK1042" s="41"/>
    </row>
    <row r="1043" spans="1:37" ht="21">
      <c r="A1043" s="32" t="s">
        <v>1293</v>
      </c>
      <c r="B1043" s="131" t="s">
        <v>24</v>
      </c>
      <c r="C1043" s="95" t="s">
        <v>554</v>
      </c>
      <c r="D1043" s="88" t="s">
        <v>81</v>
      </c>
      <c r="E1043" s="73"/>
      <c r="F1043" s="73"/>
      <c r="G1043" s="73"/>
      <c r="H1043" s="73"/>
      <c r="I1043" s="73"/>
      <c r="J1043" s="73"/>
      <c r="K1043" s="73"/>
      <c r="L1043" s="73"/>
      <c r="M1043" s="73"/>
      <c r="N1043" s="73"/>
      <c r="O1043" s="73"/>
      <c r="P1043" s="73"/>
      <c r="Q1043" s="73"/>
      <c r="R1043" s="73"/>
      <c r="S1043" s="73"/>
      <c r="T1043" s="73"/>
      <c r="U1043" s="73"/>
      <c r="V1043" s="73"/>
      <c r="W1043" s="73"/>
      <c r="X1043" s="73"/>
      <c r="Y1043" s="73"/>
      <c r="Z1043" s="73"/>
      <c r="AA1043" s="75"/>
      <c r="AB1043" s="75"/>
      <c r="AC1043" s="55"/>
      <c r="AD1043" s="89"/>
      <c r="AE1043" s="89"/>
      <c r="AF1043" s="89"/>
      <c r="AG1043" s="57"/>
      <c r="AH1043" s="58"/>
      <c r="AI1043" s="39"/>
      <c r="AK1043" s="41"/>
    </row>
    <row r="1044" spans="1:37" ht="21">
      <c r="A1044" s="32" t="s">
        <v>1294</v>
      </c>
      <c r="B1044" s="94" t="s">
        <v>25</v>
      </c>
      <c r="C1044" s="95" t="s">
        <v>534</v>
      </c>
      <c r="D1044" s="88"/>
      <c r="E1044" s="73"/>
      <c r="F1044" s="73"/>
      <c r="G1044" s="73"/>
      <c r="H1044" s="73"/>
      <c r="I1044" s="73"/>
      <c r="J1044" s="73"/>
      <c r="K1044" s="73"/>
      <c r="L1044" s="73"/>
      <c r="M1044" s="73"/>
      <c r="N1044" s="73"/>
      <c r="O1044" s="73"/>
      <c r="P1044" s="73"/>
      <c r="Q1044" s="73"/>
      <c r="R1044" s="73"/>
      <c r="S1044" s="73"/>
      <c r="T1044" s="73"/>
      <c r="U1044" s="73"/>
      <c r="V1044" s="73"/>
      <c r="W1044" s="73"/>
      <c r="X1044" s="73"/>
      <c r="Y1044" s="73"/>
      <c r="Z1044" s="73"/>
      <c r="AA1044" s="75"/>
      <c r="AB1044" s="75"/>
      <c r="AC1044" s="55"/>
      <c r="AD1044" s="89"/>
      <c r="AE1044" s="89"/>
      <c r="AF1044" s="89"/>
      <c r="AG1044" s="91"/>
      <c r="AH1044" s="48"/>
      <c r="AI1044" s="39"/>
      <c r="AK1044" s="41"/>
    </row>
    <row r="1045" spans="1:37" ht="21">
      <c r="A1045" s="32" t="s">
        <v>1295</v>
      </c>
      <c r="B1045" s="92" t="s">
        <v>525</v>
      </c>
      <c r="C1045" s="93" t="s">
        <v>526</v>
      </c>
      <c r="D1045" s="88" t="s">
        <v>81</v>
      </c>
      <c r="E1045" s="73"/>
      <c r="F1045" s="73"/>
      <c r="G1045" s="73"/>
      <c r="H1045" s="73"/>
      <c r="I1045" s="73"/>
      <c r="J1045" s="73"/>
      <c r="K1045" s="73"/>
      <c r="L1045" s="73"/>
      <c r="M1045" s="73"/>
      <c r="N1045" s="73"/>
      <c r="O1045" s="73"/>
      <c r="P1045" s="73"/>
      <c r="Q1045" s="73"/>
      <c r="R1045" s="73"/>
      <c r="S1045" s="73"/>
      <c r="T1045" s="73"/>
      <c r="U1045" s="73"/>
      <c r="V1045" s="73"/>
      <c r="W1045" s="73"/>
      <c r="X1045" s="73"/>
      <c r="Y1045" s="73"/>
      <c r="Z1045" s="73"/>
      <c r="AA1045" s="75"/>
      <c r="AB1045" s="75"/>
      <c r="AC1045" s="55"/>
      <c r="AD1045" s="89"/>
      <c r="AE1045" s="89"/>
      <c r="AF1045" s="89"/>
      <c r="AG1045" s="57"/>
      <c r="AH1045" s="58"/>
      <c r="AI1045" s="39"/>
      <c r="AK1045" s="41"/>
    </row>
    <row r="1046" spans="1:37" ht="21">
      <c r="A1046" s="32" t="s">
        <v>1296</v>
      </c>
      <c r="B1046" s="92" t="s">
        <v>529</v>
      </c>
      <c r="C1046" s="93" t="s">
        <v>535</v>
      </c>
      <c r="D1046" s="88" t="s">
        <v>81</v>
      </c>
      <c r="E1046" s="73"/>
      <c r="F1046" s="73"/>
      <c r="G1046" s="73"/>
      <c r="H1046" s="73"/>
      <c r="I1046" s="73"/>
      <c r="J1046" s="73"/>
      <c r="K1046" s="73"/>
      <c r="L1046" s="73"/>
      <c r="M1046" s="73"/>
      <c r="N1046" s="73"/>
      <c r="O1046" s="73"/>
      <c r="P1046" s="73"/>
      <c r="Q1046" s="73"/>
      <c r="R1046" s="73"/>
      <c r="S1046" s="73"/>
      <c r="T1046" s="73"/>
      <c r="U1046" s="73"/>
      <c r="V1046" s="73"/>
      <c r="W1046" s="73"/>
      <c r="X1046" s="73"/>
      <c r="Y1046" s="73"/>
      <c r="Z1046" s="73"/>
      <c r="AA1046" s="75"/>
      <c r="AB1046" s="75"/>
      <c r="AC1046" s="55"/>
      <c r="AD1046" s="89"/>
      <c r="AE1046" s="89"/>
      <c r="AF1046" s="89"/>
      <c r="AG1046" s="57"/>
      <c r="AH1046" s="58"/>
      <c r="AI1046" s="39"/>
      <c r="AK1046" s="41"/>
    </row>
    <row r="1047" spans="1:37" ht="21">
      <c r="A1047" s="32" t="s">
        <v>1297</v>
      </c>
      <c r="B1047" s="94" t="s">
        <v>60</v>
      </c>
      <c r="C1047" s="95" t="s">
        <v>536</v>
      </c>
      <c r="D1047" s="88"/>
      <c r="E1047" s="73"/>
      <c r="F1047" s="73"/>
      <c r="G1047" s="73"/>
      <c r="H1047" s="73"/>
      <c r="I1047" s="73"/>
      <c r="J1047" s="73"/>
      <c r="K1047" s="73"/>
      <c r="L1047" s="73"/>
      <c r="M1047" s="73"/>
      <c r="N1047" s="73"/>
      <c r="O1047" s="73"/>
      <c r="P1047" s="73"/>
      <c r="Q1047" s="73"/>
      <c r="R1047" s="73"/>
      <c r="S1047" s="73"/>
      <c r="T1047" s="73"/>
      <c r="U1047" s="73"/>
      <c r="V1047" s="73"/>
      <c r="W1047" s="73"/>
      <c r="X1047" s="73"/>
      <c r="Y1047" s="73"/>
      <c r="Z1047" s="73"/>
      <c r="AA1047" s="75"/>
      <c r="AB1047" s="75"/>
      <c r="AC1047" s="55"/>
      <c r="AD1047" s="89"/>
      <c r="AE1047" s="89"/>
      <c r="AF1047" s="89"/>
      <c r="AG1047" s="91"/>
      <c r="AH1047" s="48"/>
      <c r="AI1047" s="39"/>
      <c r="AK1047" s="41"/>
    </row>
    <row r="1048" spans="1:37" ht="21">
      <c r="A1048" s="32" t="s">
        <v>1298</v>
      </c>
      <c r="B1048" s="92" t="s">
        <v>525</v>
      </c>
      <c r="C1048" s="93" t="s">
        <v>528</v>
      </c>
      <c r="D1048" s="88" t="s">
        <v>81</v>
      </c>
      <c r="E1048" s="73"/>
      <c r="F1048" s="73"/>
      <c r="G1048" s="73"/>
      <c r="H1048" s="73"/>
      <c r="I1048" s="73"/>
      <c r="J1048" s="73"/>
      <c r="K1048" s="73"/>
      <c r="L1048" s="73"/>
      <c r="M1048" s="73"/>
      <c r="N1048" s="73"/>
      <c r="O1048" s="73"/>
      <c r="P1048" s="73"/>
      <c r="Q1048" s="73"/>
      <c r="R1048" s="73"/>
      <c r="S1048" s="73"/>
      <c r="T1048" s="73"/>
      <c r="U1048" s="73"/>
      <c r="V1048" s="73"/>
      <c r="W1048" s="73"/>
      <c r="X1048" s="73"/>
      <c r="Y1048" s="73"/>
      <c r="Z1048" s="73"/>
      <c r="AA1048" s="75"/>
      <c r="AB1048" s="75"/>
      <c r="AC1048" s="55"/>
      <c r="AD1048" s="89"/>
      <c r="AE1048" s="89"/>
      <c r="AF1048" s="89"/>
      <c r="AG1048" s="57"/>
      <c r="AH1048" s="58"/>
      <c r="AI1048" s="39"/>
      <c r="AK1048" s="41"/>
    </row>
    <row r="1049" spans="1:37" ht="21">
      <c r="A1049" s="32" t="s">
        <v>1299</v>
      </c>
      <c r="B1049" s="92" t="s">
        <v>529</v>
      </c>
      <c r="C1049" s="93" t="s">
        <v>555</v>
      </c>
      <c r="D1049" s="88" t="s">
        <v>81</v>
      </c>
      <c r="E1049" s="73"/>
      <c r="F1049" s="73"/>
      <c r="G1049" s="73"/>
      <c r="H1049" s="73"/>
      <c r="I1049" s="73"/>
      <c r="J1049" s="73"/>
      <c r="K1049" s="73"/>
      <c r="L1049" s="73"/>
      <c r="M1049" s="73"/>
      <c r="N1049" s="73"/>
      <c r="O1049" s="73"/>
      <c r="P1049" s="73"/>
      <c r="Q1049" s="73"/>
      <c r="R1049" s="73"/>
      <c r="S1049" s="73"/>
      <c r="T1049" s="73"/>
      <c r="U1049" s="73"/>
      <c r="V1049" s="73"/>
      <c r="W1049" s="73"/>
      <c r="X1049" s="73"/>
      <c r="Y1049" s="73"/>
      <c r="Z1049" s="73"/>
      <c r="AA1049" s="75"/>
      <c r="AB1049" s="75"/>
      <c r="AC1049" s="55"/>
      <c r="AD1049" s="89"/>
      <c r="AE1049" s="89"/>
      <c r="AF1049" s="89"/>
      <c r="AG1049" s="57"/>
      <c r="AH1049" s="58"/>
      <c r="AI1049" s="39"/>
      <c r="AK1049" s="41"/>
    </row>
    <row r="1050" spans="1:37" ht="21">
      <c r="A1050" s="32" t="s">
        <v>1300</v>
      </c>
      <c r="B1050" s="92" t="s">
        <v>538</v>
      </c>
      <c r="C1050" s="93" t="s">
        <v>539</v>
      </c>
      <c r="D1050" s="88" t="s">
        <v>81</v>
      </c>
      <c r="E1050" s="73"/>
      <c r="F1050" s="73"/>
      <c r="G1050" s="73"/>
      <c r="H1050" s="73"/>
      <c r="I1050" s="73"/>
      <c r="J1050" s="73"/>
      <c r="K1050" s="73"/>
      <c r="L1050" s="73"/>
      <c r="M1050" s="73"/>
      <c r="N1050" s="73"/>
      <c r="O1050" s="73"/>
      <c r="P1050" s="73"/>
      <c r="Q1050" s="73"/>
      <c r="R1050" s="73"/>
      <c r="S1050" s="73"/>
      <c r="T1050" s="73"/>
      <c r="U1050" s="73"/>
      <c r="V1050" s="73"/>
      <c r="W1050" s="73"/>
      <c r="X1050" s="73"/>
      <c r="Y1050" s="73"/>
      <c r="Z1050" s="73"/>
      <c r="AA1050" s="75"/>
      <c r="AB1050" s="75"/>
      <c r="AC1050" s="55"/>
      <c r="AD1050" s="89"/>
      <c r="AE1050" s="89"/>
      <c r="AF1050" s="89"/>
      <c r="AG1050" s="57"/>
      <c r="AH1050" s="58"/>
      <c r="AI1050" s="39"/>
      <c r="AK1050" s="41"/>
    </row>
    <row r="1051" spans="1:37" ht="21">
      <c r="A1051" s="32" t="s">
        <v>1301</v>
      </c>
      <c r="B1051" s="94" t="s">
        <v>496</v>
      </c>
      <c r="C1051" s="95" t="s">
        <v>531</v>
      </c>
      <c r="D1051" s="88"/>
      <c r="E1051" s="73"/>
      <c r="F1051" s="73"/>
      <c r="G1051" s="73"/>
      <c r="H1051" s="73"/>
      <c r="I1051" s="73"/>
      <c r="J1051" s="73"/>
      <c r="K1051" s="73"/>
      <c r="L1051" s="73"/>
      <c r="M1051" s="73"/>
      <c r="N1051" s="73"/>
      <c r="O1051" s="73"/>
      <c r="P1051" s="73"/>
      <c r="Q1051" s="73"/>
      <c r="R1051" s="73"/>
      <c r="S1051" s="73"/>
      <c r="T1051" s="73"/>
      <c r="U1051" s="73"/>
      <c r="V1051" s="73"/>
      <c r="W1051" s="73"/>
      <c r="X1051" s="73"/>
      <c r="Y1051" s="73"/>
      <c r="Z1051" s="73"/>
      <c r="AA1051" s="75"/>
      <c r="AB1051" s="75"/>
      <c r="AC1051" s="55"/>
      <c r="AD1051" s="89"/>
      <c r="AE1051" s="89"/>
      <c r="AF1051" s="89"/>
      <c r="AG1051" s="91"/>
      <c r="AH1051" s="48"/>
      <c r="AI1051" s="39"/>
      <c r="AK1051" s="41"/>
    </row>
    <row r="1052" spans="1:37" ht="21">
      <c r="A1052" s="32" t="s">
        <v>1302</v>
      </c>
      <c r="B1052" s="92" t="s">
        <v>525</v>
      </c>
      <c r="C1052" s="93" t="s">
        <v>532</v>
      </c>
      <c r="D1052" s="88" t="s">
        <v>81</v>
      </c>
      <c r="E1052" s="73"/>
      <c r="F1052" s="73"/>
      <c r="G1052" s="73"/>
      <c r="H1052" s="73"/>
      <c r="I1052" s="73"/>
      <c r="J1052" s="73"/>
      <c r="K1052" s="73"/>
      <c r="L1052" s="73"/>
      <c r="M1052" s="73"/>
      <c r="N1052" s="73"/>
      <c r="O1052" s="73"/>
      <c r="P1052" s="73"/>
      <c r="Q1052" s="73"/>
      <c r="R1052" s="73"/>
      <c r="S1052" s="73"/>
      <c r="T1052" s="73"/>
      <c r="U1052" s="73"/>
      <c r="V1052" s="73"/>
      <c r="W1052" s="73"/>
      <c r="X1052" s="73"/>
      <c r="Y1052" s="73"/>
      <c r="Z1052" s="73"/>
      <c r="AA1052" s="75"/>
      <c r="AB1052" s="75"/>
      <c r="AC1052" s="55"/>
      <c r="AD1052" s="89"/>
      <c r="AE1052" s="89"/>
      <c r="AF1052" s="89"/>
      <c r="AG1052" s="57"/>
      <c r="AH1052" s="58"/>
      <c r="AI1052" s="39"/>
      <c r="AK1052" s="41"/>
    </row>
    <row r="1053" spans="1:37" ht="21">
      <c r="A1053" s="32" t="s">
        <v>1303</v>
      </c>
      <c r="B1053" s="92" t="s">
        <v>529</v>
      </c>
      <c r="C1053" s="93" t="s">
        <v>540</v>
      </c>
      <c r="D1053" s="88" t="s">
        <v>81</v>
      </c>
      <c r="E1053" s="73"/>
      <c r="F1053" s="73"/>
      <c r="G1053" s="73"/>
      <c r="H1053" s="73"/>
      <c r="I1053" s="73"/>
      <c r="J1053" s="73"/>
      <c r="K1053" s="73"/>
      <c r="L1053" s="73"/>
      <c r="M1053" s="73"/>
      <c r="N1053" s="73"/>
      <c r="O1053" s="73"/>
      <c r="P1053" s="73"/>
      <c r="Q1053" s="73"/>
      <c r="R1053" s="73"/>
      <c r="S1053" s="73"/>
      <c r="T1053" s="73"/>
      <c r="U1053" s="73"/>
      <c r="V1053" s="73"/>
      <c r="W1053" s="73"/>
      <c r="X1053" s="73"/>
      <c r="Y1053" s="73"/>
      <c r="Z1053" s="73"/>
      <c r="AA1053" s="75"/>
      <c r="AB1053" s="75"/>
      <c r="AC1053" s="55"/>
      <c r="AD1053" s="89"/>
      <c r="AE1053" s="89"/>
      <c r="AF1053" s="89"/>
      <c r="AG1053" s="57"/>
      <c r="AH1053" s="58"/>
      <c r="AI1053" s="39"/>
      <c r="AK1053" s="41"/>
    </row>
    <row r="1054" spans="1:37" ht="21">
      <c r="A1054" s="32" t="s">
        <v>1304</v>
      </c>
      <c r="B1054" s="92" t="s">
        <v>538</v>
      </c>
      <c r="C1054" s="93" t="s">
        <v>541</v>
      </c>
      <c r="D1054" s="88" t="s">
        <v>81</v>
      </c>
      <c r="E1054" s="73"/>
      <c r="F1054" s="73"/>
      <c r="G1054" s="73"/>
      <c r="H1054" s="73"/>
      <c r="I1054" s="73"/>
      <c r="J1054" s="73"/>
      <c r="K1054" s="73"/>
      <c r="L1054" s="73"/>
      <c r="M1054" s="73"/>
      <c r="N1054" s="73"/>
      <c r="O1054" s="73"/>
      <c r="P1054" s="73"/>
      <c r="Q1054" s="73"/>
      <c r="R1054" s="73"/>
      <c r="S1054" s="73"/>
      <c r="T1054" s="73"/>
      <c r="U1054" s="73"/>
      <c r="V1054" s="73"/>
      <c r="W1054" s="73"/>
      <c r="X1054" s="73"/>
      <c r="Y1054" s="73"/>
      <c r="Z1054" s="73"/>
      <c r="AA1054" s="75"/>
      <c r="AB1054" s="75"/>
      <c r="AC1054" s="55"/>
      <c r="AD1054" s="89"/>
      <c r="AE1054" s="89"/>
      <c r="AF1054" s="89"/>
      <c r="AG1054" s="57"/>
      <c r="AH1054" s="58"/>
      <c r="AI1054" s="39"/>
      <c r="AK1054" s="41"/>
    </row>
    <row r="1055" spans="1:37" ht="21">
      <c r="A1055" s="32" t="s">
        <v>1305</v>
      </c>
      <c r="B1055" s="94" t="s">
        <v>40</v>
      </c>
      <c r="C1055" s="95" t="s">
        <v>586</v>
      </c>
      <c r="D1055" s="88"/>
      <c r="E1055" s="73"/>
      <c r="F1055" s="73"/>
      <c r="G1055" s="73"/>
      <c r="H1055" s="73"/>
      <c r="I1055" s="73"/>
      <c r="J1055" s="73"/>
      <c r="K1055" s="73"/>
      <c r="L1055" s="73"/>
      <c r="M1055" s="73"/>
      <c r="N1055" s="73"/>
      <c r="O1055" s="73"/>
      <c r="P1055" s="73"/>
      <c r="Q1055" s="73"/>
      <c r="R1055" s="73"/>
      <c r="S1055" s="73"/>
      <c r="T1055" s="73"/>
      <c r="U1055" s="73"/>
      <c r="V1055" s="73"/>
      <c r="W1055" s="73"/>
      <c r="X1055" s="73"/>
      <c r="Y1055" s="73"/>
      <c r="Z1055" s="73"/>
      <c r="AA1055" s="75"/>
      <c r="AB1055" s="75"/>
      <c r="AC1055" s="55"/>
      <c r="AD1055" s="89"/>
      <c r="AE1055" s="89"/>
      <c r="AF1055" s="89"/>
      <c r="AG1055" s="91"/>
      <c r="AH1055" s="48"/>
      <c r="AI1055" s="39"/>
      <c r="AK1055" s="41"/>
    </row>
    <row r="1056" spans="1:37" ht="21">
      <c r="A1056" s="32" t="s">
        <v>1306</v>
      </c>
      <c r="B1056" s="131" t="s">
        <v>104</v>
      </c>
      <c r="C1056" s="95" t="s">
        <v>1908</v>
      </c>
      <c r="D1056" s="88" t="s">
        <v>81</v>
      </c>
      <c r="E1056" s="73"/>
      <c r="F1056" s="73"/>
      <c r="G1056" s="73"/>
      <c r="H1056" s="73"/>
      <c r="I1056" s="73"/>
      <c r="J1056" s="73"/>
      <c r="K1056" s="73"/>
      <c r="L1056" s="73"/>
      <c r="M1056" s="73"/>
      <c r="N1056" s="73"/>
      <c r="O1056" s="73"/>
      <c r="P1056" s="73"/>
      <c r="Q1056" s="73"/>
      <c r="R1056" s="73"/>
      <c r="S1056" s="73"/>
      <c r="T1056" s="73"/>
      <c r="U1056" s="73"/>
      <c r="V1056" s="73"/>
      <c r="W1056" s="73"/>
      <c r="X1056" s="73"/>
      <c r="Y1056" s="73"/>
      <c r="Z1056" s="73"/>
      <c r="AA1056" s="75"/>
      <c r="AB1056" s="75"/>
      <c r="AC1056" s="55"/>
      <c r="AD1056" s="89"/>
      <c r="AE1056" s="89"/>
      <c r="AF1056" s="89"/>
      <c r="AG1056" s="57"/>
      <c r="AH1056" s="58"/>
      <c r="AI1056" s="39"/>
      <c r="AK1056" s="41"/>
    </row>
    <row r="1057" spans="1:37" ht="21">
      <c r="A1057" s="32" t="s">
        <v>1307</v>
      </c>
      <c r="B1057" s="94" t="s">
        <v>48</v>
      </c>
      <c r="C1057" s="95" t="s">
        <v>587</v>
      </c>
      <c r="D1057" s="134"/>
      <c r="E1057" s="135"/>
      <c r="F1057" s="135"/>
      <c r="G1057" s="135"/>
      <c r="H1057" s="135"/>
      <c r="I1057" s="135"/>
      <c r="J1057" s="135"/>
      <c r="K1057" s="135"/>
      <c r="L1057" s="135"/>
      <c r="M1057" s="135"/>
      <c r="N1057" s="135"/>
      <c r="O1057" s="135"/>
      <c r="P1057" s="135"/>
      <c r="Q1057" s="135"/>
      <c r="R1057" s="135"/>
      <c r="S1057" s="135"/>
      <c r="T1057" s="135"/>
      <c r="U1057" s="135"/>
      <c r="V1057" s="135"/>
      <c r="W1057" s="135"/>
      <c r="X1057" s="135"/>
      <c r="Y1057" s="135"/>
      <c r="Z1057" s="135"/>
      <c r="AA1057" s="136"/>
      <c r="AB1057" s="136"/>
      <c r="AC1057" s="55"/>
      <c r="AD1057" s="89"/>
      <c r="AE1057" s="89"/>
      <c r="AF1057" s="89"/>
      <c r="AG1057" s="91"/>
      <c r="AH1057" s="48"/>
      <c r="AI1057" s="39"/>
      <c r="AK1057" s="41"/>
    </row>
    <row r="1058" spans="1:37" ht="21">
      <c r="A1058" s="32" t="s">
        <v>1308</v>
      </c>
      <c r="B1058" s="131" t="s">
        <v>104</v>
      </c>
      <c r="C1058" s="95" t="s">
        <v>1909</v>
      </c>
      <c r="D1058" s="88" t="s">
        <v>81</v>
      </c>
      <c r="E1058" s="73"/>
      <c r="F1058" s="73"/>
      <c r="G1058" s="73"/>
      <c r="H1058" s="73"/>
      <c r="I1058" s="73"/>
      <c r="J1058" s="73"/>
      <c r="K1058" s="73"/>
      <c r="L1058" s="73"/>
      <c r="M1058" s="73"/>
      <c r="N1058" s="73"/>
      <c r="O1058" s="73"/>
      <c r="P1058" s="73"/>
      <c r="Q1058" s="73"/>
      <c r="R1058" s="73"/>
      <c r="S1058" s="73"/>
      <c r="T1058" s="73"/>
      <c r="U1058" s="73"/>
      <c r="V1058" s="73"/>
      <c r="W1058" s="73"/>
      <c r="X1058" s="73"/>
      <c r="Y1058" s="73"/>
      <c r="Z1058" s="73"/>
      <c r="AA1058" s="75"/>
      <c r="AB1058" s="75"/>
      <c r="AC1058" s="55"/>
      <c r="AD1058" s="89"/>
      <c r="AE1058" s="89"/>
      <c r="AF1058" s="89"/>
      <c r="AG1058" s="57"/>
      <c r="AH1058" s="58"/>
      <c r="AI1058" s="39"/>
      <c r="AK1058" s="41"/>
    </row>
    <row r="1059" spans="1:37" ht="21">
      <c r="A1059" s="32" t="s">
        <v>1309</v>
      </c>
      <c r="B1059" s="94" t="s">
        <v>55</v>
      </c>
      <c r="C1059" s="95" t="s">
        <v>588</v>
      </c>
      <c r="D1059" s="88"/>
      <c r="E1059" s="73"/>
      <c r="F1059" s="73"/>
      <c r="G1059" s="73"/>
      <c r="H1059" s="73"/>
      <c r="I1059" s="73"/>
      <c r="J1059" s="73"/>
      <c r="K1059" s="73"/>
      <c r="L1059" s="73"/>
      <c r="M1059" s="73"/>
      <c r="N1059" s="73"/>
      <c r="O1059" s="73"/>
      <c r="P1059" s="73"/>
      <c r="Q1059" s="73"/>
      <c r="R1059" s="73"/>
      <c r="S1059" s="73"/>
      <c r="T1059" s="73"/>
      <c r="U1059" s="73"/>
      <c r="V1059" s="73"/>
      <c r="W1059" s="73"/>
      <c r="X1059" s="73"/>
      <c r="Y1059" s="73"/>
      <c r="Z1059" s="73"/>
      <c r="AA1059" s="75"/>
      <c r="AB1059" s="75"/>
      <c r="AC1059" s="55"/>
      <c r="AD1059" s="89"/>
      <c r="AE1059" s="89"/>
      <c r="AF1059" s="89"/>
      <c r="AG1059" s="91"/>
      <c r="AH1059" s="48"/>
      <c r="AI1059" s="39"/>
      <c r="AK1059" s="41"/>
    </row>
    <row r="1060" spans="1:37" ht="21">
      <c r="A1060" s="32" t="s">
        <v>1310</v>
      </c>
      <c r="B1060" s="131" t="s">
        <v>104</v>
      </c>
      <c r="C1060" s="95" t="s">
        <v>1910</v>
      </c>
      <c r="D1060" s="88" t="s">
        <v>81</v>
      </c>
      <c r="E1060" s="73"/>
      <c r="F1060" s="73"/>
      <c r="G1060" s="73"/>
      <c r="H1060" s="73"/>
      <c r="I1060" s="73"/>
      <c r="J1060" s="73"/>
      <c r="K1060" s="73"/>
      <c r="L1060" s="73"/>
      <c r="M1060" s="73"/>
      <c r="N1060" s="73"/>
      <c r="O1060" s="73"/>
      <c r="P1060" s="73"/>
      <c r="Q1060" s="73"/>
      <c r="R1060" s="73"/>
      <c r="S1060" s="73"/>
      <c r="T1060" s="73"/>
      <c r="U1060" s="73"/>
      <c r="V1060" s="73"/>
      <c r="W1060" s="73"/>
      <c r="X1060" s="73"/>
      <c r="Y1060" s="73"/>
      <c r="Z1060" s="73"/>
      <c r="AA1060" s="75"/>
      <c r="AB1060" s="75"/>
      <c r="AC1060" s="55"/>
      <c r="AD1060" s="89"/>
      <c r="AE1060" s="89"/>
      <c r="AF1060" s="89"/>
      <c r="AG1060" s="57"/>
      <c r="AH1060" s="58"/>
      <c r="AI1060" s="39"/>
      <c r="AK1060" s="41"/>
    </row>
    <row r="1061" spans="1:37" ht="40.5">
      <c r="A1061" s="32" t="s">
        <v>589</v>
      </c>
      <c r="B1061" s="86" t="s">
        <v>589</v>
      </c>
      <c r="C1061" s="87" t="s">
        <v>2593</v>
      </c>
      <c r="D1061" s="88"/>
      <c r="E1061" s="73"/>
      <c r="F1061" s="73"/>
      <c r="G1061" s="73"/>
      <c r="H1061" s="73"/>
      <c r="I1061" s="73"/>
      <c r="J1061" s="73"/>
      <c r="K1061" s="73"/>
      <c r="L1061" s="73"/>
      <c r="M1061" s="73"/>
      <c r="N1061" s="73"/>
      <c r="O1061" s="73"/>
      <c r="P1061" s="73"/>
      <c r="Q1061" s="73"/>
      <c r="R1061" s="73"/>
      <c r="S1061" s="73"/>
      <c r="T1061" s="73"/>
      <c r="U1061" s="73"/>
      <c r="V1061" s="73"/>
      <c r="W1061" s="73"/>
      <c r="X1061" s="73"/>
      <c r="Y1061" s="73"/>
      <c r="Z1061" s="73"/>
      <c r="AA1061" s="75"/>
      <c r="AB1061" s="75"/>
      <c r="AC1061" s="55"/>
      <c r="AD1061" s="89"/>
      <c r="AE1061" s="89"/>
      <c r="AF1061" s="89"/>
      <c r="AG1061" s="91"/>
      <c r="AH1061" s="48"/>
      <c r="AI1061" s="39"/>
      <c r="AK1061" s="41"/>
    </row>
    <row r="1062" spans="1:37" ht="21">
      <c r="A1062" s="32" t="s">
        <v>1311</v>
      </c>
      <c r="B1062" s="94" t="s">
        <v>14</v>
      </c>
      <c r="C1062" s="95" t="s">
        <v>577</v>
      </c>
      <c r="D1062" s="88"/>
      <c r="E1062" s="73"/>
      <c r="F1062" s="73"/>
      <c r="G1062" s="73"/>
      <c r="H1062" s="73"/>
      <c r="I1062" s="73"/>
      <c r="J1062" s="73"/>
      <c r="K1062" s="73"/>
      <c r="L1062" s="73"/>
      <c r="M1062" s="73"/>
      <c r="N1062" s="73"/>
      <c r="O1062" s="73"/>
      <c r="P1062" s="73"/>
      <c r="Q1062" s="73"/>
      <c r="R1062" s="73"/>
      <c r="S1062" s="73"/>
      <c r="T1062" s="73"/>
      <c r="U1062" s="73"/>
      <c r="V1062" s="73"/>
      <c r="W1062" s="73"/>
      <c r="X1062" s="73"/>
      <c r="Y1062" s="73"/>
      <c r="Z1062" s="73"/>
      <c r="AA1062" s="75"/>
      <c r="AB1062" s="75"/>
      <c r="AC1062" s="55"/>
      <c r="AD1062" s="89"/>
      <c r="AE1062" s="89"/>
      <c r="AF1062" s="89"/>
      <c r="AG1062" s="91"/>
      <c r="AH1062" s="48"/>
      <c r="AI1062" s="39"/>
      <c r="AK1062" s="41"/>
    </row>
    <row r="1063" spans="1:37" ht="21">
      <c r="A1063" s="32" t="s">
        <v>1312</v>
      </c>
      <c r="B1063" s="131" t="s">
        <v>104</v>
      </c>
      <c r="C1063" s="95" t="s">
        <v>590</v>
      </c>
      <c r="D1063" s="88" t="s">
        <v>81</v>
      </c>
      <c r="E1063" s="73"/>
      <c r="F1063" s="73"/>
      <c r="G1063" s="73"/>
      <c r="H1063" s="73"/>
      <c r="I1063" s="73"/>
      <c r="J1063" s="73"/>
      <c r="K1063" s="73"/>
      <c r="L1063" s="73"/>
      <c r="M1063" s="73"/>
      <c r="N1063" s="73"/>
      <c r="O1063" s="73"/>
      <c r="P1063" s="73"/>
      <c r="Q1063" s="73"/>
      <c r="R1063" s="73"/>
      <c r="S1063" s="73"/>
      <c r="T1063" s="73"/>
      <c r="U1063" s="73"/>
      <c r="V1063" s="73"/>
      <c r="W1063" s="73"/>
      <c r="X1063" s="73"/>
      <c r="Y1063" s="73"/>
      <c r="Z1063" s="73"/>
      <c r="AA1063" s="75"/>
      <c r="AB1063" s="75"/>
      <c r="AC1063" s="55"/>
      <c r="AD1063" s="89"/>
      <c r="AE1063" s="89"/>
      <c r="AF1063" s="89"/>
      <c r="AG1063" s="57"/>
      <c r="AH1063" s="58"/>
      <c r="AI1063" s="39"/>
      <c r="AK1063" s="41"/>
    </row>
    <row r="1064" spans="1:37" ht="21">
      <c r="A1064" s="32" t="s">
        <v>1313</v>
      </c>
      <c r="B1064" s="131" t="s">
        <v>24</v>
      </c>
      <c r="C1064" s="95" t="s">
        <v>554</v>
      </c>
      <c r="D1064" s="88" t="s">
        <v>81</v>
      </c>
      <c r="E1064" s="73"/>
      <c r="F1064" s="73"/>
      <c r="G1064" s="73"/>
      <c r="H1064" s="73"/>
      <c r="I1064" s="73"/>
      <c r="J1064" s="73"/>
      <c r="K1064" s="73"/>
      <c r="L1064" s="73"/>
      <c r="M1064" s="73"/>
      <c r="N1064" s="73"/>
      <c r="O1064" s="73"/>
      <c r="P1064" s="73"/>
      <c r="Q1064" s="73"/>
      <c r="R1064" s="73"/>
      <c r="S1064" s="73"/>
      <c r="T1064" s="73"/>
      <c r="U1064" s="73"/>
      <c r="V1064" s="73"/>
      <c r="W1064" s="73"/>
      <c r="X1064" s="73"/>
      <c r="Y1064" s="73"/>
      <c r="Z1064" s="73"/>
      <c r="AA1064" s="75"/>
      <c r="AB1064" s="75"/>
      <c r="AC1064" s="55"/>
      <c r="AD1064" s="89"/>
      <c r="AE1064" s="89"/>
      <c r="AF1064" s="89"/>
      <c r="AG1064" s="57"/>
      <c r="AH1064" s="58"/>
      <c r="AI1064" s="39"/>
      <c r="AK1064" s="41"/>
    </row>
    <row r="1065" spans="1:37" ht="21">
      <c r="A1065" s="32" t="s">
        <v>1314</v>
      </c>
      <c r="B1065" s="94" t="s">
        <v>25</v>
      </c>
      <c r="C1065" s="95" t="s">
        <v>524</v>
      </c>
      <c r="D1065" s="88"/>
      <c r="E1065" s="73"/>
      <c r="F1065" s="73"/>
      <c r="G1065" s="73"/>
      <c r="H1065" s="73"/>
      <c r="I1065" s="73"/>
      <c r="J1065" s="73"/>
      <c r="K1065" s="73"/>
      <c r="L1065" s="73"/>
      <c r="M1065" s="73"/>
      <c r="N1065" s="73"/>
      <c r="O1065" s="73"/>
      <c r="P1065" s="73"/>
      <c r="Q1065" s="73"/>
      <c r="R1065" s="73"/>
      <c r="S1065" s="73"/>
      <c r="T1065" s="73"/>
      <c r="U1065" s="73"/>
      <c r="V1065" s="73"/>
      <c r="W1065" s="73"/>
      <c r="X1065" s="73"/>
      <c r="Y1065" s="73"/>
      <c r="Z1065" s="73"/>
      <c r="AA1065" s="75"/>
      <c r="AB1065" s="75"/>
      <c r="AC1065" s="55"/>
      <c r="AD1065" s="89"/>
      <c r="AE1065" s="89"/>
      <c r="AF1065" s="89"/>
      <c r="AG1065" s="91"/>
      <c r="AH1065" s="48"/>
      <c r="AI1065" s="39"/>
      <c r="AK1065" s="41"/>
    </row>
    <row r="1066" spans="1:37" ht="21">
      <c r="A1066" s="32" t="s">
        <v>1315</v>
      </c>
      <c r="B1066" s="92" t="s">
        <v>525</v>
      </c>
      <c r="C1066" s="93" t="s">
        <v>526</v>
      </c>
      <c r="D1066" s="88" t="s">
        <v>81</v>
      </c>
      <c r="E1066" s="73"/>
      <c r="F1066" s="73"/>
      <c r="G1066" s="73"/>
      <c r="H1066" s="73"/>
      <c r="I1066" s="73"/>
      <c r="J1066" s="73"/>
      <c r="K1066" s="73"/>
      <c r="L1066" s="73"/>
      <c r="M1066" s="73"/>
      <c r="N1066" s="73"/>
      <c r="O1066" s="73"/>
      <c r="P1066" s="73"/>
      <c r="Q1066" s="73"/>
      <c r="R1066" s="73"/>
      <c r="S1066" s="73"/>
      <c r="T1066" s="73"/>
      <c r="U1066" s="73"/>
      <c r="V1066" s="73"/>
      <c r="W1066" s="73"/>
      <c r="X1066" s="73"/>
      <c r="Y1066" s="73"/>
      <c r="Z1066" s="73"/>
      <c r="AA1066" s="75"/>
      <c r="AB1066" s="75"/>
      <c r="AC1066" s="55"/>
      <c r="AD1066" s="89"/>
      <c r="AE1066" s="89"/>
      <c r="AF1066" s="89"/>
      <c r="AG1066" s="57"/>
      <c r="AH1066" s="58"/>
      <c r="AI1066" s="39"/>
      <c r="AK1066" s="41"/>
    </row>
    <row r="1067" spans="1:37" ht="21">
      <c r="A1067" s="32" t="s">
        <v>1316</v>
      </c>
      <c r="B1067" s="94" t="s">
        <v>60</v>
      </c>
      <c r="C1067" s="95" t="s">
        <v>536</v>
      </c>
      <c r="D1067" s="88"/>
      <c r="E1067" s="73"/>
      <c r="F1067" s="73"/>
      <c r="G1067" s="73"/>
      <c r="H1067" s="73"/>
      <c r="I1067" s="73"/>
      <c r="J1067" s="73"/>
      <c r="K1067" s="73"/>
      <c r="L1067" s="73"/>
      <c r="M1067" s="73"/>
      <c r="N1067" s="73"/>
      <c r="O1067" s="73"/>
      <c r="P1067" s="73"/>
      <c r="Q1067" s="73"/>
      <c r="R1067" s="73"/>
      <c r="S1067" s="73"/>
      <c r="T1067" s="73"/>
      <c r="U1067" s="73"/>
      <c r="V1067" s="73"/>
      <c r="W1067" s="73"/>
      <c r="X1067" s="73"/>
      <c r="Y1067" s="73"/>
      <c r="Z1067" s="73"/>
      <c r="AA1067" s="75"/>
      <c r="AB1067" s="75"/>
      <c r="AC1067" s="55"/>
      <c r="AD1067" s="89"/>
      <c r="AE1067" s="89"/>
      <c r="AF1067" s="89"/>
      <c r="AG1067" s="91"/>
      <c r="AH1067" s="48"/>
      <c r="AI1067" s="39"/>
      <c r="AK1067" s="41"/>
    </row>
    <row r="1068" spans="1:37" ht="21">
      <c r="A1068" s="32" t="s">
        <v>1317</v>
      </c>
      <c r="B1068" s="92" t="s">
        <v>525</v>
      </c>
      <c r="C1068" s="93" t="s">
        <v>528</v>
      </c>
      <c r="D1068" s="88" t="s">
        <v>81</v>
      </c>
      <c r="E1068" s="73"/>
      <c r="F1068" s="73"/>
      <c r="G1068" s="73"/>
      <c r="H1068" s="73"/>
      <c r="I1068" s="73"/>
      <c r="J1068" s="73"/>
      <c r="K1068" s="73"/>
      <c r="L1068" s="73"/>
      <c r="M1068" s="73"/>
      <c r="N1068" s="73"/>
      <c r="O1068" s="73"/>
      <c r="P1068" s="73"/>
      <c r="Q1068" s="73"/>
      <c r="R1068" s="73"/>
      <c r="S1068" s="73"/>
      <c r="T1068" s="73"/>
      <c r="U1068" s="73"/>
      <c r="V1068" s="73"/>
      <c r="W1068" s="73"/>
      <c r="X1068" s="73"/>
      <c r="Y1068" s="73"/>
      <c r="Z1068" s="73"/>
      <c r="AA1068" s="75"/>
      <c r="AB1068" s="75"/>
      <c r="AC1068" s="55"/>
      <c r="AD1068" s="89"/>
      <c r="AE1068" s="89"/>
      <c r="AF1068" s="89"/>
      <c r="AG1068" s="57"/>
      <c r="AH1068" s="58"/>
      <c r="AI1068" s="39"/>
      <c r="AK1068" s="41"/>
    </row>
    <row r="1069" spans="1:37" ht="21">
      <c r="A1069" s="32" t="s">
        <v>1318</v>
      </c>
      <c r="B1069" s="92" t="s">
        <v>529</v>
      </c>
      <c r="C1069" s="93" t="s">
        <v>530</v>
      </c>
      <c r="D1069" s="88" t="s">
        <v>81</v>
      </c>
      <c r="E1069" s="73"/>
      <c r="F1069" s="73"/>
      <c r="G1069" s="73"/>
      <c r="H1069" s="73"/>
      <c r="I1069" s="73"/>
      <c r="J1069" s="73"/>
      <c r="K1069" s="73"/>
      <c r="L1069" s="73"/>
      <c r="M1069" s="73"/>
      <c r="N1069" s="73"/>
      <c r="O1069" s="73"/>
      <c r="P1069" s="73"/>
      <c r="Q1069" s="73"/>
      <c r="R1069" s="73"/>
      <c r="S1069" s="73"/>
      <c r="T1069" s="73"/>
      <c r="U1069" s="73"/>
      <c r="V1069" s="73"/>
      <c r="W1069" s="73"/>
      <c r="X1069" s="73"/>
      <c r="Y1069" s="73"/>
      <c r="Z1069" s="73"/>
      <c r="AA1069" s="75"/>
      <c r="AB1069" s="75"/>
      <c r="AC1069" s="55"/>
      <c r="AD1069" s="89"/>
      <c r="AE1069" s="89"/>
      <c r="AF1069" s="89"/>
      <c r="AG1069" s="57"/>
      <c r="AH1069" s="58"/>
      <c r="AI1069" s="39"/>
      <c r="AK1069" s="41"/>
    </row>
    <row r="1070" spans="1:37" ht="21">
      <c r="A1070" s="32" t="s">
        <v>1319</v>
      </c>
      <c r="B1070" s="94" t="s">
        <v>62</v>
      </c>
      <c r="C1070" s="95" t="s">
        <v>551</v>
      </c>
      <c r="D1070" s="88"/>
      <c r="E1070" s="73"/>
      <c r="F1070" s="73"/>
      <c r="G1070" s="73"/>
      <c r="H1070" s="73"/>
      <c r="I1070" s="73"/>
      <c r="J1070" s="73"/>
      <c r="K1070" s="73"/>
      <c r="L1070" s="73"/>
      <c r="M1070" s="73"/>
      <c r="N1070" s="73"/>
      <c r="O1070" s="73"/>
      <c r="P1070" s="73"/>
      <c r="Q1070" s="73"/>
      <c r="R1070" s="73"/>
      <c r="S1070" s="73"/>
      <c r="T1070" s="73"/>
      <c r="U1070" s="73"/>
      <c r="V1070" s="73"/>
      <c r="W1070" s="73"/>
      <c r="X1070" s="73"/>
      <c r="Y1070" s="73"/>
      <c r="Z1070" s="73"/>
      <c r="AA1070" s="75"/>
      <c r="AB1070" s="75"/>
      <c r="AC1070" s="55"/>
      <c r="AD1070" s="89"/>
      <c r="AE1070" s="89"/>
      <c r="AF1070" s="89"/>
      <c r="AG1070" s="91"/>
      <c r="AH1070" s="48"/>
      <c r="AI1070" s="39"/>
      <c r="AK1070" s="41"/>
    </row>
    <row r="1071" spans="1:37" ht="21">
      <c r="A1071" s="32" t="s">
        <v>1320</v>
      </c>
      <c r="B1071" s="92" t="s">
        <v>525</v>
      </c>
      <c r="C1071" s="93" t="s">
        <v>532</v>
      </c>
      <c r="D1071" s="88" t="s">
        <v>81</v>
      </c>
      <c r="E1071" s="73"/>
      <c r="F1071" s="73"/>
      <c r="G1071" s="73"/>
      <c r="H1071" s="73"/>
      <c r="I1071" s="73"/>
      <c r="J1071" s="73"/>
      <c r="K1071" s="73"/>
      <c r="L1071" s="73"/>
      <c r="M1071" s="73"/>
      <c r="N1071" s="73"/>
      <c r="O1071" s="73"/>
      <c r="P1071" s="73"/>
      <c r="Q1071" s="73"/>
      <c r="R1071" s="73"/>
      <c r="S1071" s="73"/>
      <c r="T1071" s="73"/>
      <c r="U1071" s="73"/>
      <c r="V1071" s="73"/>
      <c r="W1071" s="73"/>
      <c r="X1071" s="73"/>
      <c r="Y1071" s="73"/>
      <c r="Z1071" s="73"/>
      <c r="AA1071" s="75"/>
      <c r="AB1071" s="75"/>
      <c r="AC1071" s="55"/>
      <c r="AD1071" s="89"/>
      <c r="AE1071" s="89"/>
      <c r="AF1071" s="89"/>
      <c r="AG1071" s="57"/>
      <c r="AH1071" s="58"/>
      <c r="AI1071" s="39"/>
      <c r="AK1071" s="41"/>
    </row>
    <row r="1072" spans="1:37" ht="21">
      <c r="A1072" s="32" t="s">
        <v>1321</v>
      </c>
      <c r="B1072" s="92" t="s">
        <v>529</v>
      </c>
      <c r="C1072" s="93" t="s">
        <v>552</v>
      </c>
      <c r="D1072" s="88" t="s">
        <v>81</v>
      </c>
      <c r="E1072" s="73"/>
      <c r="F1072" s="73"/>
      <c r="G1072" s="73"/>
      <c r="H1072" s="73"/>
      <c r="I1072" s="73"/>
      <c r="J1072" s="73"/>
      <c r="K1072" s="73"/>
      <c r="L1072" s="73"/>
      <c r="M1072" s="73"/>
      <c r="N1072" s="73"/>
      <c r="O1072" s="73"/>
      <c r="P1072" s="73"/>
      <c r="Q1072" s="73"/>
      <c r="R1072" s="73"/>
      <c r="S1072" s="73"/>
      <c r="T1072" s="73"/>
      <c r="U1072" s="73"/>
      <c r="V1072" s="73"/>
      <c r="W1072" s="73"/>
      <c r="X1072" s="73"/>
      <c r="Y1072" s="73"/>
      <c r="Z1072" s="73"/>
      <c r="AA1072" s="75"/>
      <c r="AB1072" s="75"/>
      <c r="AC1072" s="55"/>
      <c r="AD1072" s="89"/>
      <c r="AE1072" s="89"/>
      <c r="AF1072" s="89"/>
      <c r="AG1072" s="57"/>
      <c r="AH1072" s="58"/>
      <c r="AI1072" s="39"/>
      <c r="AK1072" s="41"/>
    </row>
    <row r="1073" spans="1:37" ht="21">
      <c r="A1073" s="32" t="s">
        <v>1322</v>
      </c>
      <c r="B1073" s="94" t="s">
        <v>15</v>
      </c>
      <c r="C1073" s="95" t="s">
        <v>591</v>
      </c>
      <c r="D1073" s="88"/>
      <c r="E1073" s="73"/>
      <c r="F1073" s="73"/>
      <c r="G1073" s="73"/>
      <c r="H1073" s="73"/>
      <c r="I1073" s="73"/>
      <c r="J1073" s="73"/>
      <c r="K1073" s="73"/>
      <c r="L1073" s="73"/>
      <c r="M1073" s="73"/>
      <c r="N1073" s="73"/>
      <c r="O1073" s="73"/>
      <c r="P1073" s="73"/>
      <c r="Q1073" s="73"/>
      <c r="R1073" s="73"/>
      <c r="S1073" s="73"/>
      <c r="T1073" s="73"/>
      <c r="U1073" s="73"/>
      <c r="V1073" s="73"/>
      <c r="W1073" s="73"/>
      <c r="X1073" s="73"/>
      <c r="Y1073" s="73"/>
      <c r="Z1073" s="73"/>
      <c r="AA1073" s="75"/>
      <c r="AB1073" s="75"/>
      <c r="AC1073" s="55"/>
      <c r="AD1073" s="89"/>
      <c r="AE1073" s="89"/>
      <c r="AF1073" s="89"/>
      <c r="AG1073" s="91"/>
      <c r="AH1073" s="48"/>
      <c r="AI1073" s="39"/>
      <c r="AK1073" s="41"/>
    </row>
    <row r="1074" spans="1:37" ht="21">
      <c r="A1074" s="32" t="s">
        <v>1323</v>
      </c>
      <c r="B1074" s="131" t="s">
        <v>104</v>
      </c>
      <c r="C1074" s="95" t="s">
        <v>572</v>
      </c>
      <c r="D1074" s="88" t="s">
        <v>81</v>
      </c>
      <c r="E1074" s="73"/>
      <c r="F1074" s="73"/>
      <c r="G1074" s="73"/>
      <c r="H1074" s="73"/>
      <c r="I1074" s="73"/>
      <c r="J1074" s="73"/>
      <c r="K1074" s="73"/>
      <c r="L1074" s="73"/>
      <c r="M1074" s="73"/>
      <c r="N1074" s="73"/>
      <c r="O1074" s="73"/>
      <c r="P1074" s="73"/>
      <c r="Q1074" s="73"/>
      <c r="R1074" s="73"/>
      <c r="S1074" s="73"/>
      <c r="T1074" s="73"/>
      <c r="U1074" s="73"/>
      <c r="V1074" s="73"/>
      <c r="W1074" s="73"/>
      <c r="X1074" s="73"/>
      <c r="Y1074" s="73"/>
      <c r="Z1074" s="73"/>
      <c r="AA1074" s="75"/>
      <c r="AB1074" s="75"/>
      <c r="AC1074" s="55"/>
      <c r="AD1074" s="89"/>
      <c r="AE1074" s="89"/>
      <c r="AF1074" s="89"/>
      <c r="AG1074" s="57"/>
      <c r="AH1074" s="58"/>
      <c r="AI1074" s="39"/>
      <c r="AK1074" s="41"/>
    </row>
    <row r="1075" spans="1:37" ht="21">
      <c r="A1075" s="32" t="s">
        <v>1324</v>
      </c>
      <c r="B1075" s="131" t="s">
        <v>24</v>
      </c>
      <c r="C1075" s="95" t="s">
        <v>554</v>
      </c>
      <c r="D1075" s="88" t="s">
        <v>81</v>
      </c>
      <c r="E1075" s="73"/>
      <c r="F1075" s="73"/>
      <c r="G1075" s="73"/>
      <c r="H1075" s="73"/>
      <c r="I1075" s="73"/>
      <c r="J1075" s="73"/>
      <c r="K1075" s="73"/>
      <c r="L1075" s="73"/>
      <c r="M1075" s="73"/>
      <c r="N1075" s="73"/>
      <c r="O1075" s="73"/>
      <c r="P1075" s="73"/>
      <c r="Q1075" s="73"/>
      <c r="R1075" s="73"/>
      <c r="S1075" s="73"/>
      <c r="T1075" s="73"/>
      <c r="U1075" s="73"/>
      <c r="V1075" s="73"/>
      <c r="W1075" s="73"/>
      <c r="X1075" s="73"/>
      <c r="Y1075" s="73"/>
      <c r="Z1075" s="73"/>
      <c r="AA1075" s="75"/>
      <c r="AB1075" s="75"/>
      <c r="AC1075" s="55"/>
      <c r="AD1075" s="89"/>
      <c r="AE1075" s="89"/>
      <c r="AF1075" s="89"/>
      <c r="AG1075" s="57"/>
      <c r="AH1075" s="58"/>
      <c r="AI1075" s="39"/>
      <c r="AK1075" s="41"/>
    </row>
    <row r="1076" spans="1:37" ht="21">
      <c r="A1076" s="32" t="s">
        <v>1325</v>
      </c>
      <c r="B1076" s="94" t="s">
        <v>25</v>
      </c>
      <c r="C1076" s="95" t="s">
        <v>534</v>
      </c>
      <c r="D1076" s="88"/>
      <c r="E1076" s="73"/>
      <c r="F1076" s="73"/>
      <c r="G1076" s="73"/>
      <c r="H1076" s="73"/>
      <c r="I1076" s="73"/>
      <c r="J1076" s="73"/>
      <c r="K1076" s="73"/>
      <c r="L1076" s="73"/>
      <c r="M1076" s="73"/>
      <c r="N1076" s="73"/>
      <c r="O1076" s="73"/>
      <c r="P1076" s="73"/>
      <c r="Q1076" s="73"/>
      <c r="R1076" s="73"/>
      <c r="S1076" s="73"/>
      <c r="T1076" s="73"/>
      <c r="U1076" s="73"/>
      <c r="V1076" s="73"/>
      <c r="W1076" s="73"/>
      <c r="X1076" s="73"/>
      <c r="Y1076" s="73"/>
      <c r="Z1076" s="73"/>
      <c r="AA1076" s="75"/>
      <c r="AB1076" s="75"/>
      <c r="AC1076" s="55"/>
      <c r="AD1076" s="89"/>
      <c r="AE1076" s="89"/>
      <c r="AF1076" s="89"/>
      <c r="AG1076" s="91"/>
      <c r="AH1076" s="48"/>
      <c r="AI1076" s="39"/>
      <c r="AK1076" s="41"/>
    </row>
    <row r="1077" spans="1:37" ht="21">
      <c r="A1077" s="32" t="s">
        <v>1326</v>
      </c>
      <c r="B1077" s="92" t="s">
        <v>525</v>
      </c>
      <c r="C1077" s="93" t="s">
        <v>526</v>
      </c>
      <c r="D1077" s="88" t="s">
        <v>81</v>
      </c>
      <c r="E1077" s="73"/>
      <c r="F1077" s="73"/>
      <c r="G1077" s="73"/>
      <c r="H1077" s="73"/>
      <c r="I1077" s="73"/>
      <c r="J1077" s="73"/>
      <c r="K1077" s="73"/>
      <c r="L1077" s="73"/>
      <c r="M1077" s="73"/>
      <c r="N1077" s="73"/>
      <c r="O1077" s="73"/>
      <c r="P1077" s="73"/>
      <c r="Q1077" s="73"/>
      <c r="R1077" s="73"/>
      <c r="S1077" s="73"/>
      <c r="T1077" s="73"/>
      <c r="U1077" s="73"/>
      <c r="V1077" s="73"/>
      <c r="W1077" s="73"/>
      <c r="X1077" s="73"/>
      <c r="Y1077" s="73"/>
      <c r="Z1077" s="73"/>
      <c r="AA1077" s="75"/>
      <c r="AB1077" s="75"/>
      <c r="AC1077" s="55"/>
      <c r="AD1077" s="89"/>
      <c r="AE1077" s="89"/>
      <c r="AF1077" s="89"/>
      <c r="AG1077" s="57"/>
      <c r="AH1077" s="58"/>
      <c r="AI1077" s="39"/>
      <c r="AK1077" s="41"/>
    </row>
    <row r="1078" spans="1:37" ht="21">
      <c r="A1078" s="32" t="s">
        <v>1327</v>
      </c>
      <c r="B1078" s="92" t="s">
        <v>529</v>
      </c>
      <c r="C1078" s="93" t="s">
        <v>535</v>
      </c>
      <c r="D1078" s="88" t="s">
        <v>81</v>
      </c>
      <c r="E1078" s="73"/>
      <c r="F1078" s="73"/>
      <c r="G1078" s="73"/>
      <c r="H1078" s="73"/>
      <c r="I1078" s="73"/>
      <c r="J1078" s="73"/>
      <c r="K1078" s="73"/>
      <c r="L1078" s="73"/>
      <c r="M1078" s="73"/>
      <c r="N1078" s="73"/>
      <c r="O1078" s="73"/>
      <c r="P1078" s="73"/>
      <c r="Q1078" s="73"/>
      <c r="R1078" s="73"/>
      <c r="S1078" s="73"/>
      <c r="T1078" s="73"/>
      <c r="U1078" s="73"/>
      <c r="V1078" s="73"/>
      <c r="W1078" s="73"/>
      <c r="X1078" s="73"/>
      <c r="Y1078" s="73"/>
      <c r="Z1078" s="73"/>
      <c r="AA1078" s="75"/>
      <c r="AB1078" s="75"/>
      <c r="AC1078" s="55"/>
      <c r="AD1078" s="89"/>
      <c r="AE1078" s="89"/>
      <c r="AF1078" s="89"/>
      <c r="AG1078" s="57"/>
      <c r="AH1078" s="58"/>
      <c r="AI1078" s="39"/>
      <c r="AK1078" s="41"/>
    </row>
    <row r="1079" spans="1:37" ht="21">
      <c r="A1079" s="32" t="s">
        <v>1328</v>
      </c>
      <c r="B1079" s="94" t="s">
        <v>60</v>
      </c>
      <c r="C1079" s="95" t="s">
        <v>536</v>
      </c>
      <c r="D1079" s="88"/>
      <c r="E1079" s="73"/>
      <c r="F1079" s="73"/>
      <c r="G1079" s="73"/>
      <c r="H1079" s="73"/>
      <c r="I1079" s="73"/>
      <c r="J1079" s="73"/>
      <c r="K1079" s="73"/>
      <c r="L1079" s="73"/>
      <c r="M1079" s="73"/>
      <c r="N1079" s="73"/>
      <c r="O1079" s="73"/>
      <c r="P1079" s="73"/>
      <c r="Q1079" s="73"/>
      <c r="R1079" s="73"/>
      <c r="S1079" s="73"/>
      <c r="T1079" s="73"/>
      <c r="U1079" s="73"/>
      <c r="V1079" s="73"/>
      <c r="W1079" s="73"/>
      <c r="X1079" s="73"/>
      <c r="Y1079" s="73"/>
      <c r="Z1079" s="73"/>
      <c r="AA1079" s="75"/>
      <c r="AB1079" s="75"/>
      <c r="AC1079" s="55"/>
      <c r="AD1079" s="89"/>
      <c r="AE1079" s="89"/>
      <c r="AF1079" s="89"/>
      <c r="AG1079" s="91"/>
      <c r="AH1079" s="48"/>
      <c r="AI1079" s="39"/>
      <c r="AK1079" s="41"/>
    </row>
    <row r="1080" spans="1:37" ht="21">
      <c r="A1080" s="32" t="s">
        <v>1329</v>
      </c>
      <c r="B1080" s="92" t="s">
        <v>525</v>
      </c>
      <c r="C1080" s="93" t="s">
        <v>528</v>
      </c>
      <c r="D1080" s="88" t="s">
        <v>81</v>
      </c>
      <c r="E1080" s="73"/>
      <c r="F1080" s="73"/>
      <c r="G1080" s="73"/>
      <c r="H1080" s="73"/>
      <c r="I1080" s="73"/>
      <c r="J1080" s="73"/>
      <c r="K1080" s="73"/>
      <c r="L1080" s="73"/>
      <c r="M1080" s="73"/>
      <c r="N1080" s="73"/>
      <c r="O1080" s="73"/>
      <c r="P1080" s="73"/>
      <c r="Q1080" s="73"/>
      <c r="R1080" s="73"/>
      <c r="S1080" s="73"/>
      <c r="T1080" s="73"/>
      <c r="U1080" s="73"/>
      <c r="V1080" s="73"/>
      <c r="W1080" s="73"/>
      <c r="X1080" s="73"/>
      <c r="Y1080" s="73"/>
      <c r="Z1080" s="73"/>
      <c r="AA1080" s="75"/>
      <c r="AB1080" s="75"/>
      <c r="AC1080" s="55"/>
      <c r="AD1080" s="89"/>
      <c r="AE1080" s="89"/>
      <c r="AF1080" s="89"/>
      <c r="AG1080" s="57"/>
      <c r="AH1080" s="58"/>
      <c r="AI1080" s="39"/>
      <c r="AK1080" s="41"/>
    </row>
    <row r="1081" spans="1:37" ht="21">
      <c r="A1081" s="32" t="s">
        <v>1330</v>
      </c>
      <c r="B1081" s="92" t="s">
        <v>529</v>
      </c>
      <c r="C1081" s="93" t="s">
        <v>555</v>
      </c>
      <c r="D1081" s="88" t="s">
        <v>81</v>
      </c>
      <c r="E1081" s="73"/>
      <c r="F1081" s="73"/>
      <c r="G1081" s="73"/>
      <c r="H1081" s="73"/>
      <c r="I1081" s="73"/>
      <c r="J1081" s="73"/>
      <c r="K1081" s="73"/>
      <c r="L1081" s="73"/>
      <c r="M1081" s="73"/>
      <c r="N1081" s="73"/>
      <c r="O1081" s="73"/>
      <c r="P1081" s="73"/>
      <c r="Q1081" s="73"/>
      <c r="R1081" s="73"/>
      <c r="S1081" s="73"/>
      <c r="T1081" s="73"/>
      <c r="U1081" s="73"/>
      <c r="V1081" s="73"/>
      <c r="W1081" s="73"/>
      <c r="X1081" s="73"/>
      <c r="Y1081" s="73"/>
      <c r="Z1081" s="73"/>
      <c r="AA1081" s="75"/>
      <c r="AB1081" s="75"/>
      <c r="AC1081" s="55"/>
      <c r="AD1081" s="89"/>
      <c r="AE1081" s="89"/>
      <c r="AF1081" s="89"/>
      <c r="AG1081" s="57"/>
      <c r="AH1081" s="58"/>
      <c r="AI1081" s="39"/>
      <c r="AK1081" s="41"/>
    </row>
    <row r="1082" spans="1:37" ht="21">
      <c r="A1082" s="32" t="s">
        <v>1331</v>
      </c>
      <c r="B1082" s="92" t="s">
        <v>538</v>
      </c>
      <c r="C1082" s="93" t="s">
        <v>539</v>
      </c>
      <c r="D1082" s="88" t="s">
        <v>81</v>
      </c>
      <c r="E1082" s="73"/>
      <c r="F1082" s="73"/>
      <c r="G1082" s="73"/>
      <c r="H1082" s="73"/>
      <c r="I1082" s="73"/>
      <c r="J1082" s="73"/>
      <c r="K1082" s="73"/>
      <c r="L1082" s="73"/>
      <c r="M1082" s="73"/>
      <c r="N1082" s="73"/>
      <c r="O1082" s="73"/>
      <c r="P1082" s="73"/>
      <c r="Q1082" s="73"/>
      <c r="R1082" s="73"/>
      <c r="S1082" s="73"/>
      <c r="T1082" s="73"/>
      <c r="U1082" s="73"/>
      <c r="V1082" s="73"/>
      <c r="W1082" s="73"/>
      <c r="X1082" s="73"/>
      <c r="Y1082" s="73"/>
      <c r="Z1082" s="73"/>
      <c r="AA1082" s="75"/>
      <c r="AB1082" s="75"/>
      <c r="AC1082" s="55"/>
      <c r="AD1082" s="89"/>
      <c r="AE1082" s="89"/>
      <c r="AF1082" s="89"/>
      <c r="AG1082" s="57"/>
      <c r="AH1082" s="58"/>
      <c r="AI1082" s="39"/>
      <c r="AK1082" s="41"/>
    </row>
    <row r="1083" spans="1:37" ht="21">
      <c r="A1083" s="32" t="s">
        <v>1332</v>
      </c>
      <c r="B1083" s="94" t="s">
        <v>496</v>
      </c>
      <c r="C1083" s="95" t="s">
        <v>531</v>
      </c>
      <c r="D1083" s="88"/>
      <c r="E1083" s="73"/>
      <c r="F1083" s="73"/>
      <c r="G1083" s="73"/>
      <c r="H1083" s="73"/>
      <c r="I1083" s="73"/>
      <c r="J1083" s="73"/>
      <c r="K1083" s="73"/>
      <c r="L1083" s="73"/>
      <c r="M1083" s="73"/>
      <c r="N1083" s="73"/>
      <c r="O1083" s="73"/>
      <c r="P1083" s="73"/>
      <c r="Q1083" s="73"/>
      <c r="R1083" s="73"/>
      <c r="S1083" s="73"/>
      <c r="T1083" s="73"/>
      <c r="U1083" s="73"/>
      <c r="V1083" s="73"/>
      <c r="W1083" s="73"/>
      <c r="X1083" s="73"/>
      <c r="Y1083" s="73"/>
      <c r="Z1083" s="73"/>
      <c r="AA1083" s="75"/>
      <c r="AB1083" s="75"/>
      <c r="AC1083" s="55"/>
      <c r="AD1083" s="89"/>
      <c r="AE1083" s="89"/>
      <c r="AF1083" s="89"/>
      <c r="AG1083" s="91"/>
      <c r="AH1083" s="48"/>
      <c r="AI1083" s="39"/>
      <c r="AK1083" s="41"/>
    </row>
    <row r="1084" spans="1:37" ht="21">
      <c r="A1084" s="32" t="s">
        <v>1333</v>
      </c>
      <c r="B1084" s="92" t="s">
        <v>525</v>
      </c>
      <c r="C1084" s="93" t="s">
        <v>532</v>
      </c>
      <c r="D1084" s="88" t="s">
        <v>81</v>
      </c>
      <c r="E1084" s="73"/>
      <c r="F1084" s="73"/>
      <c r="G1084" s="73"/>
      <c r="H1084" s="73"/>
      <c r="I1084" s="73"/>
      <c r="J1084" s="73"/>
      <c r="K1084" s="73"/>
      <c r="L1084" s="73"/>
      <c r="M1084" s="73"/>
      <c r="N1084" s="73"/>
      <c r="O1084" s="73"/>
      <c r="P1084" s="73"/>
      <c r="Q1084" s="73"/>
      <c r="R1084" s="73"/>
      <c r="S1084" s="73"/>
      <c r="T1084" s="73"/>
      <c r="U1084" s="73"/>
      <c r="V1084" s="73"/>
      <c r="W1084" s="73"/>
      <c r="X1084" s="73"/>
      <c r="Y1084" s="73"/>
      <c r="Z1084" s="73"/>
      <c r="AA1084" s="75"/>
      <c r="AB1084" s="75"/>
      <c r="AC1084" s="55"/>
      <c r="AD1084" s="89"/>
      <c r="AE1084" s="89"/>
      <c r="AF1084" s="89"/>
      <c r="AG1084" s="57"/>
      <c r="AH1084" s="58"/>
      <c r="AI1084" s="39"/>
      <c r="AK1084" s="41"/>
    </row>
    <row r="1085" spans="1:37" ht="21">
      <c r="A1085" s="32" t="s">
        <v>1334</v>
      </c>
      <c r="B1085" s="92" t="s">
        <v>529</v>
      </c>
      <c r="C1085" s="93" t="s">
        <v>540</v>
      </c>
      <c r="D1085" s="88" t="s">
        <v>81</v>
      </c>
      <c r="E1085" s="73"/>
      <c r="F1085" s="73"/>
      <c r="G1085" s="73"/>
      <c r="H1085" s="73"/>
      <c r="I1085" s="73"/>
      <c r="J1085" s="73"/>
      <c r="K1085" s="73"/>
      <c r="L1085" s="73"/>
      <c r="M1085" s="73"/>
      <c r="N1085" s="73"/>
      <c r="O1085" s="73"/>
      <c r="P1085" s="73"/>
      <c r="Q1085" s="73"/>
      <c r="R1085" s="73"/>
      <c r="S1085" s="73"/>
      <c r="T1085" s="73"/>
      <c r="U1085" s="73"/>
      <c r="V1085" s="73"/>
      <c r="W1085" s="73"/>
      <c r="X1085" s="73"/>
      <c r="Y1085" s="73"/>
      <c r="Z1085" s="73"/>
      <c r="AA1085" s="75"/>
      <c r="AB1085" s="75"/>
      <c r="AC1085" s="55"/>
      <c r="AD1085" s="89"/>
      <c r="AE1085" s="89"/>
      <c r="AF1085" s="89"/>
      <c r="AG1085" s="57"/>
      <c r="AH1085" s="58"/>
      <c r="AI1085" s="39"/>
      <c r="AK1085" s="41"/>
    </row>
    <row r="1086" spans="1:37" ht="21">
      <c r="A1086" s="32" t="s">
        <v>1335</v>
      </c>
      <c r="B1086" s="92" t="s">
        <v>538</v>
      </c>
      <c r="C1086" s="93" t="s">
        <v>541</v>
      </c>
      <c r="D1086" s="88" t="s">
        <v>81</v>
      </c>
      <c r="E1086" s="73"/>
      <c r="F1086" s="73"/>
      <c r="G1086" s="73"/>
      <c r="H1086" s="73"/>
      <c r="I1086" s="73"/>
      <c r="J1086" s="73"/>
      <c r="K1086" s="73"/>
      <c r="L1086" s="73"/>
      <c r="M1086" s="73"/>
      <c r="N1086" s="73"/>
      <c r="O1086" s="73"/>
      <c r="P1086" s="73"/>
      <c r="Q1086" s="73"/>
      <c r="R1086" s="73"/>
      <c r="S1086" s="73"/>
      <c r="T1086" s="73"/>
      <c r="U1086" s="73"/>
      <c r="V1086" s="73"/>
      <c r="W1086" s="73"/>
      <c r="X1086" s="73"/>
      <c r="Y1086" s="73"/>
      <c r="Z1086" s="73"/>
      <c r="AA1086" s="75"/>
      <c r="AB1086" s="75"/>
      <c r="AC1086" s="55"/>
      <c r="AD1086" s="89"/>
      <c r="AE1086" s="89"/>
      <c r="AF1086" s="89"/>
      <c r="AG1086" s="57"/>
      <c r="AH1086" s="58"/>
      <c r="AI1086" s="39"/>
      <c r="AK1086" s="41"/>
    </row>
    <row r="1087" spans="1:37" ht="21">
      <c r="A1087" s="32" t="s">
        <v>1336</v>
      </c>
      <c r="B1087" s="94" t="s">
        <v>40</v>
      </c>
      <c r="C1087" s="95" t="s">
        <v>592</v>
      </c>
      <c r="D1087" s="88"/>
      <c r="E1087" s="73"/>
      <c r="F1087" s="73"/>
      <c r="G1087" s="73"/>
      <c r="H1087" s="73"/>
      <c r="I1087" s="73"/>
      <c r="J1087" s="73"/>
      <c r="K1087" s="73"/>
      <c r="L1087" s="73"/>
      <c r="M1087" s="73"/>
      <c r="N1087" s="73"/>
      <c r="O1087" s="73"/>
      <c r="P1087" s="73"/>
      <c r="Q1087" s="73"/>
      <c r="R1087" s="73"/>
      <c r="S1087" s="73"/>
      <c r="T1087" s="73"/>
      <c r="U1087" s="73"/>
      <c r="V1087" s="73"/>
      <c r="W1087" s="73"/>
      <c r="X1087" s="73"/>
      <c r="Y1087" s="73"/>
      <c r="Z1087" s="73"/>
      <c r="AA1087" s="75"/>
      <c r="AB1087" s="75"/>
      <c r="AC1087" s="55"/>
      <c r="AD1087" s="89"/>
      <c r="AE1087" s="89"/>
      <c r="AF1087" s="89"/>
      <c r="AG1087" s="91"/>
      <c r="AH1087" s="48"/>
      <c r="AI1087" s="39"/>
      <c r="AK1087" s="41"/>
    </row>
    <row r="1088" spans="1:37" ht="21">
      <c r="A1088" s="32" t="s">
        <v>1337</v>
      </c>
      <c r="B1088" s="131" t="s">
        <v>104</v>
      </c>
      <c r="C1088" s="95" t="s">
        <v>593</v>
      </c>
      <c r="D1088" s="88" t="s">
        <v>81</v>
      </c>
      <c r="E1088" s="73"/>
      <c r="F1088" s="73"/>
      <c r="G1088" s="73"/>
      <c r="H1088" s="73"/>
      <c r="I1088" s="73"/>
      <c r="J1088" s="73"/>
      <c r="K1088" s="73"/>
      <c r="L1088" s="73"/>
      <c r="M1088" s="73"/>
      <c r="N1088" s="73"/>
      <c r="O1088" s="73"/>
      <c r="P1088" s="73"/>
      <c r="Q1088" s="73"/>
      <c r="R1088" s="73"/>
      <c r="S1088" s="73"/>
      <c r="T1088" s="73"/>
      <c r="U1088" s="73"/>
      <c r="V1088" s="73"/>
      <c r="W1088" s="73"/>
      <c r="X1088" s="73"/>
      <c r="Y1088" s="73"/>
      <c r="Z1088" s="73"/>
      <c r="AA1088" s="75"/>
      <c r="AB1088" s="75"/>
      <c r="AC1088" s="55"/>
      <c r="AD1088" s="89"/>
      <c r="AE1088" s="89"/>
      <c r="AF1088" s="89"/>
      <c r="AG1088" s="57"/>
      <c r="AH1088" s="58"/>
      <c r="AI1088" s="39"/>
      <c r="AK1088" s="41"/>
    </row>
    <row r="1089" spans="1:37" ht="21">
      <c r="A1089" s="32" t="s">
        <v>1338</v>
      </c>
      <c r="B1089" s="94" t="s">
        <v>48</v>
      </c>
      <c r="C1089" s="95" t="s">
        <v>594</v>
      </c>
      <c r="D1089" s="134"/>
      <c r="E1089" s="135"/>
      <c r="F1089" s="135"/>
      <c r="G1089" s="135"/>
      <c r="H1089" s="135"/>
      <c r="I1089" s="135"/>
      <c r="J1089" s="135"/>
      <c r="K1089" s="135"/>
      <c r="L1089" s="135"/>
      <c r="M1089" s="135"/>
      <c r="N1089" s="135"/>
      <c r="O1089" s="135"/>
      <c r="P1089" s="135"/>
      <c r="Q1089" s="135"/>
      <c r="R1089" s="135"/>
      <c r="S1089" s="135"/>
      <c r="T1089" s="135"/>
      <c r="U1089" s="135"/>
      <c r="V1089" s="135"/>
      <c r="W1089" s="135"/>
      <c r="X1089" s="135"/>
      <c r="Y1089" s="135"/>
      <c r="Z1089" s="135"/>
      <c r="AA1089" s="136"/>
      <c r="AB1089" s="136"/>
      <c r="AC1089" s="55"/>
      <c r="AD1089" s="89"/>
      <c r="AE1089" s="89"/>
      <c r="AF1089" s="89"/>
      <c r="AG1089" s="91"/>
      <c r="AH1089" s="48"/>
      <c r="AI1089" s="39"/>
      <c r="AK1089" s="41"/>
    </row>
    <row r="1090" spans="1:37" ht="21">
      <c r="A1090" s="32" t="s">
        <v>1339</v>
      </c>
      <c r="B1090" s="131" t="s">
        <v>104</v>
      </c>
      <c r="C1090" s="95" t="s">
        <v>593</v>
      </c>
      <c r="D1090" s="88" t="s">
        <v>81</v>
      </c>
      <c r="E1090" s="73"/>
      <c r="F1090" s="73"/>
      <c r="G1090" s="73"/>
      <c r="H1090" s="73"/>
      <c r="I1090" s="73"/>
      <c r="J1090" s="73"/>
      <c r="K1090" s="73"/>
      <c r="L1090" s="73"/>
      <c r="M1090" s="73"/>
      <c r="N1090" s="73"/>
      <c r="O1090" s="73"/>
      <c r="P1090" s="73"/>
      <c r="Q1090" s="73"/>
      <c r="R1090" s="73"/>
      <c r="S1090" s="73"/>
      <c r="T1090" s="73"/>
      <c r="U1090" s="73"/>
      <c r="V1090" s="73"/>
      <c r="W1090" s="73"/>
      <c r="X1090" s="73"/>
      <c r="Y1090" s="73"/>
      <c r="Z1090" s="73"/>
      <c r="AA1090" s="75"/>
      <c r="AB1090" s="75"/>
      <c r="AC1090" s="55"/>
      <c r="AD1090" s="89"/>
      <c r="AE1090" s="89"/>
      <c r="AF1090" s="89"/>
      <c r="AG1090" s="57"/>
      <c r="AH1090" s="58"/>
      <c r="AI1090" s="39"/>
      <c r="AK1090" s="41"/>
    </row>
    <row r="1091" spans="1:37" ht="21">
      <c r="A1091" s="32" t="s">
        <v>1340</v>
      </c>
      <c r="B1091" s="94" t="s">
        <v>55</v>
      </c>
      <c r="C1091" s="95" t="s">
        <v>595</v>
      </c>
      <c r="D1091" s="88"/>
      <c r="E1091" s="73"/>
      <c r="F1091" s="73"/>
      <c r="G1091" s="73"/>
      <c r="H1091" s="73"/>
      <c r="I1091" s="73"/>
      <c r="J1091" s="73"/>
      <c r="K1091" s="73"/>
      <c r="L1091" s="73"/>
      <c r="M1091" s="73"/>
      <c r="N1091" s="73"/>
      <c r="O1091" s="73"/>
      <c r="P1091" s="73"/>
      <c r="Q1091" s="73"/>
      <c r="R1091" s="73"/>
      <c r="S1091" s="73"/>
      <c r="T1091" s="73"/>
      <c r="U1091" s="73"/>
      <c r="V1091" s="73"/>
      <c r="W1091" s="73"/>
      <c r="X1091" s="73"/>
      <c r="Y1091" s="73"/>
      <c r="Z1091" s="73"/>
      <c r="AA1091" s="75"/>
      <c r="AB1091" s="75"/>
      <c r="AC1091" s="55"/>
      <c r="AD1091" s="89"/>
      <c r="AE1091" s="89"/>
      <c r="AF1091" s="89"/>
      <c r="AG1091" s="91"/>
      <c r="AH1091" s="48"/>
      <c r="AI1091" s="39"/>
      <c r="AK1091" s="41"/>
    </row>
    <row r="1092" spans="1:37" ht="21">
      <c r="A1092" s="32" t="s">
        <v>1341</v>
      </c>
      <c r="B1092" s="131" t="s">
        <v>104</v>
      </c>
      <c r="C1092" s="95" t="s">
        <v>596</v>
      </c>
      <c r="D1092" s="88" t="s">
        <v>81</v>
      </c>
      <c r="E1092" s="73"/>
      <c r="F1092" s="73"/>
      <c r="G1092" s="73"/>
      <c r="H1092" s="73"/>
      <c r="I1092" s="73"/>
      <c r="J1092" s="73"/>
      <c r="K1092" s="73"/>
      <c r="L1092" s="73"/>
      <c r="M1092" s="73"/>
      <c r="N1092" s="73"/>
      <c r="O1092" s="73"/>
      <c r="P1092" s="73"/>
      <c r="Q1092" s="73"/>
      <c r="R1092" s="73"/>
      <c r="S1092" s="73"/>
      <c r="T1092" s="73"/>
      <c r="U1092" s="73"/>
      <c r="V1092" s="73"/>
      <c r="W1092" s="73"/>
      <c r="X1092" s="73"/>
      <c r="Y1092" s="73"/>
      <c r="Z1092" s="73"/>
      <c r="AA1092" s="75"/>
      <c r="AB1092" s="75"/>
      <c r="AC1092" s="55"/>
      <c r="AD1092" s="89"/>
      <c r="AE1092" s="89"/>
      <c r="AF1092" s="89"/>
      <c r="AG1092" s="57"/>
      <c r="AH1092" s="58"/>
      <c r="AI1092" s="39"/>
      <c r="AK1092" s="41"/>
    </row>
    <row r="1093" spans="1:37" ht="40.5">
      <c r="A1093" s="32" t="s">
        <v>597</v>
      </c>
      <c r="B1093" s="86" t="s">
        <v>597</v>
      </c>
      <c r="C1093" s="87" t="s">
        <v>2594</v>
      </c>
      <c r="D1093" s="88"/>
      <c r="E1093" s="73"/>
      <c r="F1093" s="73"/>
      <c r="G1093" s="73"/>
      <c r="H1093" s="73"/>
      <c r="I1093" s="73"/>
      <c r="J1093" s="73"/>
      <c r="K1093" s="73"/>
      <c r="L1093" s="73"/>
      <c r="M1093" s="73"/>
      <c r="N1093" s="73"/>
      <c r="O1093" s="73"/>
      <c r="P1093" s="73"/>
      <c r="Q1093" s="73"/>
      <c r="R1093" s="73"/>
      <c r="S1093" s="73"/>
      <c r="T1093" s="73"/>
      <c r="U1093" s="73"/>
      <c r="V1093" s="73"/>
      <c r="W1093" s="73"/>
      <c r="X1093" s="73"/>
      <c r="Y1093" s="73"/>
      <c r="Z1093" s="73"/>
      <c r="AA1093" s="75"/>
      <c r="AB1093" s="75"/>
      <c r="AC1093" s="55"/>
      <c r="AD1093" s="89"/>
      <c r="AE1093" s="89"/>
      <c r="AF1093" s="89"/>
      <c r="AG1093" s="91"/>
      <c r="AH1093" s="48"/>
      <c r="AI1093" s="39"/>
      <c r="AK1093" s="41"/>
    </row>
    <row r="1094" spans="1:37" ht="21">
      <c r="A1094" s="32" t="s">
        <v>1342</v>
      </c>
      <c r="B1094" s="94" t="s">
        <v>14</v>
      </c>
      <c r="C1094" s="95" t="s">
        <v>521</v>
      </c>
      <c r="D1094" s="88"/>
      <c r="E1094" s="73"/>
      <c r="F1094" s="73"/>
      <c r="G1094" s="73"/>
      <c r="H1094" s="73"/>
      <c r="I1094" s="73"/>
      <c r="J1094" s="73"/>
      <c r="K1094" s="73"/>
      <c r="L1094" s="73"/>
      <c r="M1094" s="73"/>
      <c r="N1094" s="73"/>
      <c r="O1094" s="73"/>
      <c r="P1094" s="73"/>
      <c r="Q1094" s="73"/>
      <c r="R1094" s="73"/>
      <c r="S1094" s="73"/>
      <c r="T1094" s="73"/>
      <c r="U1094" s="73"/>
      <c r="V1094" s="73"/>
      <c r="W1094" s="73"/>
      <c r="X1094" s="73"/>
      <c r="Y1094" s="73"/>
      <c r="Z1094" s="73"/>
      <c r="AA1094" s="75"/>
      <c r="AB1094" s="75"/>
      <c r="AC1094" s="55"/>
      <c r="AD1094" s="89"/>
      <c r="AE1094" s="89"/>
      <c r="AF1094" s="89"/>
      <c r="AG1094" s="91"/>
      <c r="AH1094" s="48"/>
      <c r="AI1094" s="39"/>
      <c r="AK1094" s="41"/>
    </row>
    <row r="1095" spans="1:37" ht="21">
      <c r="A1095" s="32" t="s">
        <v>1343</v>
      </c>
      <c r="B1095" s="131" t="s">
        <v>104</v>
      </c>
      <c r="C1095" s="95" t="s">
        <v>584</v>
      </c>
      <c r="D1095" s="88" t="s">
        <v>81</v>
      </c>
      <c r="E1095" s="73"/>
      <c r="F1095" s="73"/>
      <c r="G1095" s="73"/>
      <c r="H1095" s="73"/>
      <c r="I1095" s="73"/>
      <c r="J1095" s="73"/>
      <c r="K1095" s="73"/>
      <c r="L1095" s="73"/>
      <c r="M1095" s="73"/>
      <c r="N1095" s="73"/>
      <c r="O1095" s="73"/>
      <c r="P1095" s="73"/>
      <c r="Q1095" s="73"/>
      <c r="R1095" s="73"/>
      <c r="S1095" s="73"/>
      <c r="T1095" s="73"/>
      <c r="U1095" s="73"/>
      <c r="V1095" s="73"/>
      <c r="W1095" s="73"/>
      <c r="X1095" s="73"/>
      <c r="Y1095" s="73"/>
      <c r="Z1095" s="73"/>
      <c r="AA1095" s="75"/>
      <c r="AB1095" s="75"/>
      <c r="AC1095" s="55"/>
      <c r="AD1095" s="89"/>
      <c r="AE1095" s="89"/>
      <c r="AF1095" s="89"/>
      <c r="AG1095" s="57"/>
      <c r="AH1095" s="58"/>
      <c r="AI1095" s="39"/>
      <c r="AK1095" s="41"/>
    </row>
    <row r="1096" spans="1:37" ht="21">
      <c r="A1096" s="32" t="s">
        <v>1344</v>
      </c>
      <c r="B1096" s="131" t="s">
        <v>24</v>
      </c>
      <c r="C1096" s="95" t="s">
        <v>554</v>
      </c>
      <c r="D1096" s="88" t="s">
        <v>81</v>
      </c>
      <c r="E1096" s="73"/>
      <c r="F1096" s="73"/>
      <c r="G1096" s="73"/>
      <c r="H1096" s="73"/>
      <c r="I1096" s="73"/>
      <c r="J1096" s="73"/>
      <c r="K1096" s="73"/>
      <c r="L1096" s="73"/>
      <c r="M1096" s="73"/>
      <c r="N1096" s="73"/>
      <c r="O1096" s="73"/>
      <c r="P1096" s="73"/>
      <c r="Q1096" s="73"/>
      <c r="R1096" s="73"/>
      <c r="S1096" s="73"/>
      <c r="T1096" s="73"/>
      <c r="U1096" s="73"/>
      <c r="V1096" s="73"/>
      <c r="W1096" s="73"/>
      <c r="X1096" s="73"/>
      <c r="Y1096" s="73"/>
      <c r="Z1096" s="73"/>
      <c r="AA1096" s="75"/>
      <c r="AB1096" s="75"/>
      <c r="AC1096" s="55"/>
      <c r="AD1096" s="89"/>
      <c r="AE1096" s="89"/>
      <c r="AF1096" s="89"/>
      <c r="AG1096" s="57"/>
      <c r="AH1096" s="58"/>
      <c r="AI1096" s="39"/>
      <c r="AK1096" s="41"/>
    </row>
    <row r="1097" spans="1:37" ht="21">
      <c r="A1097" s="32" t="s">
        <v>1345</v>
      </c>
      <c r="B1097" s="94" t="s">
        <v>25</v>
      </c>
      <c r="C1097" s="95" t="s">
        <v>524</v>
      </c>
      <c r="D1097" s="88"/>
      <c r="E1097" s="73"/>
      <c r="F1097" s="73"/>
      <c r="G1097" s="73"/>
      <c r="H1097" s="73"/>
      <c r="I1097" s="73"/>
      <c r="J1097" s="73"/>
      <c r="K1097" s="73"/>
      <c r="L1097" s="73"/>
      <c r="M1097" s="73"/>
      <c r="N1097" s="73"/>
      <c r="O1097" s="73"/>
      <c r="P1097" s="73"/>
      <c r="Q1097" s="73"/>
      <c r="R1097" s="73"/>
      <c r="S1097" s="73"/>
      <c r="T1097" s="73"/>
      <c r="U1097" s="73"/>
      <c r="V1097" s="73"/>
      <c r="W1097" s="73"/>
      <c r="X1097" s="73"/>
      <c r="Y1097" s="73"/>
      <c r="Z1097" s="73"/>
      <c r="AA1097" s="75"/>
      <c r="AB1097" s="75"/>
      <c r="AC1097" s="55"/>
      <c r="AD1097" s="89"/>
      <c r="AE1097" s="89"/>
      <c r="AF1097" s="89"/>
      <c r="AG1097" s="91"/>
      <c r="AH1097" s="48"/>
      <c r="AI1097" s="39"/>
      <c r="AK1097" s="41"/>
    </row>
    <row r="1098" spans="1:37" ht="21">
      <c r="A1098" s="32" t="s">
        <v>1346</v>
      </c>
      <c r="B1098" s="92" t="s">
        <v>525</v>
      </c>
      <c r="C1098" s="93" t="s">
        <v>526</v>
      </c>
      <c r="D1098" s="88" t="s">
        <v>81</v>
      </c>
      <c r="E1098" s="73"/>
      <c r="F1098" s="73"/>
      <c r="G1098" s="73"/>
      <c r="H1098" s="73"/>
      <c r="I1098" s="73"/>
      <c r="J1098" s="73"/>
      <c r="K1098" s="73"/>
      <c r="L1098" s="73"/>
      <c r="M1098" s="73"/>
      <c r="N1098" s="73"/>
      <c r="O1098" s="73"/>
      <c r="P1098" s="73"/>
      <c r="Q1098" s="73"/>
      <c r="R1098" s="73"/>
      <c r="S1098" s="73"/>
      <c r="T1098" s="73"/>
      <c r="U1098" s="73"/>
      <c r="V1098" s="73"/>
      <c r="W1098" s="73"/>
      <c r="X1098" s="73"/>
      <c r="Y1098" s="73"/>
      <c r="Z1098" s="73"/>
      <c r="AA1098" s="75"/>
      <c r="AB1098" s="75"/>
      <c r="AC1098" s="55"/>
      <c r="AD1098" s="89"/>
      <c r="AE1098" s="89"/>
      <c r="AF1098" s="89"/>
      <c r="AG1098" s="57"/>
      <c r="AH1098" s="58"/>
      <c r="AI1098" s="39"/>
      <c r="AK1098" s="41"/>
    </row>
    <row r="1099" spans="1:37" ht="21">
      <c r="A1099" s="32" t="s">
        <v>1347</v>
      </c>
      <c r="B1099" s="94" t="s">
        <v>60</v>
      </c>
      <c r="C1099" s="95" t="s">
        <v>536</v>
      </c>
      <c r="D1099" s="88"/>
      <c r="E1099" s="73"/>
      <c r="F1099" s="73"/>
      <c r="G1099" s="73"/>
      <c r="H1099" s="73"/>
      <c r="I1099" s="73"/>
      <c r="J1099" s="73"/>
      <c r="K1099" s="73"/>
      <c r="L1099" s="73"/>
      <c r="M1099" s="73"/>
      <c r="N1099" s="73"/>
      <c r="O1099" s="73"/>
      <c r="P1099" s="73"/>
      <c r="Q1099" s="73"/>
      <c r="R1099" s="73"/>
      <c r="S1099" s="73"/>
      <c r="T1099" s="73"/>
      <c r="U1099" s="73"/>
      <c r="V1099" s="73"/>
      <c r="W1099" s="73"/>
      <c r="X1099" s="73"/>
      <c r="Y1099" s="73"/>
      <c r="Z1099" s="73"/>
      <c r="AA1099" s="75"/>
      <c r="AB1099" s="75"/>
      <c r="AC1099" s="55"/>
      <c r="AD1099" s="89"/>
      <c r="AE1099" s="89"/>
      <c r="AF1099" s="89"/>
      <c r="AG1099" s="91"/>
      <c r="AH1099" s="48"/>
      <c r="AI1099" s="39"/>
      <c r="AK1099" s="41"/>
    </row>
    <row r="1100" spans="1:37" ht="21">
      <c r="A1100" s="32" t="s">
        <v>1348</v>
      </c>
      <c r="B1100" s="92" t="s">
        <v>525</v>
      </c>
      <c r="C1100" s="93" t="s">
        <v>528</v>
      </c>
      <c r="D1100" s="88" t="s">
        <v>81</v>
      </c>
      <c r="E1100" s="73"/>
      <c r="F1100" s="73"/>
      <c r="G1100" s="73"/>
      <c r="H1100" s="73"/>
      <c r="I1100" s="73"/>
      <c r="J1100" s="73"/>
      <c r="K1100" s="73"/>
      <c r="L1100" s="73"/>
      <c r="M1100" s="73"/>
      <c r="N1100" s="73"/>
      <c r="O1100" s="73"/>
      <c r="P1100" s="73"/>
      <c r="Q1100" s="73"/>
      <c r="R1100" s="73"/>
      <c r="S1100" s="73"/>
      <c r="T1100" s="73"/>
      <c r="U1100" s="73"/>
      <c r="V1100" s="73"/>
      <c r="W1100" s="73"/>
      <c r="X1100" s="73"/>
      <c r="Y1100" s="73"/>
      <c r="Z1100" s="73"/>
      <c r="AA1100" s="75"/>
      <c r="AB1100" s="75"/>
      <c r="AC1100" s="55"/>
      <c r="AD1100" s="89"/>
      <c r="AE1100" s="89"/>
      <c r="AF1100" s="89"/>
      <c r="AG1100" s="57"/>
      <c r="AH1100" s="58"/>
      <c r="AI1100" s="39"/>
      <c r="AK1100" s="41"/>
    </row>
    <row r="1101" spans="1:37" ht="21">
      <c r="A1101" s="32" t="s">
        <v>1349</v>
      </c>
      <c r="B1101" s="92" t="s">
        <v>529</v>
      </c>
      <c r="C1101" s="93" t="s">
        <v>530</v>
      </c>
      <c r="D1101" s="88" t="s">
        <v>81</v>
      </c>
      <c r="E1101" s="73"/>
      <c r="F1101" s="73"/>
      <c r="G1101" s="73"/>
      <c r="H1101" s="73"/>
      <c r="I1101" s="73"/>
      <c r="J1101" s="73"/>
      <c r="K1101" s="73"/>
      <c r="L1101" s="73"/>
      <c r="M1101" s="73"/>
      <c r="N1101" s="73"/>
      <c r="O1101" s="73"/>
      <c r="P1101" s="73"/>
      <c r="Q1101" s="73"/>
      <c r="R1101" s="73"/>
      <c r="S1101" s="73"/>
      <c r="T1101" s="73"/>
      <c r="U1101" s="73"/>
      <c r="V1101" s="73"/>
      <c r="W1101" s="73"/>
      <c r="X1101" s="73"/>
      <c r="Y1101" s="73"/>
      <c r="Z1101" s="73"/>
      <c r="AA1101" s="75"/>
      <c r="AB1101" s="75"/>
      <c r="AC1101" s="55"/>
      <c r="AD1101" s="89"/>
      <c r="AE1101" s="89"/>
      <c r="AF1101" s="89"/>
      <c r="AG1101" s="57"/>
      <c r="AH1101" s="58"/>
      <c r="AI1101" s="39"/>
      <c r="AK1101" s="41"/>
    </row>
    <row r="1102" spans="1:37" ht="21">
      <c r="A1102" s="32" t="s">
        <v>1350</v>
      </c>
      <c r="B1102" s="94" t="s">
        <v>62</v>
      </c>
      <c r="C1102" s="95" t="s">
        <v>551</v>
      </c>
      <c r="D1102" s="88"/>
      <c r="E1102" s="73"/>
      <c r="F1102" s="73"/>
      <c r="G1102" s="73"/>
      <c r="H1102" s="73"/>
      <c r="I1102" s="73"/>
      <c r="J1102" s="73"/>
      <c r="K1102" s="73"/>
      <c r="L1102" s="73"/>
      <c r="M1102" s="73"/>
      <c r="N1102" s="73"/>
      <c r="O1102" s="73"/>
      <c r="P1102" s="73"/>
      <c r="Q1102" s="73"/>
      <c r="R1102" s="73"/>
      <c r="S1102" s="73"/>
      <c r="T1102" s="73"/>
      <c r="U1102" s="73"/>
      <c r="V1102" s="73"/>
      <c r="W1102" s="73"/>
      <c r="X1102" s="73"/>
      <c r="Y1102" s="73"/>
      <c r="Z1102" s="73"/>
      <c r="AA1102" s="75"/>
      <c r="AB1102" s="75"/>
      <c r="AC1102" s="55"/>
      <c r="AD1102" s="89"/>
      <c r="AE1102" s="89"/>
      <c r="AF1102" s="89"/>
      <c r="AG1102" s="91"/>
      <c r="AH1102" s="48"/>
      <c r="AI1102" s="39"/>
      <c r="AK1102" s="41"/>
    </row>
    <row r="1103" spans="1:37" ht="21">
      <c r="A1103" s="32" t="s">
        <v>1351</v>
      </c>
      <c r="B1103" s="92" t="s">
        <v>525</v>
      </c>
      <c r="C1103" s="93" t="s">
        <v>532</v>
      </c>
      <c r="D1103" s="88" t="s">
        <v>81</v>
      </c>
      <c r="E1103" s="73"/>
      <c r="F1103" s="73"/>
      <c r="G1103" s="73"/>
      <c r="H1103" s="73"/>
      <c r="I1103" s="73"/>
      <c r="J1103" s="73"/>
      <c r="K1103" s="73"/>
      <c r="L1103" s="73"/>
      <c r="M1103" s="73"/>
      <c r="N1103" s="73"/>
      <c r="O1103" s="73"/>
      <c r="P1103" s="73"/>
      <c r="Q1103" s="73"/>
      <c r="R1103" s="73"/>
      <c r="S1103" s="73"/>
      <c r="T1103" s="73"/>
      <c r="U1103" s="73"/>
      <c r="V1103" s="73"/>
      <c r="W1103" s="73"/>
      <c r="X1103" s="73"/>
      <c r="Y1103" s="73"/>
      <c r="Z1103" s="73"/>
      <c r="AA1103" s="75"/>
      <c r="AB1103" s="75"/>
      <c r="AC1103" s="55"/>
      <c r="AD1103" s="89"/>
      <c r="AE1103" s="89"/>
      <c r="AF1103" s="89"/>
      <c r="AG1103" s="57"/>
      <c r="AH1103" s="58"/>
      <c r="AI1103" s="39"/>
      <c r="AK1103" s="41"/>
    </row>
    <row r="1104" spans="1:37" ht="21">
      <c r="A1104" s="32" t="s">
        <v>1352</v>
      </c>
      <c r="B1104" s="92" t="s">
        <v>529</v>
      </c>
      <c r="C1104" s="93" t="s">
        <v>552</v>
      </c>
      <c r="D1104" s="88" t="s">
        <v>81</v>
      </c>
      <c r="E1104" s="73"/>
      <c r="F1104" s="73"/>
      <c r="G1104" s="73"/>
      <c r="H1104" s="73"/>
      <c r="I1104" s="73"/>
      <c r="J1104" s="73"/>
      <c r="K1104" s="73"/>
      <c r="L1104" s="73"/>
      <c r="M1104" s="73"/>
      <c r="N1104" s="73"/>
      <c r="O1104" s="73"/>
      <c r="P1104" s="73"/>
      <c r="Q1104" s="73"/>
      <c r="R1104" s="73"/>
      <c r="S1104" s="73"/>
      <c r="T1104" s="73"/>
      <c r="U1104" s="73"/>
      <c r="V1104" s="73"/>
      <c r="W1104" s="73"/>
      <c r="X1104" s="73"/>
      <c r="Y1104" s="73"/>
      <c r="Z1104" s="73"/>
      <c r="AA1104" s="75"/>
      <c r="AB1104" s="75"/>
      <c r="AC1104" s="55"/>
      <c r="AD1104" s="89"/>
      <c r="AE1104" s="89"/>
      <c r="AF1104" s="89"/>
      <c r="AG1104" s="57"/>
      <c r="AH1104" s="58"/>
      <c r="AI1104" s="39"/>
      <c r="AK1104" s="41"/>
    </row>
    <row r="1105" spans="1:37" ht="21">
      <c r="A1105" s="32" t="s">
        <v>1353</v>
      </c>
      <c r="B1105" s="94" t="s">
        <v>15</v>
      </c>
      <c r="C1105" s="95" t="s">
        <v>598</v>
      </c>
      <c r="D1105" s="88"/>
      <c r="E1105" s="73"/>
      <c r="F1105" s="73"/>
      <c r="G1105" s="73"/>
      <c r="H1105" s="73"/>
      <c r="I1105" s="73"/>
      <c r="J1105" s="73"/>
      <c r="K1105" s="73"/>
      <c r="L1105" s="73"/>
      <c r="M1105" s="73"/>
      <c r="N1105" s="73"/>
      <c r="O1105" s="73"/>
      <c r="P1105" s="73"/>
      <c r="Q1105" s="73"/>
      <c r="R1105" s="73"/>
      <c r="S1105" s="73"/>
      <c r="T1105" s="73"/>
      <c r="U1105" s="73"/>
      <c r="V1105" s="73"/>
      <c r="W1105" s="73"/>
      <c r="X1105" s="73"/>
      <c r="Y1105" s="73"/>
      <c r="Z1105" s="73"/>
      <c r="AA1105" s="75"/>
      <c r="AB1105" s="75"/>
      <c r="AC1105" s="55"/>
      <c r="AD1105" s="89"/>
      <c r="AE1105" s="89"/>
      <c r="AF1105" s="89"/>
      <c r="AG1105" s="91"/>
      <c r="AH1105" s="48"/>
      <c r="AI1105" s="39"/>
      <c r="AK1105" s="41"/>
    </row>
    <row r="1106" spans="1:37" ht="21">
      <c r="A1106" s="32" t="s">
        <v>1354</v>
      </c>
      <c r="B1106" s="131" t="s">
        <v>104</v>
      </c>
      <c r="C1106" s="95" t="s">
        <v>572</v>
      </c>
      <c r="D1106" s="88" t="s">
        <v>81</v>
      </c>
      <c r="E1106" s="73"/>
      <c r="F1106" s="73"/>
      <c r="G1106" s="73"/>
      <c r="H1106" s="73"/>
      <c r="I1106" s="73"/>
      <c r="J1106" s="73"/>
      <c r="K1106" s="73"/>
      <c r="L1106" s="73"/>
      <c r="M1106" s="73"/>
      <c r="N1106" s="73"/>
      <c r="O1106" s="73"/>
      <c r="P1106" s="73"/>
      <c r="Q1106" s="73"/>
      <c r="R1106" s="73"/>
      <c r="S1106" s="73"/>
      <c r="T1106" s="73"/>
      <c r="U1106" s="73"/>
      <c r="V1106" s="73"/>
      <c r="W1106" s="73"/>
      <c r="X1106" s="73"/>
      <c r="Y1106" s="73"/>
      <c r="Z1106" s="73"/>
      <c r="AA1106" s="75"/>
      <c r="AB1106" s="75"/>
      <c r="AC1106" s="55"/>
      <c r="AD1106" s="89"/>
      <c r="AE1106" s="89"/>
      <c r="AF1106" s="89"/>
      <c r="AG1106" s="57"/>
      <c r="AH1106" s="58"/>
      <c r="AI1106" s="39"/>
      <c r="AK1106" s="41"/>
    </row>
    <row r="1107" spans="1:37" ht="21">
      <c r="A1107" s="32" t="s">
        <v>1355</v>
      </c>
      <c r="B1107" s="131" t="s">
        <v>24</v>
      </c>
      <c r="C1107" s="95" t="s">
        <v>554</v>
      </c>
      <c r="D1107" s="88" t="s">
        <v>81</v>
      </c>
      <c r="E1107" s="73"/>
      <c r="F1107" s="73"/>
      <c r="G1107" s="73"/>
      <c r="H1107" s="73"/>
      <c r="I1107" s="73"/>
      <c r="J1107" s="73"/>
      <c r="K1107" s="73"/>
      <c r="L1107" s="73"/>
      <c r="M1107" s="73"/>
      <c r="N1107" s="73"/>
      <c r="O1107" s="73"/>
      <c r="P1107" s="73"/>
      <c r="Q1107" s="73"/>
      <c r="R1107" s="73"/>
      <c r="S1107" s="73"/>
      <c r="T1107" s="73"/>
      <c r="U1107" s="73"/>
      <c r="V1107" s="73"/>
      <c r="W1107" s="73"/>
      <c r="X1107" s="73"/>
      <c r="Y1107" s="73"/>
      <c r="Z1107" s="73"/>
      <c r="AA1107" s="75"/>
      <c r="AB1107" s="75"/>
      <c r="AC1107" s="55"/>
      <c r="AD1107" s="89"/>
      <c r="AE1107" s="89"/>
      <c r="AF1107" s="89"/>
      <c r="AG1107" s="57"/>
      <c r="AH1107" s="58"/>
      <c r="AI1107" s="39"/>
      <c r="AK1107" s="41"/>
    </row>
    <row r="1108" spans="1:37" ht="21">
      <c r="A1108" s="32" t="s">
        <v>1356</v>
      </c>
      <c r="B1108" s="94" t="s">
        <v>25</v>
      </c>
      <c r="C1108" s="95" t="s">
        <v>534</v>
      </c>
      <c r="D1108" s="88"/>
      <c r="E1108" s="73"/>
      <c r="F1108" s="73"/>
      <c r="G1108" s="73"/>
      <c r="H1108" s="73"/>
      <c r="I1108" s="73"/>
      <c r="J1108" s="73"/>
      <c r="K1108" s="73"/>
      <c r="L1108" s="73"/>
      <c r="M1108" s="73"/>
      <c r="N1108" s="73"/>
      <c r="O1108" s="73"/>
      <c r="P1108" s="73"/>
      <c r="Q1108" s="73"/>
      <c r="R1108" s="73"/>
      <c r="S1108" s="73"/>
      <c r="T1108" s="73"/>
      <c r="U1108" s="73"/>
      <c r="V1108" s="73"/>
      <c r="W1108" s="73"/>
      <c r="X1108" s="73"/>
      <c r="Y1108" s="73"/>
      <c r="Z1108" s="73"/>
      <c r="AA1108" s="75"/>
      <c r="AB1108" s="75"/>
      <c r="AC1108" s="55"/>
      <c r="AD1108" s="89"/>
      <c r="AE1108" s="89"/>
      <c r="AF1108" s="89"/>
      <c r="AG1108" s="91"/>
      <c r="AH1108" s="48"/>
      <c r="AI1108" s="39"/>
      <c r="AK1108" s="41"/>
    </row>
    <row r="1109" spans="1:37" ht="21">
      <c r="A1109" s="32" t="s">
        <v>1357</v>
      </c>
      <c r="B1109" s="92" t="s">
        <v>525</v>
      </c>
      <c r="C1109" s="93" t="s">
        <v>526</v>
      </c>
      <c r="D1109" s="88" t="s">
        <v>81</v>
      </c>
      <c r="E1109" s="73"/>
      <c r="F1109" s="73"/>
      <c r="G1109" s="73"/>
      <c r="H1109" s="73"/>
      <c r="I1109" s="73"/>
      <c r="J1109" s="73"/>
      <c r="K1109" s="73"/>
      <c r="L1109" s="73"/>
      <c r="M1109" s="73"/>
      <c r="N1109" s="73"/>
      <c r="O1109" s="73"/>
      <c r="P1109" s="73"/>
      <c r="Q1109" s="73"/>
      <c r="R1109" s="73"/>
      <c r="S1109" s="73"/>
      <c r="T1109" s="73"/>
      <c r="U1109" s="73"/>
      <c r="V1109" s="73"/>
      <c r="W1109" s="73"/>
      <c r="X1109" s="73"/>
      <c r="Y1109" s="73"/>
      <c r="Z1109" s="73"/>
      <c r="AA1109" s="75"/>
      <c r="AB1109" s="75"/>
      <c r="AC1109" s="55"/>
      <c r="AD1109" s="89"/>
      <c r="AE1109" s="89"/>
      <c r="AF1109" s="89"/>
      <c r="AG1109" s="57"/>
      <c r="AH1109" s="58"/>
      <c r="AI1109" s="39"/>
      <c r="AK1109" s="41"/>
    </row>
    <row r="1110" spans="1:37" ht="21">
      <c r="A1110" s="32" t="s">
        <v>1358</v>
      </c>
      <c r="B1110" s="92" t="s">
        <v>529</v>
      </c>
      <c r="C1110" s="93" t="s">
        <v>535</v>
      </c>
      <c r="D1110" s="88" t="s">
        <v>81</v>
      </c>
      <c r="E1110" s="73"/>
      <c r="F1110" s="73"/>
      <c r="G1110" s="73"/>
      <c r="H1110" s="73"/>
      <c r="I1110" s="73"/>
      <c r="J1110" s="73"/>
      <c r="K1110" s="73"/>
      <c r="L1110" s="73"/>
      <c r="M1110" s="73"/>
      <c r="N1110" s="73"/>
      <c r="O1110" s="73"/>
      <c r="P1110" s="73"/>
      <c r="Q1110" s="73"/>
      <c r="R1110" s="73"/>
      <c r="S1110" s="73"/>
      <c r="T1110" s="73"/>
      <c r="U1110" s="73"/>
      <c r="V1110" s="73"/>
      <c r="W1110" s="73"/>
      <c r="X1110" s="73"/>
      <c r="Y1110" s="73"/>
      <c r="Z1110" s="73"/>
      <c r="AA1110" s="75"/>
      <c r="AB1110" s="75"/>
      <c r="AC1110" s="55"/>
      <c r="AD1110" s="89"/>
      <c r="AE1110" s="89"/>
      <c r="AF1110" s="89"/>
      <c r="AG1110" s="57"/>
      <c r="AH1110" s="58"/>
      <c r="AI1110" s="39"/>
      <c r="AK1110" s="41"/>
    </row>
    <row r="1111" spans="1:37" ht="21">
      <c r="A1111" s="32" t="s">
        <v>1359</v>
      </c>
      <c r="B1111" s="94" t="s">
        <v>60</v>
      </c>
      <c r="C1111" s="95" t="s">
        <v>536</v>
      </c>
      <c r="D1111" s="88"/>
      <c r="E1111" s="73"/>
      <c r="F1111" s="73"/>
      <c r="G1111" s="73"/>
      <c r="H1111" s="73"/>
      <c r="I1111" s="73"/>
      <c r="J1111" s="73"/>
      <c r="K1111" s="73"/>
      <c r="L1111" s="73"/>
      <c r="M1111" s="73"/>
      <c r="N1111" s="73"/>
      <c r="O1111" s="73"/>
      <c r="P1111" s="73"/>
      <c r="Q1111" s="73"/>
      <c r="R1111" s="73"/>
      <c r="S1111" s="73"/>
      <c r="T1111" s="73"/>
      <c r="U1111" s="73"/>
      <c r="V1111" s="73"/>
      <c r="W1111" s="73"/>
      <c r="X1111" s="73"/>
      <c r="Y1111" s="73"/>
      <c r="Z1111" s="73"/>
      <c r="AA1111" s="75"/>
      <c r="AB1111" s="75"/>
      <c r="AC1111" s="55"/>
      <c r="AD1111" s="89"/>
      <c r="AE1111" s="89"/>
      <c r="AF1111" s="89"/>
      <c r="AG1111" s="91"/>
      <c r="AH1111" s="48"/>
      <c r="AI1111" s="39"/>
      <c r="AK1111" s="41"/>
    </row>
    <row r="1112" spans="1:37" ht="21">
      <c r="A1112" s="32" t="s">
        <v>1360</v>
      </c>
      <c r="B1112" s="92" t="s">
        <v>525</v>
      </c>
      <c r="C1112" s="93" t="s">
        <v>528</v>
      </c>
      <c r="D1112" s="88" t="s">
        <v>81</v>
      </c>
      <c r="E1112" s="73"/>
      <c r="F1112" s="73"/>
      <c r="G1112" s="73"/>
      <c r="H1112" s="73"/>
      <c r="I1112" s="73"/>
      <c r="J1112" s="73"/>
      <c r="K1112" s="73"/>
      <c r="L1112" s="73"/>
      <c r="M1112" s="73"/>
      <c r="N1112" s="73"/>
      <c r="O1112" s="73"/>
      <c r="P1112" s="73"/>
      <c r="Q1112" s="73"/>
      <c r="R1112" s="73"/>
      <c r="S1112" s="73"/>
      <c r="T1112" s="73"/>
      <c r="U1112" s="73"/>
      <c r="V1112" s="73"/>
      <c r="W1112" s="73"/>
      <c r="X1112" s="73"/>
      <c r="Y1112" s="73"/>
      <c r="Z1112" s="73"/>
      <c r="AA1112" s="75"/>
      <c r="AB1112" s="75"/>
      <c r="AC1112" s="55"/>
      <c r="AD1112" s="89"/>
      <c r="AE1112" s="89"/>
      <c r="AF1112" s="89"/>
      <c r="AG1112" s="57"/>
      <c r="AH1112" s="58"/>
      <c r="AI1112" s="39"/>
      <c r="AK1112" s="41"/>
    </row>
    <row r="1113" spans="1:37" ht="21">
      <c r="A1113" s="32" t="s">
        <v>1361</v>
      </c>
      <c r="B1113" s="92" t="s">
        <v>529</v>
      </c>
      <c r="C1113" s="93" t="s">
        <v>555</v>
      </c>
      <c r="D1113" s="88" t="s">
        <v>81</v>
      </c>
      <c r="E1113" s="73"/>
      <c r="F1113" s="73"/>
      <c r="G1113" s="73"/>
      <c r="H1113" s="73"/>
      <c r="I1113" s="73"/>
      <c r="J1113" s="73"/>
      <c r="K1113" s="73"/>
      <c r="L1113" s="73"/>
      <c r="M1113" s="73"/>
      <c r="N1113" s="73"/>
      <c r="O1113" s="73"/>
      <c r="P1113" s="73"/>
      <c r="Q1113" s="73"/>
      <c r="R1113" s="73"/>
      <c r="S1113" s="73"/>
      <c r="T1113" s="73"/>
      <c r="U1113" s="73"/>
      <c r="V1113" s="73"/>
      <c r="W1113" s="73"/>
      <c r="X1113" s="73"/>
      <c r="Y1113" s="73"/>
      <c r="Z1113" s="73"/>
      <c r="AA1113" s="75"/>
      <c r="AB1113" s="75"/>
      <c r="AC1113" s="55"/>
      <c r="AD1113" s="89"/>
      <c r="AE1113" s="89"/>
      <c r="AF1113" s="89"/>
      <c r="AG1113" s="57"/>
      <c r="AH1113" s="58"/>
      <c r="AI1113" s="39"/>
      <c r="AK1113" s="41"/>
    </row>
    <row r="1114" spans="1:37" ht="21">
      <c r="A1114" s="32" t="s">
        <v>1362</v>
      </c>
      <c r="B1114" s="92" t="s">
        <v>538</v>
      </c>
      <c r="C1114" s="93" t="s">
        <v>539</v>
      </c>
      <c r="D1114" s="88" t="s">
        <v>81</v>
      </c>
      <c r="E1114" s="73"/>
      <c r="F1114" s="73"/>
      <c r="G1114" s="73"/>
      <c r="H1114" s="73"/>
      <c r="I1114" s="73"/>
      <c r="J1114" s="73"/>
      <c r="K1114" s="73"/>
      <c r="L1114" s="73"/>
      <c r="M1114" s="73"/>
      <c r="N1114" s="73"/>
      <c r="O1114" s="73"/>
      <c r="P1114" s="73"/>
      <c r="Q1114" s="73"/>
      <c r="R1114" s="73"/>
      <c r="S1114" s="73"/>
      <c r="T1114" s="73"/>
      <c r="U1114" s="73"/>
      <c r="V1114" s="73"/>
      <c r="W1114" s="73"/>
      <c r="X1114" s="73"/>
      <c r="Y1114" s="73"/>
      <c r="Z1114" s="73"/>
      <c r="AA1114" s="75"/>
      <c r="AB1114" s="75"/>
      <c r="AC1114" s="55"/>
      <c r="AD1114" s="89"/>
      <c r="AE1114" s="89"/>
      <c r="AF1114" s="89"/>
      <c r="AG1114" s="57"/>
      <c r="AH1114" s="58"/>
      <c r="AI1114" s="39"/>
      <c r="AK1114" s="41"/>
    </row>
    <row r="1115" spans="1:37" ht="21">
      <c r="A1115" s="32" t="s">
        <v>1363</v>
      </c>
      <c r="B1115" s="94" t="s">
        <v>496</v>
      </c>
      <c r="C1115" s="95" t="s">
        <v>531</v>
      </c>
      <c r="D1115" s="88"/>
      <c r="E1115" s="73"/>
      <c r="F1115" s="73"/>
      <c r="G1115" s="73"/>
      <c r="H1115" s="73"/>
      <c r="I1115" s="73"/>
      <c r="J1115" s="73"/>
      <c r="K1115" s="73"/>
      <c r="L1115" s="73"/>
      <c r="M1115" s="73"/>
      <c r="N1115" s="73"/>
      <c r="O1115" s="73"/>
      <c r="P1115" s="73"/>
      <c r="Q1115" s="73"/>
      <c r="R1115" s="73"/>
      <c r="S1115" s="73"/>
      <c r="T1115" s="73"/>
      <c r="U1115" s="73"/>
      <c r="V1115" s="73"/>
      <c r="W1115" s="73"/>
      <c r="X1115" s="73"/>
      <c r="Y1115" s="73"/>
      <c r="Z1115" s="73"/>
      <c r="AA1115" s="75"/>
      <c r="AB1115" s="75"/>
      <c r="AC1115" s="55"/>
      <c r="AD1115" s="89"/>
      <c r="AE1115" s="89"/>
      <c r="AF1115" s="89"/>
      <c r="AG1115" s="91"/>
      <c r="AH1115" s="48"/>
      <c r="AI1115" s="39"/>
      <c r="AK1115" s="41"/>
    </row>
    <row r="1116" spans="1:37" ht="21">
      <c r="A1116" s="32" t="s">
        <v>1364</v>
      </c>
      <c r="B1116" s="92" t="s">
        <v>525</v>
      </c>
      <c r="C1116" s="93" t="s">
        <v>532</v>
      </c>
      <c r="D1116" s="88" t="s">
        <v>81</v>
      </c>
      <c r="E1116" s="73"/>
      <c r="F1116" s="73"/>
      <c r="G1116" s="73"/>
      <c r="H1116" s="73"/>
      <c r="I1116" s="73"/>
      <c r="J1116" s="73"/>
      <c r="K1116" s="73"/>
      <c r="L1116" s="73"/>
      <c r="M1116" s="73"/>
      <c r="N1116" s="73"/>
      <c r="O1116" s="73"/>
      <c r="P1116" s="73"/>
      <c r="Q1116" s="73"/>
      <c r="R1116" s="73"/>
      <c r="S1116" s="73"/>
      <c r="T1116" s="73"/>
      <c r="U1116" s="73"/>
      <c r="V1116" s="73"/>
      <c r="W1116" s="73"/>
      <c r="X1116" s="73"/>
      <c r="Y1116" s="73"/>
      <c r="Z1116" s="73"/>
      <c r="AA1116" s="75"/>
      <c r="AB1116" s="75"/>
      <c r="AC1116" s="55"/>
      <c r="AD1116" s="89"/>
      <c r="AE1116" s="89"/>
      <c r="AF1116" s="89"/>
      <c r="AG1116" s="57"/>
      <c r="AH1116" s="58"/>
      <c r="AI1116" s="39"/>
      <c r="AK1116" s="41"/>
    </row>
    <row r="1117" spans="1:37" ht="21">
      <c r="A1117" s="32" t="s">
        <v>1365</v>
      </c>
      <c r="B1117" s="92" t="s">
        <v>529</v>
      </c>
      <c r="C1117" s="93" t="s">
        <v>540</v>
      </c>
      <c r="D1117" s="88" t="s">
        <v>81</v>
      </c>
      <c r="E1117" s="73"/>
      <c r="F1117" s="73"/>
      <c r="G1117" s="73"/>
      <c r="H1117" s="73"/>
      <c r="I1117" s="73"/>
      <c r="J1117" s="73"/>
      <c r="K1117" s="73"/>
      <c r="L1117" s="73"/>
      <c r="M1117" s="73"/>
      <c r="N1117" s="73"/>
      <c r="O1117" s="73"/>
      <c r="P1117" s="73"/>
      <c r="Q1117" s="73"/>
      <c r="R1117" s="73"/>
      <c r="S1117" s="73"/>
      <c r="T1117" s="73"/>
      <c r="U1117" s="73"/>
      <c r="V1117" s="73"/>
      <c r="W1117" s="73"/>
      <c r="X1117" s="73"/>
      <c r="Y1117" s="73"/>
      <c r="Z1117" s="73"/>
      <c r="AA1117" s="75"/>
      <c r="AB1117" s="75"/>
      <c r="AC1117" s="55"/>
      <c r="AD1117" s="89"/>
      <c r="AE1117" s="89"/>
      <c r="AF1117" s="89"/>
      <c r="AG1117" s="57"/>
      <c r="AH1117" s="58"/>
      <c r="AI1117" s="39"/>
      <c r="AK1117" s="41"/>
    </row>
    <row r="1118" spans="1:37" ht="21">
      <c r="A1118" s="32" t="s">
        <v>1366</v>
      </c>
      <c r="B1118" s="92" t="s">
        <v>538</v>
      </c>
      <c r="C1118" s="93" t="s">
        <v>541</v>
      </c>
      <c r="D1118" s="88" t="s">
        <v>81</v>
      </c>
      <c r="E1118" s="73"/>
      <c r="F1118" s="73"/>
      <c r="G1118" s="73"/>
      <c r="H1118" s="73"/>
      <c r="I1118" s="73"/>
      <c r="J1118" s="73"/>
      <c r="K1118" s="73"/>
      <c r="L1118" s="73"/>
      <c r="M1118" s="73"/>
      <c r="N1118" s="73"/>
      <c r="O1118" s="73"/>
      <c r="P1118" s="73"/>
      <c r="Q1118" s="73"/>
      <c r="R1118" s="73"/>
      <c r="S1118" s="73"/>
      <c r="T1118" s="73"/>
      <c r="U1118" s="73"/>
      <c r="V1118" s="73"/>
      <c r="W1118" s="73"/>
      <c r="X1118" s="73"/>
      <c r="Y1118" s="73"/>
      <c r="Z1118" s="73"/>
      <c r="AA1118" s="75"/>
      <c r="AB1118" s="75"/>
      <c r="AC1118" s="55"/>
      <c r="AD1118" s="89"/>
      <c r="AE1118" s="89"/>
      <c r="AF1118" s="89"/>
      <c r="AG1118" s="57"/>
      <c r="AH1118" s="58"/>
      <c r="AI1118" s="39"/>
      <c r="AK1118" s="41"/>
    </row>
    <row r="1119" spans="1:37" ht="21">
      <c r="A1119" s="32" t="s">
        <v>1367</v>
      </c>
      <c r="B1119" s="94" t="s">
        <v>40</v>
      </c>
      <c r="C1119" s="95" t="s">
        <v>599</v>
      </c>
      <c r="D1119" s="88"/>
      <c r="E1119" s="73"/>
      <c r="F1119" s="73"/>
      <c r="G1119" s="73"/>
      <c r="H1119" s="73"/>
      <c r="I1119" s="73"/>
      <c r="J1119" s="73"/>
      <c r="K1119" s="73"/>
      <c r="L1119" s="73"/>
      <c r="M1119" s="73"/>
      <c r="N1119" s="73"/>
      <c r="O1119" s="73"/>
      <c r="P1119" s="73"/>
      <c r="Q1119" s="73"/>
      <c r="R1119" s="73"/>
      <c r="S1119" s="73"/>
      <c r="T1119" s="73"/>
      <c r="U1119" s="73"/>
      <c r="V1119" s="73"/>
      <c r="W1119" s="73"/>
      <c r="X1119" s="73"/>
      <c r="Y1119" s="73"/>
      <c r="Z1119" s="73"/>
      <c r="AA1119" s="75"/>
      <c r="AB1119" s="75"/>
      <c r="AC1119" s="55"/>
      <c r="AD1119" s="89"/>
      <c r="AE1119" s="89"/>
      <c r="AF1119" s="89"/>
      <c r="AG1119" s="91"/>
      <c r="AH1119" s="48"/>
      <c r="AI1119" s="39"/>
      <c r="AK1119" s="41"/>
    </row>
    <row r="1120" spans="1:37" ht="21">
      <c r="A1120" s="32" t="s">
        <v>1368</v>
      </c>
      <c r="B1120" s="131" t="s">
        <v>104</v>
      </c>
      <c r="C1120" s="95" t="s">
        <v>600</v>
      </c>
      <c r="D1120" s="88" t="s">
        <v>81</v>
      </c>
      <c r="E1120" s="73"/>
      <c r="F1120" s="73"/>
      <c r="G1120" s="73"/>
      <c r="H1120" s="73"/>
      <c r="I1120" s="73"/>
      <c r="J1120" s="73"/>
      <c r="K1120" s="73"/>
      <c r="L1120" s="73"/>
      <c r="M1120" s="73"/>
      <c r="N1120" s="73"/>
      <c r="O1120" s="73"/>
      <c r="P1120" s="73"/>
      <c r="Q1120" s="73"/>
      <c r="R1120" s="73"/>
      <c r="S1120" s="73"/>
      <c r="T1120" s="73"/>
      <c r="U1120" s="73"/>
      <c r="V1120" s="73"/>
      <c r="W1120" s="73"/>
      <c r="X1120" s="73"/>
      <c r="Y1120" s="73"/>
      <c r="Z1120" s="73"/>
      <c r="AA1120" s="75"/>
      <c r="AB1120" s="75"/>
      <c r="AC1120" s="55"/>
      <c r="AD1120" s="89"/>
      <c r="AE1120" s="89"/>
      <c r="AF1120" s="89"/>
      <c r="AG1120" s="57"/>
      <c r="AH1120" s="58"/>
      <c r="AI1120" s="39"/>
      <c r="AK1120" s="41"/>
    </row>
    <row r="1121" spans="1:37" ht="21">
      <c r="A1121" s="32" t="s">
        <v>1369</v>
      </c>
      <c r="B1121" s="94" t="s">
        <v>48</v>
      </c>
      <c r="C1121" s="95" t="s">
        <v>601</v>
      </c>
      <c r="D1121" s="134"/>
      <c r="E1121" s="135"/>
      <c r="F1121" s="135"/>
      <c r="G1121" s="135"/>
      <c r="H1121" s="135"/>
      <c r="I1121" s="135"/>
      <c r="J1121" s="135"/>
      <c r="K1121" s="135"/>
      <c r="L1121" s="135"/>
      <c r="M1121" s="135"/>
      <c r="N1121" s="135"/>
      <c r="O1121" s="135"/>
      <c r="P1121" s="135"/>
      <c r="Q1121" s="135"/>
      <c r="R1121" s="135"/>
      <c r="S1121" s="135"/>
      <c r="T1121" s="135"/>
      <c r="U1121" s="135"/>
      <c r="V1121" s="135"/>
      <c r="W1121" s="135"/>
      <c r="X1121" s="135"/>
      <c r="Y1121" s="135"/>
      <c r="Z1121" s="135"/>
      <c r="AA1121" s="136"/>
      <c r="AB1121" s="136"/>
      <c r="AC1121" s="55"/>
      <c r="AD1121" s="89"/>
      <c r="AE1121" s="89"/>
      <c r="AF1121" s="89"/>
      <c r="AG1121" s="91"/>
      <c r="AH1121" s="48"/>
      <c r="AI1121" s="39"/>
      <c r="AK1121" s="41"/>
    </row>
    <row r="1122" spans="1:37" ht="21">
      <c r="A1122" s="32" t="s">
        <v>1370</v>
      </c>
      <c r="B1122" s="131" t="s">
        <v>104</v>
      </c>
      <c r="C1122" s="95" t="s">
        <v>602</v>
      </c>
      <c r="D1122" s="88" t="s">
        <v>81</v>
      </c>
      <c r="E1122" s="73"/>
      <c r="F1122" s="73"/>
      <c r="G1122" s="73"/>
      <c r="H1122" s="73"/>
      <c r="I1122" s="73"/>
      <c r="J1122" s="73"/>
      <c r="K1122" s="73"/>
      <c r="L1122" s="73"/>
      <c r="M1122" s="73"/>
      <c r="N1122" s="73"/>
      <c r="O1122" s="73"/>
      <c r="P1122" s="73"/>
      <c r="Q1122" s="73"/>
      <c r="R1122" s="73"/>
      <c r="S1122" s="73"/>
      <c r="T1122" s="73"/>
      <c r="U1122" s="73"/>
      <c r="V1122" s="73"/>
      <c r="W1122" s="73"/>
      <c r="X1122" s="73"/>
      <c r="Y1122" s="73"/>
      <c r="Z1122" s="73"/>
      <c r="AA1122" s="75"/>
      <c r="AB1122" s="75"/>
      <c r="AC1122" s="55"/>
      <c r="AD1122" s="89"/>
      <c r="AE1122" s="89"/>
      <c r="AF1122" s="89"/>
      <c r="AG1122" s="57"/>
      <c r="AH1122" s="58"/>
      <c r="AI1122" s="39"/>
      <c r="AK1122" s="41"/>
    </row>
    <row r="1123" spans="1:37" ht="21">
      <c r="A1123" s="32" t="s">
        <v>1371</v>
      </c>
      <c r="B1123" s="94" t="s">
        <v>55</v>
      </c>
      <c r="C1123" s="95" t="s">
        <v>603</v>
      </c>
      <c r="D1123" s="88"/>
      <c r="E1123" s="73"/>
      <c r="F1123" s="73"/>
      <c r="G1123" s="73"/>
      <c r="H1123" s="73"/>
      <c r="I1123" s="73"/>
      <c r="J1123" s="73"/>
      <c r="K1123" s="73"/>
      <c r="L1123" s="73"/>
      <c r="M1123" s="73"/>
      <c r="N1123" s="73"/>
      <c r="O1123" s="73"/>
      <c r="P1123" s="73"/>
      <c r="Q1123" s="73"/>
      <c r="R1123" s="73"/>
      <c r="S1123" s="73"/>
      <c r="T1123" s="73"/>
      <c r="U1123" s="73"/>
      <c r="V1123" s="73"/>
      <c r="W1123" s="73"/>
      <c r="X1123" s="73"/>
      <c r="Y1123" s="73"/>
      <c r="Z1123" s="73"/>
      <c r="AA1123" s="75"/>
      <c r="AB1123" s="75"/>
      <c r="AC1123" s="55"/>
      <c r="AD1123" s="89"/>
      <c r="AE1123" s="89"/>
      <c r="AF1123" s="89"/>
      <c r="AG1123" s="91"/>
      <c r="AH1123" s="48"/>
      <c r="AI1123" s="39"/>
      <c r="AK1123" s="41"/>
    </row>
    <row r="1124" spans="1:37" ht="21">
      <c r="A1124" s="32" t="s">
        <v>1372</v>
      </c>
      <c r="B1124" s="131" t="s">
        <v>104</v>
      </c>
      <c r="C1124" s="95" t="s">
        <v>604</v>
      </c>
      <c r="D1124" s="88" t="s">
        <v>81</v>
      </c>
      <c r="E1124" s="73"/>
      <c r="F1124" s="73"/>
      <c r="G1124" s="73"/>
      <c r="H1124" s="73"/>
      <c r="I1124" s="73"/>
      <c r="J1124" s="73"/>
      <c r="K1124" s="73"/>
      <c r="L1124" s="73"/>
      <c r="M1124" s="73"/>
      <c r="N1124" s="73"/>
      <c r="O1124" s="73"/>
      <c r="P1124" s="73"/>
      <c r="Q1124" s="73"/>
      <c r="R1124" s="73"/>
      <c r="S1124" s="73"/>
      <c r="T1124" s="73"/>
      <c r="U1124" s="73"/>
      <c r="V1124" s="73"/>
      <c r="W1124" s="73"/>
      <c r="X1124" s="73"/>
      <c r="Y1124" s="73"/>
      <c r="Z1124" s="73"/>
      <c r="AA1124" s="75"/>
      <c r="AB1124" s="75"/>
      <c r="AC1124" s="55"/>
      <c r="AD1124" s="89"/>
      <c r="AE1124" s="89"/>
      <c r="AF1124" s="89"/>
      <c r="AG1124" s="57"/>
      <c r="AH1124" s="58"/>
      <c r="AI1124" s="39"/>
      <c r="AK1124" s="41"/>
    </row>
    <row r="1125" spans="1:37" ht="117">
      <c r="A1125" s="32" t="s">
        <v>605</v>
      </c>
      <c r="B1125" s="86" t="s">
        <v>605</v>
      </c>
      <c r="C1125" s="87" t="s">
        <v>606</v>
      </c>
      <c r="D1125" s="88"/>
      <c r="E1125" s="73"/>
      <c r="F1125" s="73"/>
      <c r="G1125" s="73"/>
      <c r="H1125" s="73"/>
      <c r="I1125" s="73"/>
      <c r="J1125" s="73"/>
      <c r="K1125" s="73"/>
      <c r="L1125" s="73"/>
      <c r="M1125" s="73"/>
      <c r="N1125" s="73"/>
      <c r="O1125" s="73"/>
      <c r="P1125" s="73"/>
      <c r="Q1125" s="73"/>
      <c r="R1125" s="73"/>
      <c r="S1125" s="73"/>
      <c r="T1125" s="73"/>
      <c r="U1125" s="73"/>
      <c r="V1125" s="73"/>
      <c r="W1125" s="73"/>
      <c r="X1125" s="73"/>
      <c r="Y1125" s="73"/>
      <c r="Z1125" s="73"/>
      <c r="AA1125" s="75"/>
      <c r="AB1125" s="75"/>
      <c r="AC1125" s="55"/>
      <c r="AD1125" s="89"/>
      <c r="AE1125" s="89"/>
      <c r="AF1125" s="89"/>
      <c r="AG1125" s="57"/>
      <c r="AH1125" s="58"/>
      <c r="AI1125" s="39"/>
      <c r="AK1125" s="41"/>
    </row>
    <row r="1126" spans="1:37" ht="21">
      <c r="A1126" s="32" t="s">
        <v>607</v>
      </c>
      <c r="B1126" s="86" t="s">
        <v>607</v>
      </c>
      <c r="C1126" s="87" t="s">
        <v>608</v>
      </c>
      <c r="D1126" s="88" t="s">
        <v>38</v>
      </c>
      <c r="E1126" s="73"/>
      <c r="F1126" s="73"/>
      <c r="G1126" s="73"/>
      <c r="H1126" s="73"/>
      <c r="I1126" s="73"/>
      <c r="J1126" s="73"/>
      <c r="K1126" s="73"/>
      <c r="L1126" s="73"/>
      <c r="M1126" s="73"/>
      <c r="N1126" s="73"/>
      <c r="O1126" s="73"/>
      <c r="P1126" s="73"/>
      <c r="Q1126" s="73"/>
      <c r="R1126" s="73"/>
      <c r="S1126" s="73"/>
      <c r="T1126" s="73"/>
      <c r="U1126" s="73"/>
      <c r="V1126" s="73"/>
      <c r="W1126" s="73"/>
      <c r="X1126" s="73"/>
      <c r="Y1126" s="73"/>
      <c r="Z1126" s="73"/>
      <c r="AA1126" s="75"/>
      <c r="AB1126" s="75"/>
      <c r="AC1126" s="55"/>
      <c r="AD1126" s="89"/>
      <c r="AE1126" s="89"/>
      <c r="AF1126" s="89"/>
      <c r="AG1126" s="57"/>
      <c r="AH1126" s="58"/>
      <c r="AI1126" s="49"/>
      <c r="AK1126" s="41"/>
    </row>
    <row r="1127" spans="1:37" ht="27.75">
      <c r="A1127" s="32" t="s">
        <v>609</v>
      </c>
      <c r="B1127" s="86" t="s">
        <v>609</v>
      </c>
      <c r="C1127" s="87" t="s">
        <v>610</v>
      </c>
      <c r="D1127" s="88" t="s">
        <v>13</v>
      </c>
      <c r="E1127" s="73"/>
      <c r="F1127" s="73"/>
      <c r="G1127" s="73"/>
      <c r="H1127" s="73"/>
      <c r="I1127" s="73"/>
      <c r="J1127" s="73"/>
      <c r="K1127" s="73"/>
      <c r="L1127" s="73"/>
      <c r="M1127" s="73"/>
      <c r="N1127" s="73"/>
      <c r="O1127" s="73"/>
      <c r="P1127" s="73"/>
      <c r="Q1127" s="73"/>
      <c r="R1127" s="73"/>
      <c r="S1127" s="73"/>
      <c r="T1127" s="73"/>
      <c r="U1127" s="73"/>
      <c r="V1127" s="73"/>
      <c r="W1127" s="73"/>
      <c r="X1127" s="73"/>
      <c r="Y1127" s="73"/>
      <c r="Z1127" s="73"/>
      <c r="AA1127" s="75"/>
      <c r="AB1127" s="75"/>
      <c r="AC1127" s="55"/>
      <c r="AD1127" s="89"/>
      <c r="AE1127" s="89"/>
      <c r="AF1127" s="89"/>
      <c r="AG1127" s="57"/>
      <c r="AH1127" s="58"/>
      <c r="AI1127" s="49"/>
      <c r="AK1127" s="41"/>
    </row>
    <row r="1128" spans="1:37" ht="40.5">
      <c r="A1128" s="32" t="s">
        <v>611</v>
      </c>
      <c r="B1128" s="86" t="s">
        <v>611</v>
      </c>
      <c r="C1128" s="87" t="s">
        <v>2595</v>
      </c>
      <c r="D1128" s="88" t="s">
        <v>81</v>
      </c>
      <c r="E1128" s="73"/>
      <c r="F1128" s="73"/>
      <c r="G1128" s="73"/>
      <c r="H1128" s="73"/>
      <c r="I1128" s="73"/>
      <c r="J1128" s="73"/>
      <c r="K1128" s="73"/>
      <c r="L1128" s="73"/>
      <c r="M1128" s="73"/>
      <c r="N1128" s="73"/>
      <c r="O1128" s="73"/>
      <c r="P1128" s="73"/>
      <c r="Q1128" s="73"/>
      <c r="R1128" s="73"/>
      <c r="S1128" s="73"/>
      <c r="T1128" s="73"/>
      <c r="U1128" s="73"/>
      <c r="V1128" s="73"/>
      <c r="W1128" s="73"/>
      <c r="X1128" s="73"/>
      <c r="Y1128" s="73"/>
      <c r="Z1128" s="73"/>
      <c r="AA1128" s="75"/>
      <c r="AB1128" s="75"/>
      <c r="AC1128" s="55"/>
      <c r="AD1128" s="89"/>
      <c r="AE1128" s="89"/>
      <c r="AF1128" s="89"/>
      <c r="AG1128" s="57"/>
      <c r="AH1128" s="58"/>
      <c r="AI1128" s="49"/>
      <c r="AK1128" s="41"/>
    </row>
    <row r="1129" spans="1:37" ht="40.5">
      <c r="A1129" s="32" t="s">
        <v>612</v>
      </c>
      <c r="B1129" s="86" t="s">
        <v>612</v>
      </c>
      <c r="C1129" s="87" t="s">
        <v>2596</v>
      </c>
      <c r="D1129" s="88" t="s">
        <v>81</v>
      </c>
      <c r="E1129" s="73"/>
      <c r="F1129" s="73"/>
      <c r="G1129" s="73"/>
      <c r="H1129" s="73"/>
      <c r="I1129" s="73"/>
      <c r="J1129" s="73"/>
      <c r="K1129" s="73"/>
      <c r="L1129" s="73"/>
      <c r="M1129" s="73"/>
      <c r="N1129" s="73"/>
      <c r="O1129" s="73"/>
      <c r="P1129" s="73"/>
      <c r="Q1129" s="73"/>
      <c r="R1129" s="73"/>
      <c r="S1129" s="73"/>
      <c r="T1129" s="73"/>
      <c r="U1129" s="73"/>
      <c r="V1129" s="73"/>
      <c r="W1129" s="73"/>
      <c r="X1129" s="73"/>
      <c r="Y1129" s="73"/>
      <c r="Z1129" s="73"/>
      <c r="AA1129" s="75"/>
      <c r="AB1129" s="75"/>
      <c r="AC1129" s="55"/>
      <c r="AD1129" s="89"/>
      <c r="AE1129" s="89"/>
      <c r="AF1129" s="89"/>
      <c r="AG1129" s="57"/>
      <c r="AH1129" s="58"/>
      <c r="AI1129" s="49"/>
      <c r="AK1129" s="41"/>
    </row>
    <row r="1130" spans="1:37" ht="40.5">
      <c r="A1130" s="32" t="s">
        <v>613</v>
      </c>
      <c r="B1130" s="86" t="s">
        <v>613</v>
      </c>
      <c r="C1130" s="87" t="s">
        <v>2597</v>
      </c>
      <c r="D1130" s="88" t="s">
        <v>81</v>
      </c>
      <c r="E1130" s="73"/>
      <c r="F1130" s="73"/>
      <c r="G1130" s="73"/>
      <c r="H1130" s="73"/>
      <c r="I1130" s="73"/>
      <c r="J1130" s="73"/>
      <c r="K1130" s="73"/>
      <c r="L1130" s="73"/>
      <c r="M1130" s="73"/>
      <c r="N1130" s="73"/>
      <c r="O1130" s="73"/>
      <c r="P1130" s="73"/>
      <c r="Q1130" s="73"/>
      <c r="R1130" s="73"/>
      <c r="S1130" s="73"/>
      <c r="T1130" s="73"/>
      <c r="U1130" s="73"/>
      <c r="V1130" s="73"/>
      <c r="W1130" s="73"/>
      <c r="X1130" s="73"/>
      <c r="Y1130" s="73"/>
      <c r="Z1130" s="73"/>
      <c r="AA1130" s="75"/>
      <c r="AB1130" s="75"/>
      <c r="AC1130" s="55"/>
      <c r="AD1130" s="89"/>
      <c r="AE1130" s="89"/>
      <c r="AF1130" s="89"/>
      <c r="AG1130" s="57"/>
      <c r="AH1130" s="58"/>
      <c r="AI1130" s="49"/>
      <c r="AK1130" s="41"/>
    </row>
    <row r="1131" spans="1:37" ht="45" customHeight="1">
      <c r="A1131" s="32" t="s">
        <v>614</v>
      </c>
      <c r="B1131" s="86" t="s">
        <v>614</v>
      </c>
      <c r="C1131" s="87" t="s">
        <v>2598</v>
      </c>
      <c r="D1131" s="88" t="s">
        <v>81</v>
      </c>
      <c r="E1131" s="73"/>
      <c r="F1131" s="73"/>
      <c r="G1131" s="73"/>
      <c r="H1131" s="73"/>
      <c r="I1131" s="73"/>
      <c r="J1131" s="73"/>
      <c r="K1131" s="73"/>
      <c r="L1131" s="73"/>
      <c r="M1131" s="73"/>
      <c r="N1131" s="73"/>
      <c r="O1131" s="73"/>
      <c r="P1131" s="73"/>
      <c r="Q1131" s="73"/>
      <c r="R1131" s="73"/>
      <c r="S1131" s="73"/>
      <c r="T1131" s="73"/>
      <c r="U1131" s="73"/>
      <c r="V1131" s="73"/>
      <c r="W1131" s="73"/>
      <c r="X1131" s="73"/>
      <c r="Y1131" s="73"/>
      <c r="Z1131" s="73"/>
      <c r="AA1131" s="75"/>
      <c r="AB1131" s="75"/>
      <c r="AC1131" s="55"/>
      <c r="AD1131" s="89"/>
      <c r="AE1131" s="89"/>
      <c r="AF1131" s="89"/>
      <c r="AG1131" s="57"/>
      <c r="AH1131" s="58"/>
      <c r="AI1131" s="39"/>
      <c r="AK1131" s="41"/>
    </row>
    <row r="1132" spans="1:37" ht="27.75">
      <c r="A1132" s="32" t="s">
        <v>615</v>
      </c>
      <c r="B1132" s="86" t="s">
        <v>615</v>
      </c>
      <c r="C1132" s="87" t="s">
        <v>2599</v>
      </c>
      <c r="D1132" s="88" t="s">
        <v>81</v>
      </c>
      <c r="E1132" s="73"/>
      <c r="F1132" s="73"/>
      <c r="G1132" s="73"/>
      <c r="H1132" s="73"/>
      <c r="I1132" s="73"/>
      <c r="J1132" s="73"/>
      <c r="K1132" s="73"/>
      <c r="L1132" s="73"/>
      <c r="M1132" s="73"/>
      <c r="N1132" s="73"/>
      <c r="O1132" s="73"/>
      <c r="P1132" s="73"/>
      <c r="Q1132" s="73"/>
      <c r="R1132" s="73"/>
      <c r="S1132" s="73"/>
      <c r="T1132" s="73"/>
      <c r="U1132" s="73"/>
      <c r="V1132" s="73"/>
      <c r="W1132" s="73"/>
      <c r="X1132" s="73"/>
      <c r="Y1132" s="73"/>
      <c r="Z1132" s="73"/>
      <c r="AA1132" s="75"/>
      <c r="AB1132" s="75"/>
      <c r="AC1132" s="55"/>
      <c r="AD1132" s="89"/>
      <c r="AE1132" s="89"/>
      <c r="AF1132" s="89"/>
      <c r="AG1132" s="57"/>
      <c r="AH1132" s="58"/>
      <c r="AI1132" s="39"/>
      <c r="AK1132" s="41"/>
    </row>
    <row r="1133" spans="1:37" ht="27.75">
      <c r="A1133" s="32" t="s">
        <v>616</v>
      </c>
      <c r="B1133" s="86" t="s">
        <v>616</v>
      </c>
      <c r="C1133" s="87" t="s">
        <v>2600</v>
      </c>
      <c r="D1133" s="88" t="s">
        <v>81</v>
      </c>
      <c r="E1133" s="73"/>
      <c r="F1133" s="73"/>
      <c r="G1133" s="73"/>
      <c r="H1133" s="73"/>
      <c r="I1133" s="73"/>
      <c r="J1133" s="73"/>
      <c r="K1133" s="73"/>
      <c r="L1133" s="73"/>
      <c r="M1133" s="73"/>
      <c r="N1133" s="73"/>
      <c r="O1133" s="73"/>
      <c r="P1133" s="73"/>
      <c r="Q1133" s="73"/>
      <c r="R1133" s="73"/>
      <c r="S1133" s="73"/>
      <c r="T1133" s="73"/>
      <c r="U1133" s="73"/>
      <c r="V1133" s="73"/>
      <c r="W1133" s="73"/>
      <c r="X1133" s="73"/>
      <c r="Y1133" s="73"/>
      <c r="Z1133" s="73"/>
      <c r="AA1133" s="75"/>
      <c r="AB1133" s="75"/>
      <c r="AC1133" s="55"/>
      <c r="AD1133" s="89"/>
      <c r="AE1133" s="89"/>
      <c r="AF1133" s="89"/>
      <c r="AG1133" s="57"/>
      <c r="AH1133" s="58"/>
      <c r="AI1133" s="39"/>
      <c r="AK1133" s="41"/>
    </row>
    <row r="1134" spans="1:37" ht="27.75">
      <c r="A1134" s="32" t="s">
        <v>617</v>
      </c>
      <c r="B1134" s="86" t="s">
        <v>617</v>
      </c>
      <c r="C1134" s="87" t="s">
        <v>2601</v>
      </c>
      <c r="D1134" s="88" t="s">
        <v>81</v>
      </c>
      <c r="E1134" s="73"/>
      <c r="F1134" s="73"/>
      <c r="G1134" s="73"/>
      <c r="H1134" s="73"/>
      <c r="I1134" s="73"/>
      <c r="J1134" s="73"/>
      <c r="K1134" s="73"/>
      <c r="L1134" s="73"/>
      <c r="M1134" s="73"/>
      <c r="N1134" s="73"/>
      <c r="O1134" s="73"/>
      <c r="P1134" s="73"/>
      <c r="Q1134" s="73"/>
      <c r="R1134" s="73"/>
      <c r="S1134" s="73"/>
      <c r="T1134" s="73"/>
      <c r="U1134" s="73"/>
      <c r="V1134" s="73"/>
      <c r="W1134" s="73"/>
      <c r="X1134" s="73"/>
      <c r="Y1134" s="73"/>
      <c r="Z1134" s="73"/>
      <c r="AA1134" s="75"/>
      <c r="AB1134" s="75"/>
      <c r="AC1134" s="55"/>
      <c r="AD1134" s="89"/>
      <c r="AE1134" s="89"/>
      <c r="AF1134" s="89"/>
      <c r="AG1134" s="57"/>
      <c r="AH1134" s="58"/>
      <c r="AI1134" s="39"/>
      <c r="AK1134" s="41"/>
    </row>
    <row r="1135" spans="1:37" ht="27.75">
      <c r="A1135" s="32" t="s">
        <v>618</v>
      </c>
      <c r="B1135" s="86" t="s">
        <v>618</v>
      </c>
      <c r="C1135" s="87" t="s">
        <v>2602</v>
      </c>
      <c r="D1135" s="88" t="s">
        <v>81</v>
      </c>
      <c r="E1135" s="73"/>
      <c r="F1135" s="73"/>
      <c r="G1135" s="73"/>
      <c r="H1135" s="73"/>
      <c r="I1135" s="73"/>
      <c r="J1135" s="73"/>
      <c r="K1135" s="73"/>
      <c r="L1135" s="73"/>
      <c r="M1135" s="73"/>
      <c r="N1135" s="73"/>
      <c r="O1135" s="73"/>
      <c r="P1135" s="73"/>
      <c r="Q1135" s="73"/>
      <c r="R1135" s="73"/>
      <c r="S1135" s="73"/>
      <c r="T1135" s="73"/>
      <c r="U1135" s="73"/>
      <c r="V1135" s="73"/>
      <c r="W1135" s="73"/>
      <c r="X1135" s="73"/>
      <c r="Y1135" s="73"/>
      <c r="Z1135" s="73"/>
      <c r="AA1135" s="75"/>
      <c r="AB1135" s="75"/>
      <c r="AC1135" s="55"/>
      <c r="AD1135" s="89"/>
      <c r="AE1135" s="89"/>
      <c r="AF1135" s="89"/>
      <c r="AG1135" s="57"/>
      <c r="AH1135" s="58"/>
      <c r="AI1135" s="39"/>
      <c r="AK1135" s="41"/>
    </row>
    <row r="1136" spans="1:37" ht="27.75">
      <c r="A1136" s="32" t="s">
        <v>619</v>
      </c>
      <c r="B1136" s="86" t="s">
        <v>619</v>
      </c>
      <c r="C1136" s="87" t="s">
        <v>2603</v>
      </c>
      <c r="D1136" s="88" t="s">
        <v>81</v>
      </c>
      <c r="E1136" s="73"/>
      <c r="F1136" s="73"/>
      <c r="G1136" s="73"/>
      <c r="H1136" s="73"/>
      <c r="I1136" s="73"/>
      <c r="J1136" s="73"/>
      <c r="K1136" s="73"/>
      <c r="L1136" s="73"/>
      <c r="M1136" s="73"/>
      <c r="N1136" s="73"/>
      <c r="O1136" s="73"/>
      <c r="P1136" s="73"/>
      <c r="Q1136" s="73"/>
      <c r="R1136" s="73"/>
      <c r="S1136" s="73"/>
      <c r="T1136" s="73"/>
      <c r="U1136" s="73"/>
      <c r="V1136" s="73"/>
      <c r="W1136" s="73"/>
      <c r="X1136" s="73"/>
      <c r="Y1136" s="73"/>
      <c r="Z1136" s="73"/>
      <c r="AA1136" s="75"/>
      <c r="AB1136" s="75"/>
      <c r="AC1136" s="55"/>
      <c r="AD1136" s="89"/>
      <c r="AE1136" s="89"/>
      <c r="AF1136" s="89"/>
      <c r="AG1136" s="57"/>
      <c r="AH1136" s="58"/>
      <c r="AI1136" s="39"/>
      <c r="AK1136" s="41"/>
    </row>
    <row r="1137" spans="1:37" ht="27.75">
      <c r="A1137" s="32" t="s">
        <v>620</v>
      </c>
      <c r="B1137" s="86" t="s">
        <v>620</v>
      </c>
      <c r="C1137" s="87" t="s">
        <v>2604</v>
      </c>
      <c r="D1137" s="88" t="s">
        <v>81</v>
      </c>
      <c r="E1137" s="73"/>
      <c r="F1137" s="73"/>
      <c r="G1137" s="73"/>
      <c r="H1137" s="73"/>
      <c r="I1137" s="73"/>
      <c r="J1137" s="73"/>
      <c r="K1137" s="73"/>
      <c r="L1137" s="73"/>
      <c r="M1137" s="73"/>
      <c r="N1137" s="73"/>
      <c r="O1137" s="73"/>
      <c r="P1137" s="73"/>
      <c r="Q1137" s="73"/>
      <c r="R1137" s="73"/>
      <c r="S1137" s="73"/>
      <c r="T1137" s="73"/>
      <c r="U1137" s="73"/>
      <c r="V1137" s="73"/>
      <c r="W1137" s="73"/>
      <c r="X1137" s="73"/>
      <c r="Y1137" s="73"/>
      <c r="Z1137" s="73"/>
      <c r="AA1137" s="75"/>
      <c r="AB1137" s="75"/>
      <c r="AC1137" s="55"/>
      <c r="AD1137" s="89"/>
      <c r="AE1137" s="89"/>
      <c r="AF1137" s="89"/>
      <c r="AG1137" s="57"/>
      <c r="AH1137" s="58"/>
      <c r="AI1137" s="39"/>
      <c r="AK1137" s="41"/>
    </row>
    <row r="1138" spans="1:37" ht="27.75">
      <c r="A1138" s="32" t="s">
        <v>621</v>
      </c>
      <c r="B1138" s="86" t="s">
        <v>621</v>
      </c>
      <c r="C1138" s="87" t="s">
        <v>2605</v>
      </c>
      <c r="D1138" s="88" t="s">
        <v>81</v>
      </c>
      <c r="E1138" s="73"/>
      <c r="F1138" s="73"/>
      <c r="G1138" s="73"/>
      <c r="H1138" s="73"/>
      <c r="I1138" s="73"/>
      <c r="J1138" s="73"/>
      <c r="K1138" s="73"/>
      <c r="L1138" s="73"/>
      <c r="M1138" s="73"/>
      <c r="N1138" s="73"/>
      <c r="O1138" s="73"/>
      <c r="P1138" s="73"/>
      <c r="Q1138" s="73"/>
      <c r="R1138" s="73"/>
      <c r="S1138" s="73"/>
      <c r="T1138" s="73"/>
      <c r="U1138" s="73"/>
      <c r="V1138" s="73"/>
      <c r="W1138" s="73"/>
      <c r="X1138" s="73"/>
      <c r="Y1138" s="73"/>
      <c r="Z1138" s="73"/>
      <c r="AA1138" s="75"/>
      <c r="AB1138" s="75"/>
      <c r="AC1138" s="55"/>
      <c r="AD1138" s="89"/>
      <c r="AE1138" s="89"/>
      <c r="AF1138" s="89"/>
      <c r="AG1138" s="57"/>
      <c r="AH1138" s="58"/>
      <c r="AI1138" s="39"/>
      <c r="AK1138" s="41"/>
    </row>
    <row r="1139" spans="1:37" ht="27.75">
      <c r="A1139" s="32" t="s">
        <v>622</v>
      </c>
      <c r="B1139" s="86" t="s">
        <v>622</v>
      </c>
      <c r="C1139" s="87" t="s">
        <v>2606</v>
      </c>
      <c r="D1139" s="88" t="s">
        <v>81</v>
      </c>
      <c r="E1139" s="73"/>
      <c r="F1139" s="73"/>
      <c r="G1139" s="73"/>
      <c r="H1139" s="73"/>
      <c r="I1139" s="73"/>
      <c r="J1139" s="73"/>
      <c r="K1139" s="73"/>
      <c r="L1139" s="73"/>
      <c r="M1139" s="73"/>
      <c r="N1139" s="73"/>
      <c r="O1139" s="73"/>
      <c r="P1139" s="73"/>
      <c r="Q1139" s="73"/>
      <c r="R1139" s="73"/>
      <c r="S1139" s="73"/>
      <c r="T1139" s="73"/>
      <c r="U1139" s="73"/>
      <c r="V1139" s="73"/>
      <c r="W1139" s="73"/>
      <c r="X1139" s="73"/>
      <c r="Y1139" s="73"/>
      <c r="Z1139" s="73"/>
      <c r="AA1139" s="75"/>
      <c r="AB1139" s="75"/>
      <c r="AC1139" s="55"/>
      <c r="AD1139" s="89"/>
      <c r="AE1139" s="89"/>
      <c r="AF1139" s="89"/>
      <c r="AG1139" s="57"/>
      <c r="AH1139" s="58"/>
      <c r="AI1139" s="39"/>
      <c r="AK1139" s="41"/>
    </row>
    <row r="1140" spans="1:37" ht="27.75">
      <c r="A1140" s="32" t="s">
        <v>623</v>
      </c>
      <c r="B1140" s="86" t="s">
        <v>623</v>
      </c>
      <c r="C1140" s="87" t="s">
        <v>2607</v>
      </c>
      <c r="D1140" s="88" t="s">
        <v>81</v>
      </c>
      <c r="E1140" s="73"/>
      <c r="F1140" s="73"/>
      <c r="G1140" s="73"/>
      <c r="H1140" s="73"/>
      <c r="I1140" s="73"/>
      <c r="J1140" s="73"/>
      <c r="K1140" s="73"/>
      <c r="L1140" s="73"/>
      <c r="M1140" s="73"/>
      <c r="N1140" s="73"/>
      <c r="O1140" s="73"/>
      <c r="P1140" s="73"/>
      <c r="Q1140" s="73"/>
      <c r="R1140" s="73"/>
      <c r="S1140" s="73"/>
      <c r="T1140" s="73"/>
      <c r="U1140" s="73"/>
      <c r="V1140" s="73"/>
      <c r="W1140" s="73"/>
      <c r="X1140" s="73"/>
      <c r="Y1140" s="73"/>
      <c r="Z1140" s="73"/>
      <c r="AA1140" s="75"/>
      <c r="AB1140" s="75"/>
      <c r="AC1140" s="55"/>
      <c r="AD1140" s="89"/>
      <c r="AE1140" s="89"/>
      <c r="AF1140" s="89"/>
      <c r="AG1140" s="57"/>
      <c r="AH1140" s="58"/>
      <c r="AI1140" s="39"/>
      <c r="AK1140" s="41"/>
    </row>
    <row r="1141" spans="1:37" ht="27.75">
      <c r="A1141" s="32" t="s">
        <v>624</v>
      </c>
      <c r="B1141" s="86" t="s">
        <v>624</v>
      </c>
      <c r="C1141" s="87" t="s">
        <v>2608</v>
      </c>
      <c r="D1141" s="88" t="s">
        <v>81</v>
      </c>
      <c r="E1141" s="73"/>
      <c r="F1141" s="73"/>
      <c r="G1141" s="73"/>
      <c r="H1141" s="73"/>
      <c r="I1141" s="73"/>
      <c r="J1141" s="73"/>
      <c r="K1141" s="73"/>
      <c r="L1141" s="73"/>
      <c r="M1141" s="73"/>
      <c r="N1141" s="73"/>
      <c r="O1141" s="73"/>
      <c r="P1141" s="73"/>
      <c r="Q1141" s="73"/>
      <c r="R1141" s="73"/>
      <c r="S1141" s="73"/>
      <c r="T1141" s="73"/>
      <c r="U1141" s="73"/>
      <c r="V1141" s="73"/>
      <c r="W1141" s="73"/>
      <c r="X1141" s="73"/>
      <c r="Y1141" s="73"/>
      <c r="Z1141" s="73"/>
      <c r="AA1141" s="75"/>
      <c r="AB1141" s="75"/>
      <c r="AC1141" s="55"/>
      <c r="AD1141" s="89"/>
      <c r="AE1141" s="89"/>
      <c r="AF1141" s="89"/>
      <c r="AG1141" s="57"/>
      <c r="AH1141" s="58"/>
      <c r="AI1141" s="39"/>
      <c r="AK1141" s="41"/>
    </row>
    <row r="1142" spans="1:37" ht="27.75">
      <c r="A1142" s="32" t="s">
        <v>625</v>
      </c>
      <c r="B1142" s="86" t="s">
        <v>625</v>
      </c>
      <c r="C1142" s="87" t="s">
        <v>2609</v>
      </c>
      <c r="D1142" s="88" t="s">
        <v>81</v>
      </c>
      <c r="E1142" s="73"/>
      <c r="F1142" s="73"/>
      <c r="G1142" s="73"/>
      <c r="H1142" s="73"/>
      <c r="I1142" s="73"/>
      <c r="J1142" s="73"/>
      <c r="K1142" s="73"/>
      <c r="L1142" s="73"/>
      <c r="M1142" s="73"/>
      <c r="N1142" s="73"/>
      <c r="O1142" s="73"/>
      <c r="P1142" s="73"/>
      <c r="Q1142" s="73"/>
      <c r="R1142" s="73"/>
      <c r="S1142" s="73"/>
      <c r="T1142" s="73"/>
      <c r="U1142" s="73"/>
      <c r="V1142" s="73"/>
      <c r="W1142" s="73"/>
      <c r="X1142" s="73"/>
      <c r="Y1142" s="73"/>
      <c r="Z1142" s="73"/>
      <c r="AA1142" s="75"/>
      <c r="AB1142" s="75"/>
      <c r="AC1142" s="55"/>
      <c r="AD1142" s="89"/>
      <c r="AE1142" s="89"/>
      <c r="AF1142" s="89"/>
      <c r="AG1142" s="57"/>
      <c r="AH1142" s="58"/>
      <c r="AI1142" s="39"/>
      <c r="AK1142" s="41"/>
    </row>
    <row r="1143" spans="1:37" ht="21">
      <c r="A1143" s="32" t="s">
        <v>626</v>
      </c>
      <c r="B1143" s="86" t="s">
        <v>626</v>
      </c>
      <c r="C1143" s="87" t="s">
        <v>627</v>
      </c>
      <c r="D1143" s="88"/>
      <c r="E1143" s="73"/>
      <c r="F1143" s="73"/>
      <c r="G1143" s="73"/>
      <c r="H1143" s="73"/>
      <c r="I1143" s="73"/>
      <c r="J1143" s="73"/>
      <c r="K1143" s="73"/>
      <c r="L1143" s="73"/>
      <c r="M1143" s="73"/>
      <c r="N1143" s="73"/>
      <c r="O1143" s="73"/>
      <c r="P1143" s="73"/>
      <c r="Q1143" s="73"/>
      <c r="R1143" s="73"/>
      <c r="S1143" s="73"/>
      <c r="T1143" s="73"/>
      <c r="U1143" s="73"/>
      <c r="V1143" s="73"/>
      <c r="W1143" s="73"/>
      <c r="X1143" s="73"/>
      <c r="Y1143" s="73"/>
      <c r="Z1143" s="73"/>
      <c r="AA1143" s="75"/>
      <c r="AB1143" s="75"/>
      <c r="AC1143" s="55"/>
      <c r="AD1143" s="89"/>
      <c r="AE1143" s="89"/>
      <c r="AF1143" s="89"/>
      <c r="AG1143" s="57"/>
      <c r="AH1143" s="58"/>
      <c r="AI1143" s="39"/>
      <c r="AK1143" s="41"/>
    </row>
    <row r="1144" spans="1:37" ht="21">
      <c r="A1144" s="32" t="s">
        <v>628</v>
      </c>
      <c r="B1144" s="86" t="s">
        <v>628</v>
      </c>
      <c r="C1144" s="87" t="s">
        <v>629</v>
      </c>
      <c r="D1144" s="88"/>
      <c r="E1144" s="73"/>
      <c r="F1144" s="73"/>
      <c r="G1144" s="73"/>
      <c r="H1144" s="73"/>
      <c r="I1144" s="73"/>
      <c r="J1144" s="73"/>
      <c r="K1144" s="73"/>
      <c r="L1144" s="73"/>
      <c r="M1144" s="73"/>
      <c r="N1144" s="73"/>
      <c r="O1144" s="73"/>
      <c r="P1144" s="73"/>
      <c r="Q1144" s="73"/>
      <c r="R1144" s="73"/>
      <c r="S1144" s="73"/>
      <c r="T1144" s="73"/>
      <c r="U1144" s="73"/>
      <c r="V1144" s="73"/>
      <c r="W1144" s="73"/>
      <c r="X1144" s="73"/>
      <c r="Y1144" s="73"/>
      <c r="Z1144" s="73"/>
      <c r="AA1144" s="75"/>
      <c r="AB1144" s="75"/>
      <c r="AC1144" s="55"/>
      <c r="AD1144" s="89"/>
      <c r="AE1144" s="89"/>
      <c r="AF1144" s="89"/>
      <c r="AG1144" s="57"/>
      <c r="AH1144" s="58"/>
      <c r="AI1144" s="39"/>
      <c r="AK1144" s="41"/>
    </row>
    <row r="1145" spans="1:37" ht="27.75">
      <c r="A1145" s="32" t="s">
        <v>630</v>
      </c>
      <c r="B1145" s="86" t="s">
        <v>630</v>
      </c>
      <c r="C1145" s="87" t="s">
        <v>631</v>
      </c>
      <c r="D1145" s="88"/>
      <c r="E1145" s="73"/>
      <c r="F1145" s="73"/>
      <c r="G1145" s="73"/>
      <c r="H1145" s="73"/>
      <c r="I1145" s="73"/>
      <c r="J1145" s="73"/>
      <c r="K1145" s="73"/>
      <c r="L1145" s="73"/>
      <c r="M1145" s="73"/>
      <c r="N1145" s="73"/>
      <c r="O1145" s="73"/>
      <c r="P1145" s="73"/>
      <c r="Q1145" s="73"/>
      <c r="R1145" s="73"/>
      <c r="S1145" s="73"/>
      <c r="T1145" s="73"/>
      <c r="U1145" s="73"/>
      <c r="V1145" s="73"/>
      <c r="W1145" s="73"/>
      <c r="X1145" s="73"/>
      <c r="Y1145" s="73"/>
      <c r="Z1145" s="73"/>
      <c r="AA1145" s="75"/>
      <c r="AB1145" s="75"/>
      <c r="AC1145" s="55"/>
      <c r="AD1145" s="89"/>
      <c r="AE1145" s="89"/>
      <c r="AF1145" s="89"/>
      <c r="AG1145" s="91"/>
      <c r="AH1145" s="48"/>
      <c r="AI1145" s="39"/>
      <c r="AK1145" s="41"/>
    </row>
    <row r="1146" spans="1:37" ht="21">
      <c r="A1146" s="32" t="s">
        <v>1373</v>
      </c>
      <c r="B1146" s="94" t="s">
        <v>14</v>
      </c>
      <c r="C1146" s="95" t="s">
        <v>632</v>
      </c>
      <c r="D1146" s="88"/>
      <c r="E1146" s="73"/>
      <c r="F1146" s="73"/>
      <c r="G1146" s="73"/>
      <c r="H1146" s="73"/>
      <c r="I1146" s="73"/>
      <c r="J1146" s="73"/>
      <c r="K1146" s="73"/>
      <c r="L1146" s="73"/>
      <c r="M1146" s="73"/>
      <c r="N1146" s="73"/>
      <c r="O1146" s="73"/>
      <c r="P1146" s="73"/>
      <c r="Q1146" s="73"/>
      <c r="R1146" s="73"/>
      <c r="S1146" s="73"/>
      <c r="T1146" s="73"/>
      <c r="U1146" s="73"/>
      <c r="V1146" s="73"/>
      <c r="W1146" s="73"/>
      <c r="X1146" s="73"/>
      <c r="Y1146" s="73"/>
      <c r="Z1146" s="73"/>
      <c r="AA1146" s="75"/>
      <c r="AB1146" s="75"/>
      <c r="AC1146" s="55"/>
      <c r="AD1146" s="89"/>
      <c r="AE1146" s="89"/>
      <c r="AF1146" s="89"/>
      <c r="AG1146" s="91"/>
      <c r="AH1146" s="48"/>
      <c r="AI1146" s="39"/>
      <c r="AK1146" s="41"/>
    </row>
    <row r="1147" spans="1:37" ht="21">
      <c r="A1147" s="32" t="s">
        <v>1374</v>
      </c>
      <c r="B1147" s="92" t="s">
        <v>104</v>
      </c>
      <c r="C1147" s="93" t="s">
        <v>402</v>
      </c>
      <c r="D1147" s="88" t="s">
        <v>38</v>
      </c>
      <c r="E1147" s="73"/>
      <c r="F1147" s="73"/>
      <c r="G1147" s="73"/>
      <c r="H1147" s="73"/>
      <c r="I1147" s="73"/>
      <c r="J1147" s="73"/>
      <c r="K1147" s="73"/>
      <c r="L1147" s="73"/>
      <c r="M1147" s="73"/>
      <c r="N1147" s="73"/>
      <c r="O1147" s="73"/>
      <c r="P1147" s="73"/>
      <c r="Q1147" s="73"/>
      <c r="R1147" s="73"/>
      <c r="S1147" s="73"/>
      <c r="T1147" s="73"/>
      <c r="U1147" s="73"/>
      <c r="V1147" s="73"/>
      <c r="W1147" s="73"/>
      <c r="X1147" s="73"/>
      <c r="Y1147" s="73"/>
      <c r="Z1147" s="73"/>
      <c r="AA1147" s="75"/>
      <c r="AB1147" s="75"/>
      <c r="AC1147" s="55"/>
      <c r="AD1147" s="89"/>
      <c r="AE1147" s="89"/>
      <c r="AF1147" s="89"/>
      <c r="AG1147" s="57"/>
      <c r="AH1147" s="58"/>
      <c r="AI1147" s="49"/>
      <c r="AK1147" s="41"/>
    </row>
    <row r="1148" spans="1:37" ht="21">
      <c r="A1148" s="32" t="s">
        <v>1375</v>
      </c>
      <c r="B1148" s="92" t="s">
        <v>24</v>
      </c>
      <c r="C1148" s="93" t="s">
        <v>404</v>
      </c>
      <c r="D1148" s="88" t="s">
        <v>38</v>
      </c>
      <c r="E1148" s="73"/>
      <c r="F1148" s="73"/>
      <c r="G1148" s="73"/>
      <c r="H1148" s="73"/>
      <c r="I1148" s="73"/>
      <c r="J1148" s="73"/>
      <c r="K1148" s="73"/>
      <c r="L1148" s="73"/>
      <c r="M1148" s="73"/>
      <c r="N1148" s="73"/>
      <c r="O1148" s="73"/>
      <c r="P1148" s="73"/>
      <c r="Q1148" s="73"/>
      <c r="R1148" s="73"/>
      <c r="S1148" s="73"/>
      <c r="T1148" s="73"/>
      <c r="U1148" s="73"/>
      <c r="V1148" s="73"/>
      <c r="W1148" s="73"/>
      <c r="X1148" s="73"/>
      <c r="Y1148" s="73"/>
      <c r="Z1148" s="73"/>
      <c r="AA1148" s="75"/>
      <c r="AB1148" s="75"/>
      <c r="AC1148" s="55"/>
      <c r="AD1148" s="89"/>
      <c r="AE1148" s="89"/>
      <c r="AF1148" s="89"/>
      <c r="AG1148" s="57"/>
      <c r="AH1148" s="58"/>
      <c r="AI1148" s="49"/>
      <c r="AK1148" s="41"/>
    </row>
    <row r="1149" spans="1:37" ht="21">
      <c r="A1149" s="32" t="s">
        <v>1376</v>
      </c>
      <c r="B1149" s="94" t="s">
        <v>15</v>
      </c>
      <c r="C1149" s="95" t="s">
        <v>633</v>
      </c>
      <c r="D1149" s="88"/>
      <c r="E1149" s="73"/>
      <c r="F1149" s="73"/>
      <c r="G1149" s="73"/>
      <c r="H1149" s="73"/>
      <c r="I1149" s="73"/>
      <c r="J1149" s="73"/>
      <c r="K1149" s="73"/>
      <c r="L1149" s="73"/>
      <c r="M1149" s="73"/>
      <c r="N1149" s="73"/>
      <c r="O1149" s="73"/>
      <c r="P1149" s="73"/>
      <c r="Q1149" s="73"/>
      <c r="R1149" s="73"/>
      <c r="S1149" s="73"/>
      <c r="T1149" s="73"/>
      <c r="U1149" s="73"/>
      <c r="V1149" s="73"/>
      <c r="W1149" s="73"/>
      <c r="X1149" s="73"/>
      <c r="Y1149" s="73"/>
      <c r="Z1149" s="73"/>
      <c r="AA1149" s="75"/>
      <c r="AB1149" s="75"/>
      <c r="AC1149" s="55"/>
      <c r="AD1149" s="89"/>
      <c r="AE1149" s="89"/>
      <c r="AF1149" s="89"/>
      <c r="AG1149" s="91"/>
      <c r="AH1149" s="48"/>
      <c r="AI1149" s="39"/>
      <c r="AK1149" s="41"/>
    </row>
    <row r="1150" spans="1:37" ht="21">
      <c r="A1150" s="32" t="s">
        <v>1377</v>
      </c>
      <c r="B1150" s="92" t="s">
        <v>104</v>
      </c>
      <c r="C1150" s="93" t="s">
        <v>402</v>
      </c>
      <c r="D1150" s="88" t="s">
        <v>38</v>
      </c>
      <c r="E1150" s="73"/>
      <c r="F1150" s="73"/>
      <c r="G1150" s="73"/>
      <c r="H1150" s="73"/>
      <c r="I1150" s="73"/>
      <c r="J1150" s="73"/>
      <c r="K1150" s="73"/>
      <c r="L1150" s="73"/>
      <c r="M1150" s="73"/>
      <c r="N1150" s="73"/>
      <c r="O1150" s="73"/>
      <c r="P1150" s="73"/>
      <c r="Q1150" s="73"/>
      <c r="R1150" s="73"/>
      <c r="S1150" s="73"/>
      <c r="T1150" s="73"/>
      <c r="U1150" s="73"/>
      <c r="V1150" s="73"/>
      <c r="W1150" s="73"/>
      <c r="X1150" s="73"/>
      <c r="Y1150" s="73"/>
      <c r="Z1150" s="73"/>
      <c r="AA1150" s="75"/>
      <c r="AB1150" s="75"/>
      <c r="AC1150" s="55"/>
      <c r="AD1150" s="89"/>
      <c r="AE1150" s="89"/>
      <c r="AF1150" s="89"/>
      <c r="AG1150" s="57"/>
      <c r="AH1150" s="58"/>
      <c r="AI1150" s="49"/>
      <c r="AK1150" s="41"/>
    </row>
    <row r="1151" spans="1:37" ht="21">
      <c r="A1151" s="32" t="s">
        <v>1378</v>
      </c>
      <c r="B1151" s="92" t="s">
        <v>24</v>
      </c>
      <c r="C1151" s="93" t="s">
        <v>404</v>
      </c>
      <c r="D1151" s="88" t="s">
        <v>38</v>
      </c>
      <c r="E1151" s="73"/>
      <c r="F1151" s="73"/>
      <c r="G1151" s="73"/>
      <c r="H1151" s="73"/>
      <c r="I1151" s="73"/>
      <c r="J1151" s="73"/>
      <c r="K1151" s="73"/>
      <c r="L1151" s="73"/>
      <c r="M1151" s="73"/>
      <c r="N1151" s="73"/>
      <c r="O1151" s="73"/>
      <c r="P1151" s="73"/>
      <c r="Q1151" s="73"/>
      <c r="R1151" s="73"/>
      <c r="S1151" s="73"/>
      <c r="T1151" s="73"/>
      <c r="U1151" s="73"/>
      <c r="V1151" s="73"/>
      <c r="W1151" s="73"/>
      <c r="X1151" s="73"/>
      <c r="Y1151" s="73"/>
      <c r="Z1151" s="73"/>
      <c r="AA1151" s="75"/>
      <c r="AB1151" s="75"/>
      <c r="AC1151" s="55"/>
      <c r="AD1151" s="89"/>
      <c r="AE1151" s="89"/>
      <c r="AF1151" s="89"/>
      <c r="AG1151" s="57"/>
      <c r="AH1151" s="58"/>
      <c r="AI1151" s="49"/>
      <c r="AK1151" s="41"/>
    </row>
    <row r="1152" spans="1:37" ht="21">
      <c r="A1152" s="32" t="s">
        <v>1379</v>
      </c>
      <c r="B1152" s="94" t="s">
        <v>40</v>
      </c>
      <c r="C1152" s="95" t="s">
        <v>634</v>
      </c>
      <c r="D1152" s="88"/>
      <c r="E1152" s="73"/>
      <c r="F1152" s="73"/>
      <c r="G1152" s="73"/>
      <c r="H1152" s="73"/>
      <c r="I1152" s="73"/>
      <c r="J1152" s="73"/>
      <c r="K1152" s="73"/>
      <c r="L1152" s="73"/>
      <c r="M1152" s="73"/>
      <c r="N1152" s="73"/>
      <c r="O1152" s="73"/>
      <c r="P1152" s="73"/>
      <c r="Q1152" s="73"/>
      <c r="R1152" s="73"/>
      <c r="S1152" s="73"/>
      <c r="T1152" s="73"/>
      <c r="U1152" s="73"/>
      <c r="V1152" s="73"/>
      <c r="W1152" s="73"/>
      <c r="X1152" s="73"/>
      <c r="Y1152" s="73"/>
      <c r="Z1152" s="73"/>
      <c r="AA1152" s="75"/>
      <c r="AB1152" s="75"/>
      <c r="AC1152" s="55"/>
      <c r="AD1152" s="89"/>
      <c r="AE1152" s="89"/>
      <c r="AF1152" s="89"/>
      <c r="AG1152" s="91"/>
      <c r="AH1152" s="48"/>
      <c r="AI1152" s="39"/>
      <c r="AK1152" s="41"/>
    </row>
    <row r="1153" spans="1:37" ht="21">
      <c r="A1153" s="32" t="s">
        <v>1380</v>
      </c>
      <c r="B1153" s="92" t="s">
        <v>104</v>
      </c>
      <c r="C1153" s="93" t="s">
        <v>402</v>
      </c>
      <c r="D1153" s="88" t="s">
        <v>38</v>
      </c>
      <c r="E1153" s="73"/>
      <c r="F1153" s="73"/>
      <c r="G1153" s="73"/>
      <c r="H1153" s="73"/>
      <c r="I1153" s="73"/>
      <c r="J1153" s="73"/>
      <c r="K1153" s="73"/>
      <c r="L1153" s="73"/>
      <c r="M1153" s="73"/>
      <c r="N1153" s="73"/>
      <c r="O1153" s="73"/>
      <c r="P1153" s="73"/>
      <c r="Q1153" s="73"/>
      <c r="R1153" s="73"/>
      <c r="S1153" s="73"/>
      <c r="T1153" s="73"/>
      <c r="U1153" s="73"/>
      <c r="V1153" s="73"/>
      <c r="W1153" s="73"/>
      <c r="X1153" s="73"/>
      <c r="Y1153" s="73"/>
      <c r="Z1153" s="73"/>
      <c r="AA1153" s="75"/>
      <c r="AB1153" s="75"/>
      <c r="AC1153" s="55"/>
      <c r="AD1153" s="89"/>
      <c r="AE1153" s="89"/>
      <c r="AF1153" s="89"/>
      <c r="AG1153" s="57"/>
      <c r="AH1153" s="58"/>
      <c r="AI1153" s="49"/>
      <c r="AK1153" s="41"/>
    </row>
    <row r="1154" spans="1:37" ht="21">
      <c r="A1154" s="32" t="s">
        <v>1381</v>
      </c>
      <c r="B1154" s="92" t="s">
        <v>24</v>
      </c>
      <c r="C1154" s="93" t="s">
        <v>404</v>
      </c>
      <c r="D1154" s="88" t="s">
        <v>38</v>
      </c>
      <c r="E1154" s="73"/>
      <c r="F1154" s="73"/>
      <c r="G1154" s="73"/>
      <c r="H1154" s="73"/>
      <c r="I1154" s="73"/>
      <c r="J1154" s="73"/>
      <c r="K1154" s="73"/>
      <c r="L1154" s="73"/>
      <c r="M1154" s="73"/>
      <c r="N1154" s="73"/>
      <c r="O1154" s="73"/>
      <c r="P1154" s="73"/>
      <c r="Q1154" s="73"/>
      <c r="R1154" s="73"/>
      <c r="S1154" s="73"/>
      <c r="T1154" s="73"/>
      <c r="U1154" s="73"/>
      <c r="V1154" s="73"/>
      <c r="W1154" s="73"/>
      <c r="X1154" s="73"/>
      <c r="Y1154" s="73"/>
      <c r="Z1154" s="73"/>
      <c r="AA1154" s="75"/>
      <c r="AB1154" s="75"/>
      <c r="AC1154" s="55"/>
      <c r="AD1154" s="89"/>
      <c r="AE1154" s="89"/>
      <c r="AF1154" s="89"/>
      <c r="AG1154" s="57"/>
      <c r="AH1154" s="58"/>
      <c r="AI1154" s="49"/>
      <c r="AK1154" s="41"/>
    </row>
    <row r="1155" spans="1:37" ht="21">
      <c r="A1155" s="32" t="s">
        <v>1382</v>
      </c>
      <c r="B1155" s="94" t="s">
        <v>48</v>
      </c>
      <c r="C1155" s="95" t="s">
        <v>412</v>
      </c>
      <c r="D1155" s="88"/>
      <c r="E1155" s="73"/>
      <c r="F1155" s="73"/>
      <c r="G1155" s="73"/>
      <c r="H1155" s="73"/>
      <c r="I1155" s="73"/>
      <c r="J1155" s="73"/>
      <c r="K1155" s="73"/>
      <c r="L1155" s="73"/>
      <c r="M1155" s="73"/>
      <c r="N1155" s="73"/>
      <c r="O1155" s="73"/>
      <c r="P1155" s="73"/>
      <c r="Q1155" s="73"/>
      <c r="R1155" s="73"/>
      <c r="S1155" s="73"/>
      <c r="T1155" s="73"/>
      <c r="U1155" s="73"/>
      <c r="V1155" s="73"/>
      <c r="W1155" s="73"/>
      <c r="X1155" s="73"/>
      <c r="Y1155" s="73"/>
      <c r="Z1155" s="73"/>
      <c r="AA1155" s="75"/>
      <c r="AB1155" s="75"/>
      <c r="AC1155" s="55"/>
      <c r="AD1155" s="89"/>
      <c r="AE1155" s="89"/>
      <c r="AF1155" s="89"/>
      <c r="AG1155" s="91"/>
      <c r="AH1155" s="48"/>
      <c r="AI1155" s="39"/>
      <c r="AK1155" s="41"/>
    </row>
    <row r="1156" spans="1:37" ht="21">
      <c r="A1156" s="32" t="s">
        <v>1383</v>
      </c>
      <c r="B1156" s="92" t="s">
        <v>104</v>
      </c>
      <c r="C1156" s="93" t="s">
        <v>402</v>
      </c>
      <c r="D1156" s="88" t="s">
        <v>38</v>
      </c>
      <c r="E1156" s="73"/>
      <c r="F1156" s="73"/>
      <c r="G1156" s="73"/>
      <c r="H1156" s="73"/>
      <c r="I1156" s="73"/>
      <c r="J1156" s="73"/>
      <c r="K1156" s="73"/>
      <c r="L1156" s="73"/>
      <c r="M1156" s="73"/>
      <c r="N1156" s="73"/>
      <c r="O1156" s="73"/>
      <c r="P1156" s="73"/>
      <c r="Q1156" s="73"/>
      <c r="R1156" s="73"/>
      <c r="S1156" s="73"/>
      <c r="T1156" s="73"/>
      <c r="U1156" s="73"/>
      <c r="V1156" s="73"/>
      <c r="W1156" s="73"/>
      <c r="X1156" s="73"/>
      <c r="Y1156" s="73"/>
      <c r="Z1156" s="73"/>
      <c r="AA1156" s="75"/>
      <c r="AB1156" s="75"/>
      <c r="AC1156" s="55"/>
      <c r="AD1156" s="89"/>
      <c r="AE1156" s="89"/>
      <c r="AF1156" s="89"/>
      <c r="AG1156" s="57"/>
      <c r="AH1156" s="58"/>
      <c r="AI1156" s="49"/>
      <c r="AK1156" s="41"/>
    </row>
    <row r="1157" spans="1:37" ht="21">
      <c r="A1157" s="32" t="s">
        <v>1384</v>
      </c>
      <c r="B1157" s="92" t="s">
        <v>24</v>
      </c>
      <c r="C1157" s="93" t="s">
        <v>404</v>
      </c>
      <c r="D1157" s="88" t="s">
        <v>38</v>
      </c>
      <c r="E1157" s="73"/>
      <c r="F1157" s="73"/>
      <c r="G1157" s="73"/>
      <c r="H1157" s="73"/>
      <c r="I1157" s="73"/>
      <c r="J1157" s="73"/>
      <c r="K1157" s="73"/>
      <c r="L1157" s="73"/>
      <c r="M1157" s="73"/>
      <c r="N1157" s="73"/>
      <c r="O1157" s="73"/>
      <c r="P1157" s="73"/>
      <c r="Q1157" s="73"/>
      <c r="R1157" s="73"/>
      <c r="S1157" s="73"/>
      <c r="T1157" s="73"/>
      <c r="U1157" s="73"/>
      <c r="V1157" s="73"/>
      <c r="W1157" s="73"/>
      <c r="X1157" s="73"/>
      <c r="Y1157" s="73"/>
      <c r="Z1157" s="73"/>
      <c r="AA1157" s="75"/>
      <c r="AB1157" s="75"/>
      <c r="AC1157" s="55"/>
      <c r="AD1157" s="89"/>
      <c r="AE1157" s="89"/>
      <c r="AF1157" s="89"/>
      <c r="AG1157" s="57"/>
      <c r="AH1157" s="58"/>
      <c r="AI1157" s="49"/>
      <c r="AK1157" s="41"/>
    </row>
    <row r="1158" spans="1:37" ht="21">
      <c r="A1158" s="32" t="s">
        <v>1385</v>
      </c>
      <c r="B1158" s="94" t="s">
        <v>55</v>
      </c>
      <c r="C1158" s="95" t="s">
        <v>413</v>
      </c>
      <c r="D1158" s="88"/>
      <c r="E1158" s="73"/>
      <c r="F1158" s="73"/>
      <c r="G1158" s="73"/>
      <c r="H1158" s="73"/>
      <c r="I1158" s="73"/>
      <c r="J1158" s="73"/>
      <c r="K1158" s="73"/>
      <c r="L1158" s="73"/>
      <c r="M1158" s="73"/>
      <c r="N1158" s="73"/>
      <c r="O1158" s="73"/>
      <c r="P1158" s="73"/>
      <c r="Q1158" s="73"/>
      <c r="R1158" s="73"/>
      <c r="S1158" s="73"/>
      <c r="T1158" s="73"/>
      <c r="U1158" s="73"/>
      <c r="V1158" s="73"/>
      <c r="W1158" s="73"/>
      <c r="X1158" s="73"/>
      <c r="Y1158" s="73"/>
      <c r="Z1158" s="73"/>
      <c r="AA1158" s="75"/>
      <c r="AB1158" s="75"/>
      <c r="AC1158" s="55"/>
      <c r="AD1158" s="89"/>
      <c r="AE1158" s="89"/>
      <c r="AF1158" s="89"/>
      <c r="AG1158" s="91"/>
      <c r="AH1158" s="48"/>
      <c r="AI1158" s="39"/>
      <c r="AK1158" s="41"/>
    </row>
    <row r="1159" spans="1:37" ht="21">
      <c r="A1159" s="32" t="s">
        <v>1386</v>
      </c>
      <c r="B1159" s="92" t="s">
        <v>104</v>
      </c>
      <c r="C1159" s="93" t="s">
        <v>402</v>
      </c>
      <c r="D1159" s="88" t="s">
        <v>38</v>
      </c>
      <c r="E1159" s="73"/>
      <c r="F1159" s="73"/>
      <c r="G1159" s="73"/>
      <c r="H1159" s="73"/>
      <c r="I1159" s="73"/>
      <c r="J1159" s="73"/>
      <c r="K1159" s="73"/>
      <c r="L1159" s="73"/>
      <c r="M1159" s="73"/>
      <c r="N1159" s="73"/>
      <c r="O1159" s="73"/>
      <c r="P1159" s="73"/>
      <c r="Q1159" s="73"/>
      <c r="R1159" s="73"/>
      <c r="S1159" s="73"/>
      <c r="T1159" s="73"/>
      <c r="U1159" s="73"/>
      <c r="V1159" s="73"/>
      <c r="W1159" s="73"/>
      <c r="X1159" s="73"/>
      <c r="Y1159" s="73"/>
      <c r="Z1159" s="73"/>
      <c r="AA1159" s="75"/>
      <c r="AB1159" s="75"/>
      <c r="AC1159" s="55"/>
      <c r="AD1159" s="89"/>
      <c r="AE1159" s="89"/>
      <c r="AF1159" s="89"/>
      <c r="AG1159" s="57"/>
      <c r="AH1159" s="58"/>
      <c r="AI1159" s="49"/>
      <c r="AK1159" s="41"/>
    </row>
    <row r="1160" spans="1:37" ht="21">
      <c r="A1160" s="32" t="s">
        <v>1387</v>
      </c>
      <c r="B1160" s="92" t="s">
        <v>24</v>
      </c>
      <c r="C1160" s="93" t="s">
        <v>404</v>
      </c>
      <c r="D1160" s="88" t="s">
        <v>38</v>
      </c>
      <c r="E1160" s="73"/>
      <c r="F1160" s="73"/>
      <c r="G1160" s="73"/>
      <c r="H1160" s="73"/>
      <c r="I1160" s="73"/>
      <c r="J1160" s="73"/>
      <c r="K1160" s="73"/>
      <c r="L1160" s="73"/>
      <c r="M1160" s="73"/>
      <c r="N1160" s="73"/>
      <c r="O1160" s="73"/>
      <c r="P1160" s="73"/>
      <c r="Q1160" s="73"/>
      <c r="R1160" s="73"/>
      <c r="S1160" s="73"/>
      <c r="T1160" s="73"/>
      <c r="U1160" s="73"/>
      <c r="V1160" s="73"/>
      <c r="W1160" s="73"/>
      <c r="X1160" s="73"/>
      <c r="Y1160" s="73"/>
      <c r="Z1160" s="73"/>
      <c r="AA1160" s="75"/>
      <c r="AB1160" s="75"/>
      <c r="AC1160" s="55"/>
      <c r="AD1160" s="89"/>
      <c r="AE1160" s="89"/>
      <c r="AF1160" s="89"/>
      <c r="AG1160" s="57"/>
      <c r="AH1160" s="58"/>
      <c r="AI1160" s="49"/>
      <c r="AK1160" s="41"/>
    </row>
    <row r="1161" spans="1:37" ht="21">
      <c r="A1161" s="32" t="s">
        <v>1388</v>
      </c>
      <c r="B1161" s="94" t="s">
        <v>57</v>
      </c>
      <c r="C1161" s="95" t="s">
        <v>480</v>
      </c>
      <c r="D1161" s="88"/>
      <c r="E1161" s="73"/>
      <c r="F1161" s="73"/>
      <c r="G1161" s="73"/>
      <c r="H1161" s="73"/>
      <c r="I1161" s="73"/>
      <c r="J1161" s="73"/>
      <c r="K1161" s="73"/>
      <c r="L1161" s="73"/>
      <c r="M1161" s="73"/>
      <c r="N1161" s="73"/>
      <c r="O1161" s="73"/>
      <c r="P1161" s="73"/>
      <c r="Q1161" s="73"/>
      <c r="R1161" s="73"/>
      <c r="S1161" s="73"/>
      <c r="T1161" s="73"/>
      <c r="U1161" s="73"/>
      <c r="V1161" s="73"/>
      <c r="W1161" s="73"/>
      <c r="X1161" s="73"/>
      <c r="Y1161" s="73"/>
      <c r="Z1161" s="73"/>
      <c r="AA1161" s="75"/>
      <c r="AB1161" s="75"/>
      <c r="AC1161" s="55"/>
      <c r="AD1161" s="89"/>
      <c r="AE1161" s="89"/>
      <c r="AF1161" s="89"/>
      <c r="AG1161" s="91"/>
      <c r="AH1161" s="48"/>
      <c r="AI1161" s="39"/>
      <c r="AK1161" s="41"/>
    </row>
    <row r="1162" spans="1:37" ht="21">
      <c r="A1162" s="32" t="s">
        <v>1389</v>
      </c>
      <c r="B1162" s="92" t="s">
        <v>104</v>
      </c>
      <c r="C1162" s="93" t="s">
        <v>402</v>
      </c>
      <c r="D1162" s="88" t="s">
        <v>38</v>
      </c>
      <c r="E1162" s="73"/>
      <c r="F1162" s="73"/>
      <c r="G1162" s="73"/>
      <c r="H1162" s="73"/>
      <c r="I1162" s="73"/>
      <c r="J1162" s="73"/>
      <c r="K1162" s="73"/>
      <c r="L1162" s="73"/>
      <c r="M1162" s="73"/>
      <c r="N1162" s="73"/>
      <c r="O1162" s="73"/>
      <c r="P1162" s="73"/>
      <c r="Q1162" s="73"/>
      <c r="R1162" s="73"/>
      <c r="S1162" s="73"/>
      <c r="T1162" s="73"/>
      <c r="U1162" s="73"/>
      <c r="V1162" s="73"/>
      <c r="W1162" s="73"/>
      <c r="X1162" s="73"/>
      <c r="Y1162" s="73"/>
      <c r="Z1162" s="73"/>
      <c r="AA1162" s="75"/>
      <c r="AB1162" s="75"/>
      <c r="AC1162" s="55"/>
      <c r="AD1162" s="89"/>
      <c r="AE1162" s="89"/>
      <c r="AF1162" s="89"/>
      <c r="AG1162" s="57"/>
      <c r="AH1162" s="58"/>
      <c r="AI1162" s="49"/>
      <c r="AK1162" s="41"/>
    </row>
    <row r="1163" spans="1:37" ht="21">
      <c r="A1163" s="32" t="s">
        <v>1390</v>
      </c>
      <c r="B1163" s="92" t="s">
        <v>24</v>
      </c>
      <c r="C1163" s="93" t="s">
        <v>404</v>
      </c>
      <c r="D1163" s="88" t="s">
        <v>38</v>
      </c>
      <c r="E1163" s="73"/>
      <c r="F1163" s="73"/>
      <c r="G1163" s="73"/>
      <c r="H1163" s="73"/>
      <c r="I1163" s="73"/>
      <c r="J1163" s="73"/>
      <c r="K1163" s="73"/>
      <c r="L1163" s="73"/>
      <c r="M1163" s="73"/>
      <c r="N1163" s="73"/>
      <c r="O1163" s="73"/>
      <c r="P1163" s="73"/>
      <c r="Q1163" s="73"/>
      <c r="R1163" s="73"/>
      <c r="S1163" s="73"/>
      <c r="T1163" s="73"/>
      <c r="U1163" s="73"/>
      <c r="V1163" s="73"/>
      <c r="W1163" s="73"/>
      <c r="X1163" s="73"/>
      <c r="Y1163" s="73"/>
      <c r="Z1163" s="73"/>
      <c r="AA1163" s="75"/>
      <c r="AB1163" s="75"/>
      <c r="AC1163" s="55"/>
      <c r="AD1163" s="89"/>
      <c r="AE1163" s="89"/>
      <c r="AF1163" s="89"/>
      <c r="AG1163" s="57"/>
      <c r="AH1163" s="58"/>
      <c r="AI1163" s="49"/>
      <c r="AK1163" s="41"/>
    </row>
    <row r="1164" spans="1:37" ht="21">
      <c r="A1164" s="32" t="s">
        <v>637</v>
      </c>
      <c r="B1164" s="86" t="s">
        <v>637</v>
      </c>
      <c r="C1164" s="87" t="s">
        <v>635</v>
      </c>
      <c r="D1164" s="88"/>
      <c r="E1164" s="73"/>
      <c r="F1164" s="73"/>
      <c r="G1164" s="73"/>
      <c r="H1164" s="73"/>
      <c r="I1164" s="73"/>
      <c r="J1164" s="73"/>
      <c r="K1164" s="73"/>
      <c r="L1164" s="73"/>
      <c r="M1164" s="73"/>
      <c r="N1164" s="73"/>
      <c r="O1164" s="73"/>
      <c r="P1164" s="73"/>
      <c r="Q1164" s="73"/>
      <c r="R1164" s="73"/>
      <c r="S1164" s="73"/>
      <c r="T1164" s="73"/>
      <c r="U1164" s="73"/>
      <c r="V1164" s="73"/>
      <c r="W1164" s="73"/>
      <c r="X1164" s="73"/>
      <c r="Y1164" s="73"/>
      <c r="Z1164" s="73"/>
      <c r="AA1164" s="75"/>
      <c r="AB1164" s="75"/>
      <c r="AC1164" s="55"/>
      <c r="AD1164" s="89"/>
      <c r="AE1164" s="89"/>
      <c r="AF1164" s="89"/>
      <c r="AG1164" s="91"/>
      <c r="AH1164" s="48"/>
      <c r="AI1164" s="39"/>
      <c r="AK1164" s="41"/>
    </row>
    <row r="1165" spans="1:37" ht="21">
      <c r="A1165" s="32" t="s">
        <v>1391</v>
      </c>
      <c r="B1165" s="92" t="s">
        <v>104</v>
      </c>
      <c r="C1165" s="93" t="s">
        <v>402</v>
      </c>
      <c r="D1165" s="88" t="s">
        <v>38</v>
      </c>
      <c r="E1165" s="73"/>
      <c r="F1165" s="73"/>
      <c r="G1165" s="73"/>
      <c r="H1165" s="73"/>
      <c r="I1165" s="73"/>
      <c r="J1165" s="73"/>
      <c r="K1165" s="73"/>
      <c r="L1165" s="73"/>
      <c r="M1165" s="73"/>
      <c r="N1165" s="73"/>
      <c r="O1165" s="73"/>
      <c r="P1165" s="73"/>
      <c r="Q1165" s="73"/>
      <c r="R1165" s="73"/>
      <c r="S1165" s="73"/>
      <c r="T1165" s="73"/>
      <c r="U1165" s="73"/>
      <c r="V1165" s="73"/>
      <c r="W1165" s="73"/>
      <c r="X1165" s="73"/>
      <c r="Y1165" s="73"/>
      <c r="Z1165" s="73"/>
      <c r="AA1165" s="75"/>
      <c r="AB1165" s="75"/>
      <c r="AC1165" s="55"/>
      <c r="AD1165" s="89"/>
      <c r="AE1165" s="89"/>
      <c r="AF1165" s="89"/>
      <c r="AG1165" s="57"/>
      <c r="AH1165" s="58"/>
      <c r="AI1165" s="49"/>
      <c r="AK1165" s="41"/>
    </row>
    <row r="1166" spans="1:37" ht="21">
      <c r="A1166" s="32" t="s">
        <v>1392</v>
      </c>
      <c r="B1166" s="92" t="s">
        <v>24</v>
      </c>
      <c r="C1166" s="93" t="s">
        <v>404</v>
      </c>
      <c r="D1166" s="88" t="s">
        <v>38</v>
      </c>
      <c r="E1166" s="73"/>
      <c r="F1166" s="73"/>
      <c r="G1166" s="73"/>
      <c r="H1166" s="73"/>
      <c r="I1166" s="73"/>
      <c r="J1166" s="73"/>
      <c r="K1166" s="73"/>
      <c r="L1166" s="73"/>
      <c r="M1166" s="73"/>
      <c r="N1166" s="73"/>
      <c r="O1166" s="73"/>
      <c r="P1166" s="73"/>
      <c r="Q1166" s="73"/>
      <c r="R1166" s="73"/>
      <c r="S1166" s="73"/>
      <c r="T1166" s="73"/>
      <c r="U1166" s="73"/>
      <c r="V1166" s="73"/>
      <c r="W1166" s="73"/>
      <c r="X1166" s="73"/>
      <c r="Y1166" s="73"/>
      <c r="Z1166" s="73"/>
      <c r="AA1166" s="75"/>
      <c r="AB1166" s="75"/>
      <c r="AC1166" s="55"/>
      <c r="AD1166" s="89"/>
      <c r="AE1166" s="89"/>
      <c r="AF1166" s="89"/>
      <c r="AG1166" s="57"/>
      <c r="AH1166" s="58"/>
      <c r="AI1166" s="49"/>
      <c r="AK1166" s="41"/>
    </row>
    <row r="1167" spans="1:37" ht="27.75">
      <c r="A1167" s="32" t="s">
        <v>843</v>
      </c>
      <c r="B1167" s="105" t="s">
        <v>843</v>
      </c>
      <c r="C1167" s="87" t="s">
        <v>636</v>
      </c>
      <c r="D1167" s="88" t="s">
        <v>13</v>
      </c>
      <c r="E1167" s="73"/>
      <c r="F1167" s="73"/>
      <c r="G1167" s="73"/>
      <c r="H1167" s="73"/>
      <c r="I1167" s="73"/>
      <c r="J1167" s="73"/>
      <c r="K1167" s="73"/>
      <c r="L1167" s="73"/>
      <c r="M1167" s="73"/>
      <c r="N1167" s="73"/>
      <c r="O1167" s="73"/>
      <c r="P1167" s="73"/>
      <c r="Q1167" s="73"/>
      <c r="R1167" s="73"/>
      <c r="S1167" s="73"/>
      <c r="T1167" s="73"/>
      <c r="U1167" s="73"/>
      <c r="V1167" s="73"/>
      <c r="W1167" s="73"/>
      <c r="X1167" s="73"/>
      <c r="Y1167" s="73"/>
      <c r="Z1167" s="73"/>
      <c r="AA1167" s="75"/>
      <c r="AB1167" s="75"/>
      <c r="AC1167" s="55"/>
      <c r="AD1167" s="89"/>
      <c r="AE1167" s="89"/>
      <c r="AF1167" s="89"/>
      <c r="AG1167" s="57"/>
      <c r="AH1167" s="58"/>
      <c r="AI1167" s="49"/>
      <c r="AK1167" s="41"/>
    </row>
    <row r="1168" spans="1:37" ht="27.75">
      <c r="A1168" s="32" t="s">
        <v>844</v>
      </c>
      <c r="B1168" s="105" t="s">
        <v>844</v>
      </c>
      <c r="C1168" s="87" t="s">
        <v>638</v>
      </c>
      <c r="D1168" s="88" t="s">
        <v>13</v>
      </c>
      <c r="E1168" s="73"/>
      <c r="F1168" s="73"/>
      <c r="G1168" s="73"/>
      <c r="H1168" s="73"/>
      <c r="I1168" s="73"/>
      <c r="J1168" s="73"/>
      <c r="K1168" s="73"/>
      <c r="L1168" s="73"/>
      <c r="M1168" s="73"/>
      <c r="N1168" s="73"/>
      <c r="O1168" s="73"/>
      <c r="P1168" s="73"/>
      <c r="Q1168" s="73"/>
      <c r="R1168" s="73"/>
      <c r="S1168" s="73"/>
      <c r="T1168" s="73"/>
      <c r="U1168" s="73"/>
      <c r="V1168" s="73"/>
      <c r="W1168" s="73"/>
      <c r="X1168" s="73"/>
      <c r="Y1168" s="73"/>
      <c r="Z1168" s="73"/>
      <c r="AA1168" s="75"/>
      <c r="AB1168" s="75"/>
      <c r="AC1168" s="55"/>
      <c r="AD1168" s="89"/>
      <c r="AE1168" s="89"/>
      <c r="AF1168" s="89"/>
      <c r="AG1168" s="57"/>
      <c r="AH1168" s="58"/>
      <c r="AI1168" s="49"/>
      <c r="AK1168" s="41"/>
    </row>
    <row r="1169" spans="1:38" ht="21">
      <c r="A1169" s="32" t="s">
        <v>1491</v>
      </c>
      <c r="B1169" s="80"/>
      <c r="C1169" s="33" t="s">
        <v>1492</v>
      </c>
      <c r="D1169" s="80"/>
      <c r="E1169" s="81"/>
      <c r="F1169" s="81"/>
      <c r="G1169" s="81"/>
      <c r="H1169" s="81"/>
      <c r="I1169" s="81"/>
      <c r="J1169" s="81"/>
      <c r="K1169" s="81"/>
      <c r="L1169" s="81"/>
      <c r="M1169" s="81"/>
      <c r="N1169" s="81"/>
      <c r="O1169" s="81"/>
      <c r="P1169" s="81"/>
      <c r="Q1169" s="81"/>
      <c r="R1169" s="81"/>
      <c r="S1169" s="81"/>
      <c r="T1169" s="81"/>
      <c r="U1169" s="81"/>
      <c r="V1169" s="81"/>
      <c r="W1169" s="81"/>
      <c r="X1169" s="81"/>
      <c r="Y1169" s="81"/>
      <c r="Z1169" s="81"/>
      <c r="AA1169" s="83"/>
      <c r="AB1169" s="83"/>
      <c r="AC1169" s="55"/>
      <c r="AD1169" s="89"/>
      <c r="AE1169" s="89"/>
      <c r="AF1169" s="89"/>
      <c r="AG1169" s="91"/>
      <c r="AH1169" s="48"/>
      <c r="AI1169" s="39"/>
      <c r="AK1169" s="41"/>
      <c r="AL1169" s="137"/>
    </row>
    <row r="1170" spans="1:38" ht="27.75">
      <c r="A1170" s="32" t="s">
        <v>2014</v>
      </c>
      <c r="B1170" s="86">
        <v>13.01</v>
      </c>
      <c r="C1170" s="87" t="s">
        <v>639</v>
      </c>
      <c r="D1170" s="88" t="s">
        <v>38</v>
      </c>
      <c r="E1170" s="73"/>
      <c r="F1170" s="73"/>
      <c r="G1170" s="73"/>
      <c r="H1170" s="73"/>
      <c r="I1170" s="73"/>
      <c r="J1170" s="73"/>
      <c r="K1170" s="73"/>
      <c r="L1170" s="73"/>
      <c r="M1170" s="73"/>
      <c r="N1170" s="73"/>
      <c r="O1170" s="73"/>
      <c r="P1170" s="73"/>
      <c r="Q1170" s="73"/>
      <c r="R1170" s="73"/>
      <c r="S1170" s="73"/>
      <c r="T1170" s="73"/>
      <c r="U1170" s="73"/>
      <c r="V1170" s="73"/>
      <c r="W1170" s="73"/>
      <c r="X1170" s="73"/>
      <c r="Y1170" s="73"/>
      <c r="Z1170" s="73"/>
      <c r="AA1170" s="75"/>
      <c r="AB1170" s="75"/>
      <c r="AC1170" s="55"/>
      <c r="AD1170" s="89"/>
      <c r="AE1170" s="89"/>
      <c r="AF1170" s="89"/>
      <c r="AG1170" s="89"/>
      <c r="AH1170" s="58"/>
      <c r="AI1170" s="39"/>
      <c r="AK1170" s="41"/>
    </row>
    <row r="1171" spans="1:38" ht="21">
      <c r="A1171" s="32" t="s">
        <v>2015</v>
      </c>
      <c r="B1171" s="86">
        <v>13.02</v>
      </c>
      <c r="C1171" s="87" t="s">
        <v>640</v>
      </c>
      <c r="D1171" s="88" t="s">
        <v>77</v>
      </c>
      <c r="E1171" s="73"/>
      <c r="F1171" s="73"/>
      <c r="G1171" s="73"/>
      <c r="H1171" s="73"/>
      <c r="I1171" s="73"/>
      <c r="J1171" s="73"/>
      <c r="K1171" s="73"/>
      <c r="L1171" s="73"/>
      <c r="M1171" s="73"/>
      <c r="N1171" s="73"/>
      <c r="O1171" s="73"/>
      <c r="P1171" s="73"/>
      <c r="Q1171" s="73"/>
      <c r="R1171" s="73"/>
      <c r="S1171" s="73"/>
      <c r="T1171" s="73"/>
      <c r="U1171" s="73"/>
      <c r="V1171" s="73"/>
      <c r="W1171" s="73"/>
      <c r="X1171" s="73"/>
      <c r="Y1171" s="73"/>
      <c r="Z1171" s="73"/>
      <c r="AA1171" s="75"/>
      <c r="AB1171" s="75"/>
      <c r="AC1171" s="55"/>
      <c r="AD1171" s="89"/>
      <c r="AE1171" s="89"/>
      <c r="AF1171" s="89"/>
      <c r="AG1171" s="89"/>
      <c r="AH1171" s="58"/>
      <c r="AI1171" s="39"/>
      <c r="AK1171" s="41"/>
    </row>
    <row r="1172" spans="1:38" ht="21">
      <c r="A1172" s="32" t="s">
        <v>2016</v>
      </c>
      <c r="B1172" s="86">
        <v>13.03</v>
      </c>
      <c r="C1172" s="87" t="s">
        <v>641</v>
      </c>
      <c r="D1172" s="88" t="s">
        <v>77</v>
      </c>
      <c r="E1172" s="73"/>
      <c r="F1172" s="73"/>
      <c r="G1172" s="73"/>
      <c r="H1172" s="73"/>
      <c r="I1172" s="73"/>
      <c r="J1172" s="73"/>
      <c r="K1172" s="73"/>
      <c r="L1172" s="73"/>
      <c r="M1172" s="73"/>
      <c r="N1172" s="73"/>
      <c r="O1172" s="73"/>
      <c r="P1172" s="73"/>
      <c r="Q1172" s="73"/>
      <c r="R1172" s="73"/>
      <c r="S1172" s="73"/>
      <c r="T1172" s="73"/>
      <c r="U1172" s="73"/>
      <c r="V1172" s="73"/>
      <c r="W1172" s="73"/>
      <c r="X1172" s="73"/>
      <c r="Y1172" s="73"/>
      <c r="Z1172" s="73"/>
      <c r="AA1172" s="75"/>
      <c r="AB1172" s="75"/>
      <c r="AC1172" s="55"/>
      <c r="AD1172" s="89"/>
      <c r="AE1172" s="89"/>
      <c r="AF1172" s="89"/>
      <c r="AG1172" s="89"/>
      <c r="AH1172" s="58"/>
      <c r="AI1172" s="39"/>
      <c r="AK1172" s="41"/>
    </row>
    <row r="1173" spans="1:38" ht="27.75">
      <c r="A1173" s="32" t="s">
        <v>2017</v>
      </c>
      <c r="B1173" s="86">
        <v>13.04</v>
      </c>
      <c r="C1173" s="87" t="s">
        <v>393</v>
      </c>
      <c r="D1173" s="88"/>
      <c r="E1173" s="73"/>
      <c r="F1173" s="73"/>
      <c r="G1173" s="73"/>
      <c r="H1173" s="73"/>
      <c r="I1173" s="73"/>
      <c r="J1173" s="73"/>
      <c r="K1173" s="73"/>
      <c r="L1173" s="73"/>
      <c r="M1173" s="73"/>
      <c r="N1173" s="73"/>
      <c r="O1173" s="73"/>
      <c r="P1173" s="73"/>
      <c r="Q1173" s="73"/>
      <c r="R1173" s="73"/>
      <c r="S1173" s="73"/>
      <c r="T1173" s="73"/>
      <c r="U1173" s="73"/>
      <c r="V1173" s="73"/>
      <c r="W1173" s="73"/>
      <c r="X1173" s="73"/>
      <c r="Y1173" s="73"/>
      <c r="Z1173" s="73"/>
      <c r="AA1173" s="75"/>
      <c r="AB1173" s="75"/>
      <c r="AC1173" s="55"/>
      <c r="AD1173" s="89"/>
      <c r="AE1173" s="89"/>
      <c r="AF1173" s="89"/>
      <c r="AG1173" s="89"/>
      <c r="AH1173" s="48"/>
      <c r="AI1173" s="39"/>
      <c r="AK1173" s="41"/>
    </row>
    <row r="1174" spans="1:38" ht="21">
      <c r="A1174" s="32" t="s">
        <v>2018</v>
      </c>
      <c r="B1174" s="92" t="s">
        <v>14</v>
      </c>
      <c r="C1174" s="93" t="s">
        <v>394</v>
      </c>
      <c r="D1174" s="88" t="s">
        <v>38</v>
      </c>
      <c r="E1174" s="73"/>
      <c r="F1174" s="73"/>
      <c r="G1174" s="73"/>
      <c r="H1174" s="73"/>
      <c r="I1174" s="73"/>
      <c r="J1174" s="73"/>
      <c r="K1174" s="73"/>
      <c r="L1174" s="73"/>
      <c r="M1174" s="73"/>
      <c r="N1174" s="73"/>
      <c r="O1174" s="73"/>
      <c r="P1174" s="73"/>
      <c r="Q1174" s="73"/>
      <c r="R1174" s="73"/>
      <c r="S1174" s="73"/>
      <c r="T1174" s="73"/>
      <c r="U1174" s="73"/>
      <c r="V1174" s="73"/>
      <c r="W1174" s="73"/>
      <c r="X1174" s="73"/>
      <c r="Y1174" s="73"/>
      <c r="Z1174" s="73"/>
      <c r="AA1174" s="75"/>
      <c r="AB1174" s="75"/>
      <c r="AC1174" s="55"/>
      <c r="AD1174" s="89"/>
      <c r="AE1174" s="89"/>
      <c r="AF1174" s="89"/>
      <c r="AG1174" s="89"/>
      <c r="AH1174" s="58"/>
      <c r="AI1174" s="39"/>
      <c r="AK1174" s="41"/>
    </row>
    <row r="1175" spans="1:38" ht="21">
      <c r="A1175" s="32" t="s">
        <v>2019</v>
      </c>
      <c r="B1175" s="92" t="s">
        <v>15</v>
      </c>
      <c r="C1175" s="93" t="s">
        <v>395</v>
      </c>
      <c r="D1175" s="88" t="s">
        <v>38</v>
      </c>
      <c r="E1175" s="73"/>
      <c r="F1175" s="73"/>
      <c r="G1175" s="73"/>
      <c r="H1175" s="73"/>
      <c r="I1175" s="73"/>
      <c r="J1175" s="73"/>
      <c r="K1175" s="73"/>
      <c r="L1175" s="73"/>
      <c r="M1175" s="73"/>
      <c r="N1175" s="73"/>
      <c r="O1175" s="73"/>
      <c r="P1175" s="73"/>
      <c r="Q1175" s="73"/>
      <c r="R1175" s="73"/>
      <c r="S1175" s="73"/>
      <c r="T1175" s="73"/>
      <c r="U1175" s="73"/>
      <c r="V1175" s="73"/>
      <c r="W1175" s="73"/>
      <c r="X1175" s="73"/>
      <c r="Y1175" s="73"/>
      <c r="Z1175" s="73"/>
      <c r="AA1175" s="75"/>
      <c r="AB1175" s="75"/>
      <c r="AC1175" s="55"/>
      <c r="AD1175" s="89"/>
      <c r="AE1175" s="89"/>
      <c r="AF1175" s="89"/>
      <c r="AG1175" s="89"/>
      <c r="AH1175" s="58"/>
      <c r="AI1175" s="39"/>
      <c r="AK1175" s="41"/>
    </row>
    <row r="1176" spans="1:38" ht="21">
      <c r="A1176" s="32" t="s">
        <v>2020</v>
      </c>
      <c r="B1176" s="92" t="s">
        <v>40</v>
      </c>
      <c r="C1176" s="93" t="s">
        <v>396</v>
      </c>
      <c r="D1176" s="88" t="s">
        <v>38</v>
      </c>
      <c r="E1176" s="73"/>
      <c r="F1176" s="73"/>
      <c r="G1176" s="73"/>
      <c r="H1176" s="73"/>
      <c r="I1176" s="73"/>
      <c r="J1176" s="73"/>
      <c r="K1176" s="73"/>
      <c r="L1176" s="73"/>
      <c r="M1176" s="73"/>
      <c r="N1176" s="73"/>
      <c r="O1176" s="73"/>
      <c r="P1176" s="73"/>
      <c r="Q1176" s="73"/>
      <c r="R1176" s="73"/>
      <c r="S1176" s="73"/>
      <c r="T1176" s="73"/>
      <c r="U1176" s="73"/>
      <c r="V1176" s="73"/>
      <c r="W1176" s="73"/>
      <c r="X1176" s="73"/>
      <c r="Y1176" s="73"/>
      <c r="Z1176" s="73"/>
      <c r="AA1176" s="75"/>
      <c r="AB1176" s="75"/>
      <c r="AC1176" s="55"/>
      <c r="AD1176" s="89"/>
      <c r="AE1176" s="89"/>
      <c r="AF1176" s="89"/>
      <c r="AG1176" s="89"/>
      <c r="AH1176" s="58"/>
      <c r="AI1176" s="39"/>
      <c r="AK1176" s="41"/>
    </row>
    <row r="1177" spans="1:38" ht="27.75">
      <c r="A1177" s="32" t="s">
        <v>2021</v>
      </c>
      <c r="B1177" s="86">
        <v>13.05</v>
      </c>
      <c r="C1177" s="87" t="s">
        <v>642</v>
      </c>
      <c r="D1177" s="88"/>
      <c r="E1177" s="73"/>
      <c r="F1177" s="73"/>
      <c r="G1177" s="73"/>
      <c r="H1177" s="73"/>
      <c r="I1177" s="73"/>
      <c r="J1177" s="73"/>
      <c r="K1177" s="73"/>
      <c r="L1177" s="73"/>
      <c r="M1177" s="73"/>
      <c r="N1177" s="73"/>
      <c r="O1177" s="73"/>
      <c r="P1177" s="73"/>
      <c r="Q1177" s="73"/>
      <c r="R1177" s="73"/>
      <c r="S1177" s="73"/>
      <c r="T1177" s="73"/>
      <c r="U1177" s="73"/>
      <c r="V1177" s="73"/>
      <c r="W1177" s="73"/>
      <c r="X1177" s="73"/>
      <c r="Y1177" s="73"/>
      <c r="Z1177" s="73"/>
      <c r="AA1177" s="75"/>
      <c r="AB1177" s="75"/>
      <c r="AC1177" s="55"/>
      <c r="AD1177" s="89"/>
      <c r="AE1177" s="89"/>
      <c r="AF1177" s="89"/>
      <c r="AG1177" s="89"/>
      <c r="AH1177" s="48"/>
      <c r="AI1177" s="39"/>
      <c r="AK1177" s="41"/>
    </row>
    <row r="1178" spans="1:38" ht="21">
      <c r="A1178" s="32" t="s">
        <v>2022</v>
      </c>
      <c r="B1178" s="94" t="s">
        <v>14</v>
      </c>
      <c r="C1178" s="95" t="s">
        <v>3</v>
      </c>
      <c r="D1178" s="88"/>
      <c r="E1178" s="73"/>
      <c r="F1178" s="73"/>
      <c r="G1178" s="73"/>
      <c r="H1178" s="73"/>
      <c r="I1178" s="73"/>
      <c r="J1178" s="73"/>
      <c r="K1178" s="73"/>
      <c r="L1178" s="73"/>
      <c r="M1178" s="73"/>
      <c r="N1178" s="73"/>
      <c r="O1178" s="73"/>
      <c r="P1178" s="73"/>
      <c r="Q1178" s="73"/>
      <c r="R1178" s="73"/>
      <c r="S1178" s="73"/>
      <c r="T1178" s="73"/>
      <c r="U1178" s="73"/>
      <c r="V1178" s="73"/>
      <c r="W1178" s="73"/>
      <c r="X1178" s="73"/>
      <c r="Y1178" s="73"/>
      <c r="Z1178" s="73"/>
      <c r="AA1178" s="75"/>
      <c r="AB1178" s="75"/>
      <c r="AC1178" s="55"/>
      <c r="AD1178" s="89"/>
      <c r="AE1178" s="89"/>
      <c r="AF1178" s="89"/>
      <c r="AG1178" s="89"/>
      <c r="AH1178" s="48"/>
      <c r="AI1178" s="39"/>
      <c r="AK1178" s="41"/>
    </row>
    <row r="1179" spans="1:38" ht="21">
      <c r="A1179" s="32" t="s">
        <v>2023</v>
      </c>
      <c r="B1179" s="92" t="s">
        <v>643</v>
      </c>
      <c r="C1179" s="93" t="s">
        <v>644</v>
      </c>
      <c r="D1179" s="88" t="s">
        <v>38</v>
      </c>
      <c r="E1179" s="73"/>
      <c r="F1179" s="73"/>
      <c r="G1179" s="73"/>
      <c r="H1179" s="73"/>
      <c r="I1179" s="73"/>
      <c r="J1179" s="73"/>
      <c r="K1179" s="73"/>
      <c r="L1179" s="73"/>
      <c r="M1179" s="73"/>
      <c r="N1179" s="73"/>
      <c r="O1179" s="73"/>
      <c r="P1179" s="73"/>
      <c r="Q1179" s="73"/>
      <c r="R1179" s="73"/>
      <c r="S1179" s="73"/>
      <c r="T1179" s="73"/>
      <c r="U1179" s="73"/>
      <c r="V1179" s="73"/>
      <c r="W1179" s="73"/>
      <c r="X1179" s="73"/>
      <c r="Y1179" s="73"/>
      <c r="Z1179" s="73"/>
      <c r="AA1179" s="75"/>
      <c r="AB1179" s="75"/>
      <c r="AC1179" s="55"/>
      <c r="AD1179" s="89"/>
      <c r="AE1179" s="89"/>
      <c r="AF1179" s="89"/>
      <c r="AG1179" s="89"/>
      <c r="AH1179" s="58"/>
      <c r="AI1179" s="39"/>
      <c r="AK1179" s="41"/>
    </row>
    <row r="1180" spans="1:38" ht="21">
      <c r="A1180" s="32" t="s">
        <v>2024</v>
      </c>
      <c r="B1180" s="94" t="s">
        <v>15</v>
      </c>
      <c r="C1180" s="95" t="s">
        <v>4</v>
      </c>
      <c r="D1180" s="88"/>
      <c r="E1180" s="73"/>
      <c r="F1180" s="73"/>
      <c r="G1180" s="73"/>
      <c r="H1180" s="73"/>
      <c r="I1180" s="73"/>
      <c r="J1180" s="73"/>
      <c r="K1180" s="73"/>
      <c r="L1180" s="73"/>
      <c r="M1180" s="73"/>
      <c r="N1180" s="73"/>
      <c r="O1180" s="73"/>
      <c r="P1180" s="73"/>
      <c r="Q1180" s="73"/>
      <c r="R1180" s="73"/>
      <c r="S1180" s="73"/>
      <c r="T1180" s="73"/>
      <c r="U1180" s="73"/>
      <c r="V1180" s="73"/>
      <c r="W1180" s="73"/>
      <c r="X1180" s="73"/>
      <c r="Y1180" s="73"/>
      <c r="Z1180" s="73"/>
      <c r="AA1180" s="75"/>
      <c r="AB1180" s="75"/>
      <c r="AC1180" s="55"/>
      <c r="AD1180" s="89"/>
      <c r="AE1180" s="89"/>
      <c r="AF1180" s="89"/>
      <c r="AG1180" s="89"/>
      <c r="AH1180" s="48"/>
      <c r="AI1180" s="39"/>
      <c r="AK1180" s="41"/>
    </row>
    <row r="1181" spans="1:38" ht="21">
      <c r="A1181" s="32" t="s">
        <v>2025</v>
      </c>
      <c r="B1181" s="92" t="s">
        <v>643</v>
      </c>
      <c r="C1181" s="93" t="s">
        <v>644</v>
      </c>
      <c r="D1181" s="88" t="s">
        <v>38</v>
      </c>
      <c r="E1181" s="73"/>
      <c r="F1181" s="73"/>
      <c r="G1181" s="73"/>
      <c r="H1181" s="73"/>
      <c r="I1181" s="73"/>
      <c r="J1181" s="73"/>
      <c r="K1181" s="73"/>
      <c r="L1181" s="73"/>
      <c r="M1181" s="73"/>
      <c r="N1181" s="73"/>
      <c r="O1181" s="73"/>
      <c r="P1181" s="73"/>
      <c r="Q1181" s="73"/>
      <c r="R1181" s="73"/>
      <c r="S1181" s="73"/>
      <c r="T1181" s="73"/>
      <c r="U1181" s="73"/>
      <c r="V1181" s="73"/>
      <c r="W1181" s="73"/>
      <c r="X1181" s="73"/>
      <c r="Y1181" s="73"/>
      <c r="Z1181" s="73"/>
      <c r="AA1181" s="75"/>
      <c r="AB1181" s="75"/>
      <c r="AC1181" s="55"/>
      <c r="AD1181" s="89"/>
      <c r="AE1181" s="89"/>
      <c r="AF1181" s="89"/>
      <c r="AG1181" s="89"/>
      <c r="AH1181" s="58"/>
      <c r="AI1181" s="39"/>
      <c r="AK1181" s="41"/>
    </row>
    <row r="1182" spans="1:38" ht="21">
      <c r="A1182" s="32" t="s">
        <v>2026</v>
      </c>
      <c r="B1182" s="94" t="s">
        <v>40</v>
      </c>
      <c r="C1182" s="95" t="s">
        <v>407</v>
      </c>
      <c r="D1182" s="88"/>
      <c r="E1182" s="73"/>
      <c r="F1182" s="73"/>
      <c r="G1182" s="73"/>
      <c r="H1182" s="73"/>
      <c r="I1182" s="73"/>
      <c r="J1182" s="73"/>
      <c r="K1182" s="73"/>
      <c r="L1182" s="73"/>
      <c r="M1182" s="73"/>
      <c r="N1182" s="73"/>
      <c r="O1182" s="73"/>
      <c r="P1182" s="73"/>
      <c r="Q1182" s="73"/>
      <c r="R1182" s="73"/>
      <c r="S1182" s="73"/>
      <c r="T1182" s="73"/>
      <c r="U1182" s="73"/>
      <c r="V1182" s="73"/>
      <c r="W1182" s="73"/>
      <c r="X1182" s="73"/>
      <c r="Y1182" s="73"/>
      <c r="Z1182" s="73"/>
      <c r="AA1182" s="75"/>
      <c r="AB1182" s="75"/>
      <c r="AC1182" s="55"/>
      <c r="AD1182" s="89"/>
      <c r="AE1182" s="89"/>
      <c r="AF1182" s="89"/>
      <c r="AG1182" s="89"/>
      <c r="AH1182" s="48"/>
      <c r="AI1182" s="39"/>
      <c r="AK1182" s="41"/>
    </row>
    <row r="1183" spans="1:38" ht="21">
      <c r="A1183" s="32" t="s">
        <v>2027</v>
      </c>
      <c r="B1183" s="94" t="s">
        <v>643</v>
      </c>
      <c r="C1183" s="93" t="s">
        <v>1428</v>
      </c>
      <c r="D1183" s="88" t="s">
        <v>38</v>
      </c>
      <c r="E1183" s="73"/>
      <c r="F1183" s="73"/>
      <c r="G1183" s="73"/>
      <c r="H1183" s="73"/>
      <c r="I1183" s="73"/>
      <c r="J1183" s="73"/>
      <c r="K1183" s="73"/>
      <c r="L1183" s="73"/>
      <c r="M1183" s="73"/>
      <c r="N1183" s="73"/>
      <c r="O1183" s="73"/>
      <c r="P1183" s="73"/>
      <c r="Q1183" s="73"/>
      <c r="R1183" s="73"/>
      <c r="S1183" s="73"/>
      <c r="T1183" s="73"/>
      <c r="U1183" s="73"/>
      <c r="V1183" s="73"/>
      <c r="W1183" s="73"/>
      <c r="X1183" s="73"/>
      <c r="Y1183" s="73"/>
      <c r="Z1183" s="73"/>
      <c r="AA1183" s="75"/>
      <c r="AB1183" s="75"/>
      <c r="AC1183" s="55"/>
      <c r="AD1183" s="89"/>
      <c r="AE1183" s="89"/>
      <c r="AF1183" s="89"/>
      <c r="AG1183" s="57"/>
      <c r="AH1183" s="58"/>
      <c r="AI1183" s="39"/>
      <c r="AK1183" s="41"/>
    </row>
    <row r="1184" spans="1:38" ht="21">
      <c r="A1184" s="32" t="s">
        <v>2028</v>
      </c>
      <c r="B1184" s="94" t="s">
        <v>645</v>
      </c>
      <c r="C1184" s="93" t="s">
        <v>1427</v>
      </c>
      <c r="D1184" s="88" t="s">
        <v>38</v>
      </c>
      <c r="E1184" s="73"/>
      <c r="F1184" s="73"/>
      <c r="G1184" s="73"/>
      <c r="H1184" s="73"/>
      <c r="I1184" s="73"/>
      <c r="J1184" s="73"/>
      <c r="K1184" s="73"/>
      <c r="L1184" s="73"/>
      <c r="M1184" s="73"/>
      <c r="N1184" s="73"/>
      <c r="O1184" s="73"/>
      <c r="P1184" s="73"/>
      <c r="Q1184" s="73"/>
      <c r="R1184" s="73"/>
      <c r="S1184" s="73"/>
      <c r="T1184" s="73"/>
      <c r="U1184" s="73"/>
      <c r="V1184" s="73"/>
      <c r="W1184" s="73"/>
      <c r="X1184" s="73"/>
      <c r="Y1184" s="73"/>
      <c r="Z1184" s="73"/>
      <c r="AA1184" s="75"/>
      <c r="AB1184" s="75"/>
      <c r="AC1184" s="55"/>
      <c r="AD1184" s="89"/>
      <c r="AE1184" s="89"/>
      <c r="AF1184" s="89"/>
      <c r="AG1184" s="57"/>
      <c r="AH1184" s="58"/>
      <c r="AI1184" s="39"/>
      <c r="AK1184" s="41"/>
    </row>
    <row r="1185" spans="1:37" ht="21">
      <c r="A1185" s="32" t="s">
        <v>2029</v>
      </c>
      <c r="B1185" s="94" t="s">
        <v>647</v>
      </c>
      <c r="C1185" s="93" t="s">
        <v>1426</v>
      </c>
      <c r="D1185" s="88" t="s">
        <v>38</v>
      </c>
      <c r="E1185" s="73"/>
      <c r="F1185" s="73"/>
      <c r="G1185" s="73"/>
      <c r="H1185" s="73"/>
      <c r="I1185" s="73"/>
      <c r="J1185" s="73"/>
      <c r="K1185" s="73"/>
      <c r="L1185" s="73"/>
      <c r="M1185" s="73"/>
      <c r="N1185" s="73"/>
      <c r="O1185" s="73"/>
      <c r="P1185" s="73"/>
      <c r="Q1185" s="73"/>
      <c r="R1185" s="73"/>
      <c r="S1185" s="73"/>
      <c r="T1185" s="73"/>
      <c r="U1185" s="73"/>
      <c r="V1185" s="73"/>
      <c r="W1185" s="73"/>
      <c r="X1185" s="73"/>
      <c r="Y1185" s="73"/>
      <c r="Z1185" s="73"/>
      <c r="AA1185" s="75"/>
      <c r="AB1185" s="75"/>
      <c r="AC1185" s="55"/>
      <c r="AD1185" s="89"/>
      <c r="AE1185" s="89"/>
      <c r="AF1185" s="89"/>
      <c r="AG1185" s="57"/>
      <c r="AH1185" s="58"/>
      <c r="AI1185" s="39"/>
      <c r="AK1185" s="41"/>
    </row>
    <row r="1186" spans="1:37" ht="21">
      <c r="A1186" s="32" t="s">
        <v>2030</v>
      </c>
      <c r="B1186" s="94" t="s">
        <v>48</v>
      </c>
      <c r="C1186" s="95" t="s">
        <v>649</v>
      </c>
      <c r="D1186" s="88"/>
      <c r="E1186" s="73"/>
      <c r="F1186" s="73"/>
      <c r="G1186" s="73"/>
      <c r="H1186" s="73"/>
      <c r="I1186" s="73"/>
      <c r="J1186" s="73"/>
      <c r="K1186" s="73"/>
      <c r="L1186" s="73"/>
      <c r="M1186" s="73"/>
      <c r="N1186" s="73"/>
      <c r="O1186" s="73"/>
      <c r="P1186" s="73"/>
      <c r="Q1186" s="73"/>
      <c r="R1186" s="73"/>
      <c r="S1186" s="73"/>
      <c r="T1186" s="73"/>
      <c r="U1186" s="73"/>
      <c r="V1186" s="73"/>
      <c r="W1186" s="73"/>
      <c r="X1186" s="73"/>
      <c r="Y1186" s="73"/>
      <c r="Z1186" s="73"/>
      <c r="AA1186" s="75"/>
      <c r="AB1186" s="75"/>
      <c r="AC1186" s="55"/>
      <c r="AD1186" s="89"/>
      <c r="AE1186" s="89"/>
      <c r="AF1186" s="89"/>
      <c r="AG1186" s="91"/>
      <c r="AH1186" s="48"/>
      <c r="AI1186" s="39"/>
      <c r="AK1186" s="41"/>
    </row>
    <row r="1187" spans="1:37" ht="21">
      <c r="A1187" s="32" t="s">
        <v>2031</v>
      </c>
      <c r="B1187" s="94" t="s">
        <v>643</v>
      </c>
      <c r="C1187" s="93" t="s">
        <v>1428</v>
      </c>
      <c r="D1187" s="88" t="s">
        <v>38</v>
      </c>
      <c r="E1187" s="73"/>
      <c r="F1187" s="73"/>
      <c r="G1187" s="73"/>
      <c r="H1187" s="73"/>
      <c r="I1187" s="73"/>
      <c r="J1187" s="73"/>
      <c r="K1187" s="73"/>
      <c r="L1187" s="73"/>
      <c r="M1187" s="73"/>
      <c r="N1187" s="73"/>
      <c r="O1187" s="73"/>
      <c r="P1187" s="73"/>
      <c r="Q1187" s="73"/>
      <c r="R1187" s="73"/>
      <c r="S1187" s="73"/>
      <c r="T1187" s="73"/>
      <c r="U1187" s="73"/>
      <c r="V1187" s="73"/>
      <c r="W1187" s="73"/>
      <c r="X1187" s="73"/>
      <c r="Y1187" s="73"/>
      <c r="Z1187" s="73"/>
      <c r="AA1187" s="75"/>
      <c r="AB1187" s="75"/>
      <c r="AC1187" s="55"/>
      <c r="AD1187" s="89"/>
      <c r="AE1187" s="89"/>
      <c r="AF1187" s="89"/>
      <c r="AG1187" s="57"/>
      <c r="AH1187" s="58"/>
      <c r="AI1187" s="39"/>
      <c r="AK1187" s="41"/>
    </row>
    <row r="1188" spans="1:37" ht="21">
      <c r="A1188" s="32" t="s">
        <v>2032</v>
      </c>
      <c r="B1188" s="94" t="s">
        <v>645</v>
      </c>
      <c r="C1188" s="93" t="s">
        <v>1427</v>
      </c>
      <c r="D1188" s="88" t="s">
        <v>38</v>
      </c>
      <c r="E1188" s="73"/>
      <c r="F1188" s="73"/>
      <c r="G1188" s="73"/>
      <c r="H1188" s="73"/>
      <c r="I1188" s="73"/>
      <c r="J1188" s="73"/>
      <c r="K1188" s="73"/>
      <c r="L1188" s="73"/>
      <c r="M1188" s="73"/>
      <c r="N1188" s="73"/>
      <c r="O1188" s="73"/>
      <c r="P1188" s="73"/>
      <c r="Q1188" s="73"/>
      <c r="R1188" s="73"/>
      <c r="S1188" s="73"/>
      <c r="T1188" s="73"/>
      <c r="U1188" s="73"/>
      <c r="V1188" s="73"/>
      <c r="W1188" s="73"/>
      <c r="X1188" s="73"/>
      <c r="Y1188" s="73"/>
      <c r="Z1188" s="73"/>
      <c r="AA1188" s="75"/>
      <c r="AB1188" s="75"/>
      <c r="AC1188" s="55"/>
      <c r="AD1188" s="89"/>
      <c r="AE1188" s="89"/>
      <c r="AF1188" s="89"/>
      <c r="AG1188" s="57"/>
      <c r="AH1188" s="58"/>
      <c r="AI1188" s="39"/>
      <c r="AK1188" s="41"/>
    </row>
    <row r="1189" spans="1:37" ht="21">
      <c r="A1189" s="32" t="s">
        <v>2033</v>
      </c>
      <c r="B1189" s="94" t="s">
        <v>647</v>
      </c>
      <c r="C1189" s="93" t="s">
        <v>1426</v>
      </c>
      <c r="D1189" s="88" t="s">
        <v>38</v>
      </c>
      <c r="E1189" s="73"/>
      <c r="F1189" s="73"/>
      <c r="G1189" s="73"/>
      <c r="H1189" s="73"/>
      <c r="I1189" s="73"/>
      <c r="J1189" s="73"/>
      <c r="K1189" s="73"/>
      <c r="L1189" s="73"/>
      <c r="M1189" s="73"/>
      <c r="N1189" s="73"/>
      <c r="O1189" s="73"/>
      <c r="P1189" s="73"/>
      <c r="Q1189" s="73"/>
      <c r="R1189" s="73"/>
      <c r="S1189" s="73"/>
      <c r="T1189" s="73"/>
      <c r="U1189" s="73"/>
      <c r="V1189" s="73"/>
      <c r="W1189" s="73"/>
      <c r="X1189" s="73"/>
      <c r="Y1189" s="73"/>
      <c r="Z1189" s="73"/>
      <c r="AA1189" s="75"/>
      <c r="AB1189" s="75"/>
      <c r="AC1189" s="55"/>
      <c r="AD1189" s="89"/>
      <c r="AE1189" s="89"/>
      <c r="AF1189" s="89"/>
      <c r="AG1189" s="57"/>
      <c r="AH1189" s="58"/>
      <c r="AI1189" s="39"/>
      <c r="AK1189" s="41"/>
    </row>
    <row r="1190" spans="1:37" ht="21">
      <c r="A1190" s="32" t="s">
        <v>2034</v>
      </c>
      <c r="B1190" s="94" t="s">
        <v>55</v>
      </c>
      <c r="C1190" s="95" t="s">
        <v>406</v>
      </c>
      <c r="D1190" s="88"/>
      <c r="E1190" s="73"/>
      <c r="F1190" s="73"/>
      <c r="G1190" s="73"/>
      <c r="H1190" s="73"/>
      <c r="I1190" s="73"/>
      <c r="J1190" s="73"/>
      <c r="K1190" s="73"/>
      <c r="L1190" s="73"/>
      <c r="M1190" s="73"/>
      <c r="N1190" s="73"/>
      <c r="O1190" s="73"/>
      <c r="P1190" s="73"/>
      <c r="Q1190" s="73"/>
      <c r="R1190" s="73"/>
      <c r="S1190" s="73"/>
      <c r="T1190" s="73"/>
      <c r="U1190" s="73"/>
      <c r="V1190" s="73"/>
      <c r="W1190" s="73"/>
      <c r="X1190" s="73"/>
      <c r="Y1190" s="73"/>
      <c r="Z1190" s="73"/>
      <c r="AA1190" s="75"/>
      <c r="AB1190" s="75"/>
      <c r="AC1190" s="55"/>
      <c r="AD1190" s="89"/>
      <c r="AE1190" s="89"/>
      <c r="AF1190" s="89"/>
      <c r="AG1190" s="91"/>
      <c r="AH1190" s="48"/>
      <c r="AI1190" s="39"/>
      <c r="AK1190" s="41"/>
    </row>
    <row r="1191" spans="1:37" ht="21">
      <c r="A1191" s="32" t="s">
        <v>2035</v>
      </c>
      <c r="B1191" s="94" t="s">
        <v>643</v>
      </c>
      <c r="C1191" s="93" t="s">
        <v>1428</v>
      </c>
      <c r="D1191" s="88" t="s">
        <v>38</v>
      </c>
      <c r="E1191" s="73"/>
      <c r="F1191" s="73"/>
      <c r="G1191" s="73"/>
      <c r="H1191" s="73"/>
      <c r="I1191" s="73"/>
      <c r="J1191" s="73"/>
      <c r="K1191" s="73"/>
      <c r="L1191" s="73"/>
      <c r="M1191" s="73"/>
      <c r="N1191" s="73"/>
      <c r="O1191" s="73"/>
      <c r="P1191" s="73"/>
      <c r="Q1191" s="73"/>
      <c r="R1191" s="73"/>
      <c r="S1191" s="73"/>
      <c r="T1191" s="73"/>
      <c r="U1191" s="73"/>
      <c r="V1191" s="73"/>
      <c r="W1191" s="73"/>
      <c r="X1191" s="73"/>
      <c r="Y1191" s="73"/>
      <c r="Z1191" s="73"/>
      <c r="AA1191" s="75"/>
      <c r="AB1191" s="75"/>
      <c r="AC1191" s="55"/>
      <c r="AD1191" s="89"/>
      <c r="AE1191" s="89"/>
      <c r="AF1191" s="89"/>
      <c r="AG1191" s="57"/>
      <c r="AH1191" s="58"/>
      <c r="AI1191" s="39"/>
      <c r="AK1191" s="41"/>
    </row>
    <row r="1192" spans="1:37" ht="21">
      <c r="A1192" s="32" t="s">
        <v>2036</v>
      </c>
      <c r="B1192" s="94" t="s">
        <v>645</v>
      </c>
      <c r="C1192" s="93" t="s">
        <v>1427</v>
      </c>
      <c r="D1192" s="88" t="s">
        <v>38</v>
      </c>
      <c r="E1192" s="73"/>
      <c r="F1192" s="73"/>
      <c r="G1192" s="73"/>
      <c r="H1192" s="73"/>
      <c r="I1192" s="73"/>
      <c r="J1192" s="73"/>
      <c r="K1192" s="73"/>
      <c r="L1192" s="73"/>
      <c r="M1192" s="73"/>
      <c r="N1192" s="73"/>
      <c r="O1192" s="73"/>
      <c r="P1192" s="73"/>
      <c r="Q1192" s="73"/>
      <c r="R1192" s="73"/>
      <c r="S1192" s="73"/>
      <c r="T1192" s="73"/>
      <c r="U1192" s="73"/>
      <c r="V1192" s="73"/>
      <c r="W1192" s="73"/>
      <c r="X1192" s="73"/>
      <c r="Y1192" s="73"/>
      <c r="Z1192" s="73"/>
      <c r="AA1192" s="75"/>
      <c r="AB1192" s="75"/>
      <c r="AC1192" s="55"/>
      <c r="AD1192" s="89"/>
      <c r="AE1192" s="89"/>
      <c r="AF1192" s="89"/>
      <c r="AG1192" s="57"/>
      <c r="AH1192" s="58"/>
      <c r="AI1192" s="39"/>
      <c r="AK1192" s="41"/>
    </row>
    <row r="1193" spans="1:37" ht="21">
      <c r="A1193" s="32" t="s">
        <v>2037</v>
      </c>
      <c r="B1193" s="94" t="s">
        <v>647</v>
      </c>
      <c r="C1193" s="93" t="s">
        <v>1426</v>
      </c>
      <c r="D1193" s="88" t="s">
        <v>38</v>
      </c>
      <c r="E1193" s="73"/>
      <c r="F1193" s="73"/>
      <c r="G1193" s="73"/>
      <c r="H1193" s="73"/>
      <c r="I1193" s="73"/>
      <c r="J1193" s="73"/>
      <c r="K1193" s="73"/>
      <c r="L1193" s="73"/>
      <c r="M1193" s="73"/>
      <c r="N1193" s="73"/>
      <c r="O1193" s="73"/>
      <c r="P1193" s="73"/>
      <c r="Q1193" s="73"/>
      <c r="R1193" s="73"/>
      <c r="S1193" s="73"/>
      <c r="T1193" s="73"/>
      <c r="U1193" s="73"/>
      <c r="V1193" s="73"/>
      <c r="W1193" s="73"/>
      <c r="X1193" s="73"/>
      <c r="Y1193" s="73"/>
      <c r="Z1193" s="73"/>
      <c r="AA1193" s="75"/>
      <c r="AB1193" s="75"/>
      <c r="AC1193" s="55"/>
      <c r="AD1193" s="89"/>
      <c r="AE1193" s="89"/>
      <c r="AF1193" s="89"/>
      <c r="AG1193" s="57"/>
      <c r="AH1193" s="58"/>
      <c r="AI1193" s="39"/>
      <c r="AK1193" s="41"/>
    </row>
    <row r="1194" spans="1:37" ht="21">
      <c r="A1194" s="32" t="s">
        <v>2038</v>
      </c>
      <c r="B1194" s="94" t="s">
        <v>57</v>
      </c>
      <c r="C1194" s="95" t="s">
        <v>408</v>
      </c>
      <c r="D1194" s="88"/>
      <c r="E1194" s="73"/>
      <c r="F1194" s="73"/>
      <c r="G1194" s="73"/>
      <c r="H1194" s="73"/>
      <c r="I1194" s="73"/>
      <c r="J1194" s="73"/>
      <c r="K1194" s="73"/>
      <c r="L1194" s="73"/>
      <c r="M1194" s="73"/>
      <c r="N1194" s="73"/>
      <c r="O1194" s="73"/>
      <c r="P1194" s="73"/>
      <c r="Q1194" s="73"/>
      <c r="R1194" s="73"/>
      <c r="S1194" s="73"/>
      <c r="T1194" s="73"/>
      <c r="U1194" s="73"/>
      <c r="V1194" s="73"/>
      <c r="W1194" s="73"/>
      <c r="X1194" s="73"/>
      <c r="Y1194" s="73"/>
      <c r="Z1194" s="73"/>
      <c r="AA1194" s="75"/>
      <c r="AB1194" s="75"/>
      <c r="AC1194" s="55"/>
      <c r="AD1194" s="89"/>
      <c r="AE1194" s="89"/>
      <c r="AF1194" s="89"/>
      <c r="AG1194" s="91"/>
      <c r="AH1194" s="48"/>
      <c r="AI1194" s="39"/>
      <c r="AK1194" s="41"/>
    </row>
    <row r="1195" spans="1:37" ht="21">
      <c r="A1195" s="32" t="s">
        <v>2039</v>
      </c>
      <c r="B1195" s="94" t="s">
        <v>643</v>
      </c>
      <c r="C1195" s="93" t="s">
        <v>1428</v>
      </c>
      <c r="D1195" s="88" t="s">
        <v>38</v>
      </c>
      <c r="E1195" s="73"/>
      <c r="F1195" s="73"/>
      <c r="G1195" s="73"/>
      <c r="H1195" s="73"/>
      <c r="I1195" s="73"/>
      <c r="J1195" s="73"/>
      <c r="K1195" s="73"/>
      <c r="L1195" s="73"/>
      <c r="M1195" s="73"/>
      <c r="N1195" s="73"/>
      <c r="O1195" s="73"/>
      <c r="P1195" s="73"/>
      <c r="Q1195" s="73"/>
      <c r="R1195" s="73"/>
      <c r="S1195" s="73"/>
      <c r="T1195" s="73"/>
      <c r="U1195" s="73"/>
      <c r="V1195" s="73"/>
      <c r="W1195" s="73"/>
      <c r="X1195" s="73"/>
      <c r="Y1195" s="73"/>
      <c r="Z1195" s="73"/>
      <c r="AA1195" s="75"/>
      <c r="AB1195" s="75"/>
      <c r="AC1195" s="55"/>
      <c r="AD1195" s="89"/>
      <c r="AE1195" s="89"/>
      <c r="AF1195" s="89"/>
      <c r="AG1195" s="57"/>
      <c r="AH1195" s="58"/>
      <c r="AI1195" s="39"/>
      <c r="AK1195" s="41"/>
    </row>
    <row r="1196" spans="1:37" ht="21">
      <c r="A1196" s="32" t="s">
        <v>2040</v>
      </c>
      <c r="B1196" s="94" t="s">
        <v>645</v>
      </c>
      <c r="C1196" s="93" t="s">
        <v>1427</v>
      </c>
      <c r="D1196" s="88" t="s">
        <v>38</v>
      </c>
      <c r="E1196" s="73"/>
      <c r="F1196" s="73"/>
      <c r="G1196" s="73"/>
      <c r="H1196" s="73"/>
      <c r="I1196" s="73"/>
      <c r="J1196" s="73"/>
      <c r="K1196" s="73"/>
      <c r="L1196" s="73"/>
      <c r="M1196" s="73"/>
      <c r="N1196" s="73"/>
      <c r="O1196" s="73"/>
      <c r="P1196" s="73"/>
      <c r="Q1196" s="73"/>
      <c r="R1196" s="73"/>
      <c r="S1196" s="73"/>
      <c r="T1196" s="73"/>
      <c r="U1196" s="73"/>
      <c r="V1196" s="73"/>
      <c r="W1196" s="73"/>
      <c r="X1196" s="73"/>
      <c r="Y1196" s="73"/>
      <c r="Z1196" s="73"/>
      <c r="AA1196" s="75"/>
      <c r="AB1196" s="75"/>
      <c r="AC1196" s="55"/>
      <c r="AD1196" s="89"/>
      <c r="AE1196" s="89"/>
      <c r="AF1196" s="89"/>
      <c r="AG1196" s="57"/>
      <c r="AH1196" s="58"/>
      <c r="AI1196" s="39"/>
      <c r="AK1196" s="41"/>
    </row>
    <row r="1197" spans="1:37" ht="21">
      <c r="A1197" s="32" t="s">
        <v>2041</v>
      </c>
      <c r="B1197" s="94" t="s">
        <v>647</v>
      </c>
      <c r="C1197" s="93" t="s">
        <v>1426</v>
      </c>
      <c r="D1197" s="88" t="s">
        <v>38</v>
      </c>
      <c r="E1197" s="73"/>
      <c r="F1197" s="73"/>
      <c r="G1197" s="73"/>
      <c r="H1197" s="73"/>
      <c r="I1197" s="73"/>
      <c r="J1197" s="73"/>
      <c r="K1197" s="73"/>
      <c r="L1197" s="73"/>
      <c r="M1197" s="73"/>
      <c r="N1197" s="73"/>
      <c r="O1197" s="73"/>
      <c r="P1197" s="73"/>
      <c r="Q1197" s="73"/>
      <c r="R1197" s="73"/>
      <c r="S1197" s="73"/>
      <c r="T1197" s="73"/>
      <c r="U1197" s="73"/>
      <c r="V1197" s="73"/>
      <c r="W1197" s="73"/>
      <c r="X1197" s="73"/>
      <c r="Y1197" s="73"/>
      <c r="Z1197" s="73"/>
      <c r="AA1197" s="75"/>
      <c r="AB1197" s="75"/>
      <c r="AC1197" s="55"/>
      <c r="AD1197" s="89"/>
      <c r="AE1197" s="89"/>
      <c r="AF1197" s="89"/>
      <c r="AG1197" s="57"/>
      <c r="AH1197" s="58"/>
      <c r="AI1197" s="39"/>
      <c r="AK1197" s="41"/>
    </row>
    <row r="1198" spans="1:37" ht="21">
      <c r="A1198" s="32" t="s">
        <v>2042</v>
      </c>
      <c r="B1198" s="94" t="s">
        <v>360</v>
      </c>
      <c r="C1198" s="95" t="s">
        <v>410</v>
      </c>
      <c r="D1198" s="88"/>
      <c r="E1198" s="73"/>
      <c r="F1198" s="73"/>
      <c r="G1198" s="73"/>
      <c r="H1198" s="73"/>
      <c r="I1198" s="73"/>
      <c r="J1198" s="73"/>
      <c r="K1198" s="73"/>
      <c r="L1198" s="73"/>
      <c r="M1198" s="73"/>
      <c r="N1198" s="73"/>
      <c r="O1198" s="73"/>
      <c r="P1198" s="73"/>
      <c r="Q1198" s="73"/>
      <c r="R1198" s="73"/>
      <c r="S1198" s="73"/>
      <c r="T1198" s="73"/>
      <c r="U1198" s="73"/>
      <c r="V1198" s="73"/>
      <c r="W1198" s="73"/>
      <c r="X1198" s="73"/>
      <c r="Y1198" s="73"/>
      <c r="Z1198" s="73"/>
      <c r="AA1198" s="75"/>
      <c r="AB1198" s="75"/>
      <c r="AC1198" s="55"/>
      <c r="AD1198" s="89"/>
      <c r="AE1198" s="89"/>
      <c r="AF1198" s="89"/>
      <c r="AG1198" s="91"/>
      <c r="AH1198" s="48"/>
      <c r="AI1198" s="39"/>
      <c r="AK1198" s="41"/>
    </row>
    <row r="1199" spans="1:37" ht="21">
      <c r="A1199" s="32" t="s">
        <v>2043</v>
      </c>
      <c r="B1199" s="94" t="s">
        <v>643</v>
      </c>
      <c r="C1199" s="93" t="s">
        <v>1428</v>
      </c>
      <c r="D1199" s="88" t="s">
        <v>38</v>
      </c>
      <c r="E1199" s="73"/>
      <c r="F1199" s="73"/>
      <c r="G1199" s="73"/>
      <c r="H1199" s="73"/>
      <c r="I1199" s="73"/>
      <c r="J1199" s="73"/>
      <c r="K1199" s="73"/>
      <c r="L1199" s="73"/>
      <c r="M1199" s="73"/>
      <c r="N1199" s="73"/>
      <c r="O1199" s="73"/>
      <c r="P1199" s="73"/>
      <c r="Q1199" s="73"/>
      <c r="R1199" s="73"/>
      <c r="S1199" s="73"/>
      <c r="T1199" s="73"/>
      <c r="U1199" s="73"/>
      <c r="V1199" s="73"/>
      <c r="W1199" s="73"/>
      <c r="X1199" s="73"/>
      <c r="Y1199" s="73"/>
      <c r="Z1199" s="73"/>
      <c r="AA1199" s="75"/>
      <c r="AB1199" s="75"/>
      <c r="AC1199" s="55"/>
      <c r="AD1199" s="89"/>
      <c r="AE1199" s="89"/>
      <c r="AF1199" s="89"/>
      <c r="AG1199" s="57"/>
      <c r="AH1199" s="58"/>
      <c r="AI1199" s="39"/>
      <c r="AK1199" s="41"/>
    </row>
    <row r="1200" spans="1:37" ht="21">
      <c r="A1200" s="32" t="s">
        <v>2044</v>
      </c>
      <c r="B1200" s="94" t="s">
        <v>645</v>
      </c>
      <c r="C1200" s="93" t="s">
        <v>1427</v>
      </c>
      <c r="D1200" s="88" t="s">
        <v>38</v>
      </c>
      <c r="E1200" s="73"/>
      <c r="F1200" s="73"/>
      <c r="G1200" s="73"/>
      <c r="H1200" s="73"/>
      <c r="I1200" s="73"/>
      <c r="J1200" s="73"/>
      <c r="K1200" s="73"/>
      <c r="L1200" s="73"/>
      <c r="M1200" s="73"/>
      <c r="N1200" s="73"/>
      <c r="O1200" s="73"/>
      <c r="P1200" s="73"/>
      <c r="Q1200" s="73"/>
      <c r="R1200" s="73"/>
      <c r="S1200" s="73"/>
      <c r="T1200" s="73"/>
      <c r="U1200" s="73"/>
      <c r="V1200" s="73"/>
      <c r="W1200" s="73"/>
      <c r="X1200" s="73"/>
      <c r="Y1200" s="73"/>
      <c r="Z1200" s="73"/>
      <c r="AA1200" s="75"/>
      <c r="AB1200" s="75"/>
      <c r="AC1200" s="55"/>
      <c r="AD1200" s="89"/>
      <c r="AE1200" s="89"/>
      <c r="AF1200" s="89"/>
      <c r="AG1200" s="57"/>
      <c r="AH1200" s="58"/>
      <c r="AI1200" s="39"/>
      <c r="AK1200" s="41"/>
    </row>
    <row r="1201" spans="1:37" ht="21">
      <c r="A1201" s="32" t="s">
        <v>2045</v>
      </c>
      <c r="B1201" s="94" t="s">
        <v>647</v>
      </c>
      <c r="C1201" s="93" t="s">
        <v>1426</v>
      </c>
      <c r="D1201" s="88" t="s">
        <v>38</v>
      </c>
      <c r="E1201" s="73"/>
      <c r="F1201" s="73"/>
      <c r="G1201" s="73"/>
      <c r="H1201" s="73"/>
      <c r="I1201" s="73"/>
      <c r="J1201" s="73"/>
      <c r="K1201" s="73"/>
      <c r="L1201" s="73"/>
      <c r="M1201" s="73"/>
      <c r="N1201" s="73"/>
      <c r="O1201" s="73"/>
      <c r="P1201" s="73"/>
      <c r="Q1201" s="73"/>
      <c r="R1201" s="73"/>
      <c r="S1201" s="73"/>
      <c r="T1201" s="73"/>
      <c r="U1201" s="73"/>
      <c r="V1201" s="73"/>
      <c r="W1201" s="73"/>
      <c r="X1201" s="73"/>
      <c r="Y1201" s="73"/>
      <c r="Z1201" s="73"/>
      <c r="AA1201" s="75"/>
      <c r="AB1201" s="75"/>
      <c r="AC1201" s="55"/>
      <c r="AD1201" s="89"/>
      <c r="AE1201" s="89"/>
      <c r="AF1201" s="89"/>
      <c r="AG1201" s="57"/>
      <c r="AH1201" s="58"/>
      <c r="AI1201" s="39"/>
      <c r="AK1201" s="41"/>
    </row>
    <row r="1202" spans="1:37" ht="21">
      <c r="A1202" s="32" t="s">
        <v>2046</v>
      </c>
      <c r="B1202" s="94" t="s">
        <v>365</v>
      </c>
      <c r="C1202" s="95" t="s">
        <v>650</v>
      </c>
      <c r="D1202" s="88"/>
      <c r="E1202" s="73"/>
      <c r="F1202" s="73"/>
      <c r="G1202" s="73"/>
      <c r="H1202" s="73"/>
      <c r="I1202" s="73"/>
      <c r="J1202" s="73"/>
      <c r="K1202" s="73"/>
      <c r="L1202" s="73"/>
      <c r="M1202" s="73"/>
      <c r="N1202" s="73"/>
      <c r="O1202" s="73"/>
      <c r="P1202" s="73"/>
      <c r="Q1202" s="73"/>
      <c r="R1202" s="73"/>
      <c r="S1202" s="73"/>
      <c r="T1202" s="73"/>
      <c r="U1202" s="73"/>
      <c r="V1202" s="73"/>
      <c r="W1202" s="73"/>
      <c r="X1202" s="73"/>
      <c r="Y1202" s="73"/>
      <c r="Z1202" s="73"/>
      <c r="AA1202" s="75"/>
      <c r="AB1202" s="75"/>
      <c r="AC1202" s="55"/>
      <c r="AD1202" s="89"/>
      <c r="AE1202" s="89"/>
      <c r="AF1202" s="89"/>
      <c r="AG1202" s="91"/>
      <c r="AH1202" s="48"/>
      <c r="AI1202" s="39"/>
      <c r="AK1202" s="41"/>
    </row>
    <row r="1203" spans="1:37" ht="21">
      <c r="A1203" s="32" t="s">
        <v>2047</v>
      </c>
      <c r="B1203" s="94" t="s">
        <v>643</v>
      </c>
      <c r="C1203" s="93" t="s">
        <v>1428</v>
      </c>
      <c r="D1203" s="88" t="s">
        <v>38</v>
      </c>
      <c r="E1203" s="73"/>
      <c r="F1203" s="73"/>
      <c r="G1203" s="73"/>
      <c r="H1203" s="73"/>
      <c r="I1203" s="73"/>
      <c r="J1203" s="73"/>
      <c r="K1203" s="73"/>
      <c r="L1203" s="73"/>
      <c r="M1203" s="73"/>
      <c r="N1203" s="73"/>
      <c r="O1203" s="73"/>
      <c r="P1203" s="73"/>
      <c r="Q1203" s="73"/>
      <c r="R1203" s="73"/>
      <c r="S1203" s="73"/>
      <c r="T1203" s="73"/>
      <c r="U1203" s="73"/>
      <c r="V1203" s="73"/>
      <c r="W1203" s="73"/>
      <c r="X1203" s="73"/>
      <c r="Y1203" s="73"/>
      <c r="Z1203" s="73"/>
      <c r="AA1203" s="75"/>
      <c r="AB1203" s="75"/>
      <c r="AC1203" s="55"/>
      <c r="AD1203" s="89"/>
      <c r="AE1203" s="89"/>
      <c r="AF1203" s="89"/>
      <c r="AG1203" s="57"/>
      <c r="AH1203" s="58"/>
      <c r="AI1203" s="39"/>
      <c r="AK1203" s="41"/>
    </row>
    <row r="1204" spans="1:37" ht="21">
      <c r="A1204" s="32" t="s">
        <v>2048</v>
      </c>
      <c r="B1204" s="94" t="s">
        <v>645</v>
      </c>
      <c r="C1204" s="93" t="s">
        <v>1427</v>
      </c>
      <c r="D1204" s="88" t="s">
        <v>38</v>
      </c>
      <c r="E1204" s="73"/>
      <c r="F1204" s="73"/>
      <c r="G1204" s="73"/>
      <c r="H1204" s="73"/>
      <c r="I1204" s="73"/>
      <c r="J1204" s="73"/>
      <c r="K1204" s="73"/>
      <c r="L1204" s="73"/>
      <c r="M1204" s="73"/>
      <c r="N1204" s="73"/>
      <c r="O1204" s="73"/>
      <c r="P1204" s="73"/>
      <c r="Q1204" s="73"/>
      <c r="R1204" s="73"/>
      <c r="S1204" s="73"/>
      <c r="T1204" s="73"/>
      <c r="U1204" s="73"/>
      <c r="V1204" s="73"/>
      <c r="W1204" s="73"/>
      <c r="X1204" s="73"/>
      <c r="Y1204" s="73"/>
      <c r="Z1204" s="73"/>
      <c r="AA1204" s="75"/>
      <c r="AB1204" s="75"/>
      <c r="AC1204" s="55"/>
      <c r="AD1204" s="89"/>
      <c r="AE1204" s="89"/>
      <c r="AF1204" s="89"/>
      <c r="AG1204" s="57"/>
      <c r="AH1204" s="58"/>
      <c r="AI1204" s="39"/>
      <c r="AK1204" s="41"/>
    </row>
    <row r="1205" spans="1:37" ht="21">
      <c r="A1205" s="32" t="s">
        <v>2049</v>
      </c>
      <c r="B1205" s="94" t="s">
        <v>647</v>
      </c>
      <c r="C1205" s="93" t="s">
        <v>1426</v>
      </c>
      <c r="D1205" s="88" t="s">
        <v>38</v>
      </c>
      <c r="E1205" s="73"/>
      <c r="F1205" s="73"/>
      <c r="G1205" s="73"/>
      <c r="H1205" s="73"/>
      <c r="I1205" s="73"/>
      <c r="J1205" s="73"/>
      <c r="K1205" s="73"/>
      <c r="L1205" s="73"/>
      <c r="M1205" s="73"/>
      <c r="N1205" s="73"/>
      <c r="O1205" s="73"/>
      <c r="P1205" s="73"/>
      <c r="Q1205" s="73"/>
      <c r="R1205" s="73"/>
      <c r="S1205" s="73"/>
      <c r="T1205" s="73"/>
      <c r="U1205" s="73"/>
      <c r="V1205" s="73"/>
      <c r="W1205" s="73"/>
      <c r="X1205" s="73"/>
      <c r="Y1205" s="73"/>
      <c r="Z1205" s="73"/>
      <c r="AA1205" s="75"/>
      <c r="AB1205" s="75"/>
      <c r="AC1205" s="55"/>
      <c r="AD1205" s="89"/>
      <c r="AE1205" s="89"/>
      <c r="AF1205" s="89"/>
      <c r="AG1205" s="57"/>
      <c r="AH1205" s="58"/>
      <c r="AI1205" s="39"/>
      <c r="AK1205" s="41"/>
    </row>
    <row r="1206" spans="1:37" ht="21">
      <c r="A1206" s="32" t="s">
        <v>2050</v>
      </c>
      <c r="B1206" s="94" t="s">
        <v>35</v>
      </c>
      <c r="C1206" s="95" t="s">
        <v>413</v>
      </c>
      <c r="D1206" s="88"/>
      <c r="E1206" s="73"/>
      <c r="F1206" s="73"/>
      <c r="G1206" s="73"/>
      <c r="H1206" s="73"/>
      <c r="I1206" s="73"/>
      <c r="J1206" s="73"/>
      <c r="K1206" s="73"/>
      <c r="L1206" s="73"/>
      <c r="M1206" s="73"/>
      <c r="N1206" s="73"/>
      <c r="O1206" s="73"/>
      <c r="P1206" s="73"/>
      <c r="Q1206" s="73"/>
      <c r="R1206" s="73"/>
      <c r="S1206" s="73"/>
      <c r="T1206" s="73"/>
      <c r="U1206" s="73"/>
      <c r="V1206" s="73"/>
      <c r="W1206" s="73"/>
      <c r="X1206" s="73"/>
      <c r="Y1206" s="73"/>
      <c r="Z1206" s="73"/>
      <c r="AA1206" s="75"/>
      <c r="AB1206" s="75"/>
      <c r="AC1206" s="55"/>
      <c r="AD1206" s="89"/>
      <c r="AE1206" s="89"/>
      <c r="AF1206" s="89"/>
      <c r="AG1206" s="91"/>
      <c r="AH1206" s="48"/>
      <c r="AI1206" s="39"/>
      <c r="AK1206" s="41"/>
    </row>
    <row r="1207" spans="1:37" ht="21">
      <c r="A1207" s="32" t="s">
        <v>2051</v>
      </c>
      <c r="B1207" s="94" t="s">
        <v>643</v>
      </c>
      <c r="C1207" s="93" t="s">
        <v>1428</v>
      </c>
      <c r="D1207" s="88" t="s">
        <v>38</v>
      </c>
      <c r="E1207" s="73"/>
      <c r="F1207" s="73"/>
      <c r="G1207" s="73"/>
      <c r="H1207" s="73"/>
      <c r="I1207" s="73"/>
      <c r="J1207" s="73"/>
      <c r="K1207" s="73"/>
      <c r="L1207" s="73"/>
      <c r="M1207" s="73"/>
      <c r="N1207" s="73"/>
      <c r="O1207" s="73"/>
      <c r="P1207" s="73"/>
      <c r="Q1207" s="73"/>
      <c r="R1207" s="73"/>
      <c r="S1207" s="73"/>
      <c r="T1207" s="73"/>
      <c r="U1207" s="73"/>
      <c r="V1207" s="73"/>
      <c r="W1207" s="73"/>
      <c r="X1207" s="73"/>
      <c r="Y1207" s="73"/>
      <c r="Z1207" s="73"/>
      <c r="AA1207" s="75"/>
      <c r="AB1207" s="75"/>
      <c r="AC1207" s="55"/>
      <c r="AD1207" s="89"/>
      <c r="AE1207" s="89"/>
      <c r="AF1207" s="89"/>
      <c r="AG1207" s="57"/>
      <c r="AH1207" s="58"/>
      <c r="AI1207" s="39"/>
      <c r="AK1207" s="41"/>
    </row>
    <row r="1208" spans="1:37" ht="21">
      <c r="A1208" s="32" t="s">
        <v>2052</v>
      </c>
      <c r="B1208" s="94" t="s">
        <v>645</v>
      </c>
      <c r="C1208" s="93" t="s">
        <v>1427</v>
      </c>
      <c r="D1208" s="88" t="s">
        <v>38</v>
      </c>
      <c r="E1208" s="73"/>
      <c r="F1208" s="73"/>
      <c r="G1208" s="73"/>
      <c r="H1208" s="73"/>
      <c r="I1208" s="73"/>
      <c r="J1208" s="73"/>
      <c r="K1208" s="73"/>
      <c r="L1208" s="73"/>
      <c r="M1208" s="73"/>
      <c r="N1208" s="73"/>
      <c r="O1208" s="73"/>
      <c r="P1208" s="73"/>
      <c r="Q1208" s="73"/>
      <c r="R1208" s="73"/>
      <c r="S1208" s="73"/>
      <c r="T1208" s="73"/>
      <c r="U1208" s="73"/>
      <c r="V1208" s="73"/>
      <c r="W1208" s="73"/>
      <c r="X1208" s="73"/>
      <c r="Y1208" s="73"/>
      <c r="Z1208" s="73"/>
      <c r="AA1208" s="75"/>
      <c r="AB1208" s="75"/>
      <c r="AC1208" s="55"/>
      <c r="AD1208" s="89"/>
      <c r="AE1208" s="89"/>
      <c r="AF1208" s="89"/>
      <c r="AG1208" s="57"/>
      <c r="AH1208" s="58"/>
      <c r="AI1208" s="39"/>
      <c r="AK1208" s="41"/>
    </row>
    <row r="1209" spans="1:37" ht="21">
      <c r="A1209" s="32" t="s">
        <v>2053</v>
      </c>
      <c r="B1209" s="94" t="s">
        <v>647</v>
      </c>
      <c r="C1209" s="93" t="s">
        <v>1426</v>
      </c>
      <c r="D1209" s="88" t="s">
        <v>38</v>
      </c>
      <c r="E1209" s="73"/>
      <c r="F1209" s="73"/>
      <c r="G1209" s="73"/>
      <c r="H1209" s="73"/>
      <c r="I1209" s="73"/>
      <c r="J1209" s="73"/>
      <c r="K1209" s="73"/>
      <c r="L1209" s="73"/>
      <c r="M1209" s="73"/>
      <c r="N1209" s="73"/>
      <c r="O1209" s="73"/>
      <c r="P1209" s="73"/>
      <c r="Q1209" s="73"/>
      <c r="R1209" s="73"/>
      <c r="S1209" s="73"/>
      <c r="T1209" s="73"/>
      <c r="U1209" s="73"/>
      <c r="V1209" s="73"/>
      <c r="W1209" s="73"/>
      <c r="X1209" s="73"/>
      <c r="Y1209" s="73"/>
      <c r="Z1209" s="73"/>
      <c r="AA1209" s="75"/>
      <c r="AB1209" s="75"/>
      <c r="AC1209" s="55"/>
      <c r="AD1209" s="89"/>
      <c r="AE1209" s="89"/>
      <c r="AF1209" s="89"/>
      <c r="AG1209" s="57"/>
      <c r="AH1209" s="58"/>
      <c r="AI1209" s="39"/>
      <c r="AK1209" s="41"/>
    </row>
    <row r="1210" spans="1:37" ht="21">
      <c r="A1210" s="32" t="s">
        <v>2054</v>
      </c>
      <c r="B1210" s="94" t="s">
        <v>479</v>
      </c>
      <c r="C1210" s="95" t="s">
        <v>480</v>
      </c>
      <c r="D1210" s="88"/>
      <c r="E1210" s="73"/>
      <c r="F1210" s="73"/>
      <c r="G1210" s="73"/>
      <c r="H1210" s="73"/>
      <c r="I1210" s="73"/>
      <c r="J1210" s="73"/>
      <c r="K1210" s="73"/>
      <c r="L1210" s="73"/>
      <c r="M1210" s="73"/>
      <c r="N1210" s="73"/>
      <c r="O1210" s="73"/>
      <c r="P1210" s="73"/>
      <c r="Q1210" s="73"/>
      <c r="R1210" s="73"/>
      <c r="S1210" s="73"/>
      <c r="T1210" s="73"/>
      <c r="U1210" s="73"/>
      <c r="V1210" s="73"/>
      <c r="W1210" s="73"/>
      <c r="X1210" s="73"/>
      <c r="Y1210" s="73"/>
      <c r="Z1210" s="73"/>
      <c r="AA1210" s="75"/>
      <c r="AB1210" s="75"/>
      <c r="AC1210" s="55"/>
      <c r="AD1210" s="89"/>
      <c r="AE1210" s="89"/>
      <c r="AF1210" s="89"/>
      <c r="AG1210" s="91"/>
      <c r="AH1210" s="48"/>
      <c r="AI1210" s="39"/>
      <c r="AK1210" s="41"/>
    </row>
    <row r="1211" spans="1:37" ht="21">
      <c r="A1211" s="32" t="s">
        <v>2055</v>
      </c>
      <c r="B1211" s="94" t="s">
        <v>643</v>
      </c>
      <c r="C1211" s="93" t="s">
        <v>1428</v>
      </c>
      <c r="D1211" s="88" t="s">
        <v>38</v>
      </c>
      <c r="E1211" s="73"/>
      <c r="F1211" s="73"/>
      <c r="G1211" s="73"/>
      <c r="H1211" s="73"/>
      <c r="I1211" s="73"/>
      <c r="J1211" s="73"/>
      <c r="K1211" s="73"/>
      <c r="L1211" s="73"/>
      <c r="M1211" s="73"/>
      <c r="N1211" s="73"/>
      <c r="O1211" s="73"/>
      <c r="P1211" s="73"/>
      <c r="Q1211" s="73"/>
      <c r="R1211" s="73"/>
      <c r="S1211" s="73"/>
      <c r="T1211" s="73"/>
      <c r="U1211" s="73"/>
      <c r="V1211" s="73"/>
      <c r="W1211" s="73"/>
      <c r="X1211" s="73"/>
      <c r="Y1211" s="73"/>
      <c r="Z1211" s="73"/>
      <c r="AA1211" s="75"/>
      <c r="AB1211" s="75"/>
      <c r="AC1211" s="55"/>
      <c r="AD1211" s="89"/>
      <c r="AE1211" s="89"/>
      <c r="AF1211" s="89"/>
      <c r="AG1211" s="57"/>
      <c r="AH1211" s="58"/>
      <c r="AI1211" s="39"/>
      <c r="AK1211" s="41"/>
    </row>
    <row r="1212" spans="1:37" ht="21">
      <c r="A1212" s="32" t="s">
        <v>2056</v>
      </c>
      <c r="B1212" s="94" t="s">
        <v>645</v>
      </c>
      <c r="C1212" s="93" t="s">
        <v>1427</v>
      </c>
      <c r="D1212" s="88" t="s">
        <v>38</v>
      </c>
      <c r="E1212" s="73"/>
      <c r="F1212" s="73"/>
      <c r="G1212" s="73"/>
      <c r="H1212" s="73"/>
      <c r="I1212" s="73"/>
      <c r="J1212" s="73"/>
      <c r="K1212" s="73"/>
      <c r="L1212" s="73"/>
      <c r="M1212" s="73"/>
      <c r="N1212" s="73"/>
      <c r="O1212" s="73"/>
      <c r="P1212" s="73"/>
      <c r="Q1212" s="73"/>
      <c r="R1212" s="73"/>
      <c r="S1212" s="73"/>
      <c r="T1212" s="73"/>
      <c r="U1212" s="73"/>
      <c r="V1212" s="73"/>
      <c r="W1212" s="73"/>
      <c r="X1212" s="73"/>
      <c r="Y1212" s="73"/>
      <c r="Z1212" s="73"/>
      <c r="AA1212" s="75"/>
      <c r="AB1212" s="75"/>
      <c r="AC1212" s="55"/>
      <c r="AD1212" s="89"/>
      <c r="AE1212" s="89"/>
      <c r="AF1212" s="89"/>
      <c r="AG1212" s="57"/>
      <c r="AH1212" s="58"/>
      <c r="AI1212" s="39"/>
      <c r="AK1212" s="41"/>
    </row>
    <row r="1213" spans="1:37" ht="21">
      <c r="A1213" s="32" t="s">
        <v>2057</v>
      </c>
      <c r="B1213" s="94" t="s">
        <v>647</v>
      </c>
      <c r="C1213" s="93" t="s">
        <v>1426</v>
      </c>
      <c r="D1213" s="88" t="s">
        <v>38</v>
      </c>
      <c r="E1213" s="73"/>
      <c r="F1213" s="73"/>
      <c r="G1213" s="73"/>
      <c r="H1213" s="73"/>
      <c r="I1213" s="73"/>
      <c r="J1213" s="73"/>
      <c r="K1213" s="73"/>
      <c r="L1213" s="73"/>
      <c r="M1213" s="73"/>
      <c r="N1213" s="73"/>
      <c r="O1213" s="73"/>
      <c r="P1213" s="73"/>
      <c r="Q1213" s="73"/>
      <c r="R1213" s="73"/>
      <c r="S1213" s="73"/>
      <c r="T1213" s="73"/>
      <c r="U1213" s="73"/>
      <c r="V1213" s="73"/>
      <c r="W1213" s="73"/>
      <c r="X1213" s="73"/>
      <c r="Y1213" s="73"/>
      <c r="Z1213" s="73"/>
      <c r="AA1213" s="75"/>
      <c r="AB1213" s="75"/>
      <c r="AC1213" s="55"/>
      <c r="AD1213" s="89"/>
      <c r="AE1213" s="89"/>
      <c r="AF1213" s="89"/>
      <c r="AG1213" s="57"/>
      <c r="AH1213" s="58"/>
      <c r="AI1213" s="39"/>
      <c r="AK1213" s="41"/>
    </row>
    <row r="1214" spans="1:37" ht="21">
      <c r="A1214" s="32" t="s">
        <v>2058</v>
      </c>
      <c r="B1214" s="94" t="s">
        <v>651</v>
      </c>
      <c r="C1214" s="95" t="s">
        <v>652</v>
      </c>
      <c r="D1214" s="88"/>
      <c r="E1214" s="73"/>
      <c r="F1214" s="73"/>
      <c r="G1214" s="73"/>
      <c r="H1214" s="73"/>
      <c r="I1214" s="73"/>
      <c r="J1214" s="73"/>
      <c r="K1214" s="73"/>
      <c r="L1214" s="73"/>
      <c r="M1214" s="73"/>
      <c r="N1214" s="73"/>
      <c r="O1214" s="73"/>
      <c r="P1214" s="73"/>
      <c r="Q1214" s="73"/>
      <c r="R1214" s="73"/>
      <c r="S1214" s="73"/>
      <c r="T1214" s="73"/>
      <c r="U1214" s="73"/>
      <c r="V1214" s="73"/>
      <c r="W1214" s="73"/>
      <c r="X1214" s="73"/>
      <c r="Y1214" s="73"/>
      <c r="Z1214" s="73"/>
      <c r="AA1214" s="75"/>
      <c r="AB1214" s="75"/>
      <c r="AC1214" s="55"/>
      <c r="AD1214" s="89"/>
      <c r="AE1214" s="89"/>
      <c r="AF1214" s="89"/>
      <c r="AG1214" s="91"/>
      <c r="AH1214" s="48"/>
      <c r="AI1214" s="39"/>
      <c r="AK1214" s="41"/>
    </row>
    <row r="1215" spans="1:37" ht="21">
      <c r="A1215" s="32" t="s">
        <v>2059</v>
      </c>
      <c r="B1215" s="94" t="s">
        <v>643</v>
      </c>
      <c r="C1215" s="93" t="s">
        <v>1428</v>
      </c>
      <c r="D1215" s="88" t="s">
        <v>38</v>
      </c>
      <c r="E1215" s="73"/>
      <c r="F1215" s="73"/>
      <c r="G1215" s="73"/>
      <c r="H1215" s="73"/>
      <c r="I1215" s="73"/>
      <c r="J1215" s="73"/>
      <c r="K1215" s="73"/>
      <c r="L1215" s="73"/>
      <c r="M1215" s="73"/>
      <c r="N1215" s="73"/>
      <c r="O1215" s="73"/>
      <c r="P1215" s="73"/>
      <c r="Q1215" s="73"/>
      <c r="R1215" s="73"/>
      <c r="S1215" s="73"/>
      <c r="T1215" s="73"/>
      <c r="U1215" s="73"/>
      <c r="V1215" s="73"/>
      <c r="W1215" s="73"/>
      <c r="X1215" s="73"/>
      <c r="Y1215" s="73"/>
      <c r="Z1215" s="73"/>
      <c r="AA1215" s="75"/>
      <c r="AB1215" s="75"/>
      <c r="AC1215" s="55"/>
      <c r="AD1215" s="89"/>
      <c r="AE1215" s="89"/>
      <c r="AF1215" s="89"/>
      <c r="AG1215" s="57"/>
      <c r="AH1215" s="58"/>
      <c r="AI1215" s="39"/>
      <c r="AK1215" s="41"/>
    </row>
    <row r="1216" spans="1:37" ht="21">
      <c r="A1216" s="32" t="s">
        <v>2060</v>
      </c>
      <c r="B1216" s="94" t="s">
        <v>645</v>
      </c>
      <c r="C1216" s="93" t="s">
        <v>1427</v>
      </c>
      <c r="D1216" s="88" t="s">
        <v>38</v>
      </c>
      <c r="E1216" s="73"/>
      <c r="F1216" s="73"/>
      <c r="G1216" s="73"/>
      <c r="H1216" s="73"/>
      <c r="I1216" s="73"/>
      <c r="J1216" s="73"/>
      <c r="K1216" s="73"/>
      <c r="L1216" s="73"/>
      <c r="M1216" s="73"/>
      <c r="N1216" s="73"/>
      <c r="O1216" s="73"/>
      <c r="P1216" s="73"/>
      <c r="Q1216" s="73"/>
      <c r="R1216" s="73"/>
      <c r="S1216" s="73"/>
      <c r="T1216" s="73"/>
      <c r="U1216" s="73"/>
      <c r="V1216" s="73"/>
      <c r="W1216" s="73"/>
      <c r="X1216" s="73"/>
      <c r="Y1216" s="73"/>
      <c r="Z1216" s="73"/>
      <c r="AA1216" s="75"/>
      <c r="AB1216" s="75"/>
      <c r="AC1216" s="55"/>
      <c r="AD1216" s="89"/>
      <c r="AE1216" s="89"/>
      <c r="AF1216" s="89"/>
      <c r="AG1216" s="57"/>
      <c r="AH1216" s="58"/>
      <c r="AI1216" s="39"/>
      <c r="AK1216" s="41"/>
    </row>
    <row r="1217" spans="1:37" ht="21">
      <c r="A1217" s="32" t="s">
        <v>2061</v>
      </c>
      <c r="B1217" s="92" t="s">
        <v>647</v>
      </c>
      <c r="C1217" s="93" t="s">
        <v>1426</v>
      </c>
      <c r="D1217" s="88" t="s">
        <v>38</v>
      </c>
      <c r="E1217" s="73"/>
      <c r="F1217" s="73"/>
      <c r="G1217" s="73"/>
      <c r="H1217" s="73"/>
      <c r="I1217" s="73"/>
      <c r="J1217" s="73"/>
      <c r="K1217" s="73"/>
      <c r="L1217" s="73"/>
      <c r="M1217" s="73"/>
      <c r="N1217" s="73"/>
      <c r="O1217" s="73"/>
      <c r="P1217" s="73"/>
      <c r="Q1217" s="73"/>
      <c r="R1217" s="73"/>
      <c r="S1217" s="73"/>
      <c r="T1217" s="73"/>
      <c r="U1217" s="73"/>
      <c r="V1217" s="73"/>
      <c r="W1217" s="73"/>
      <c r="X1217" s="73"/>
      <c r="Y1217" s="73"/>
      <c r="Z1217" s="73"/>
      <c r="AA1217" s="75"/>
      <c r="AB1217" s="75"/>
      <c r="AC1217" s="55"/>
      <c r="AD1217" s="89"/>
      <c r="AE1217" s="89"/>
      <c r="AF1217" s="89"/>
      <c r="AG1217" s="57"/>
      <c r="AH1217" s="58"/>
      <c r="AI1217" s="39"/>
      <c r="AK1217" s="41"/>
    </row>
    <row r="1218" spans="1:37" ht="27.75">
      <c r="A1218" s="32" t="s">
        <v>2435</v>
      </c>
      <c r="B1218" s="86">
        <v>13.06</v>
      </c>
      <c r="C1218" s="87" t="s">
        <v>653</v>
      </c>
      <c r="D1218" s="88" t="s">
        <v>13</v>
      </c>
      <c r="E1218" s="73"/>
      <c r="F1218" s="73"/>
      <c r="G1218" s="73"/>
      <c r="H1218" s="73"/>
      <c r="I1218" s="73"/>
      <c r="J1218" s="73"/>
      <c r="K1218" s="73"/>
      <c r="L1218" s="73"/>
      <c r="M1218" s="73"/>
      <c r="N1218" s="73"/>
      <c r="O1218" s="73"/>
      <c r="P1218" s="73"/>
      <c r="Q1218" s="73"/>
      <c r="R1218" s="73"/>
      <c r="S1218" s="73"/>
      <c r="T1218" s="73"/>
      <c r="U1218" s="73"/>
      <c r="V1218" s="73"/>
      <c r="W1218" s="73"/>
      <c r="X1218" s="73"/>
      <c r="Y1218" s="73"/>
      <c r="Z1218" s="73"/>
      <c r="AA1218" s="75"/>
      <c r="AB1218" s="75"/>
      <c r="AC1218" s="55"/>
      <c r="AD1218" s="89"/>
      <c r="AE1218" s="89"/>
      <c r="AF1218" s="89"/>
      <c r="AG1218" s="57"/>
      <c r="AH1218" s="58"/>
      <c r="AI1218" s="39"/>
      <c r="AK1218" s="41"/>
    </row>
    <row r="1219" spans="1:37" ht="27.75">
      <c r="A1219" s="32" t="s">
        <v>2436</v>
      </c>
      <c r="B1219" s="86">
        <v>13.07</v>
      </c>
      <c r="C1219" s="87" t="s">
        <v>654</v>
      </c>
      <c r="D1219" s="88" t="s">
        <v>13</v>
      </c>
      <c r="E1219" s="73"/>
      <c r="F1219" s="73"/>
      <c r="G1219" s="73"/>
      <c r="H1219" s="73"/>
      <c r="I1219" s="73"/>
      <c r="J1219" s="73"/>
      <c r="K1219" s="73"/>
      <c r="L1219" s="73"/>
      <c r="M1219" s="73"/>
      <c r="N1219" s="73"/>
      <c r="O1219" s="73"/>
      <c r="P1219" s="73"/>
      <c r="Q1219" s="73"/>
      <c r="R1219" s="73"/>
      <c r="S1219" s="73"/>
      <c r="T1219" s="73"/>
      <c r="U1219" s="73"/>
      <c r="V1219" s="73"/>
      <c r="W1219" s="73"/>
      <c r="X1219" s="73"/>
      <c r="Y1219" s="73"/>
      <c r="Z1219" s="73"/>
      <c r="AA1219" s="75"/>
      <c r="AB1219" s="75"/>
      <c r="AC1219" s="55"/>
      <c r="AD1219" s="89"/>
      <c r="AE1219" s="89"/>
      <c r="AF1219" s="89"/>
      <c r="AG1219" s="57"/>
      <c r="AH1219" s="58"/>
      <c r="AI1219" s="39"/>
      <c r="AK1219" s="41"/>
    </row>
    <row r="1220" spans="1:37" ht="40.5">
      <c r="A1220" s="32" t="s">
        <v>2437</v>
      </c>
      <c r="B1220" s="86">
        <v>13.08</v>
      </c>
      <c r="C1220" s="87" t="s">
        <v>655</v>
      </c>
      <c r="D1220" s="88" t="s">
        <v>33</v>
      </c>
      <c r="E1220" s="73"/>
      <c r="F1220" s="73"/>
      <c r="G1220" s="73"/>
      <c r="H1220" s="73"/>
      <c r="I1220" s="73"/>
      <c r="J1220" s="73"/>
      <c r="K1220" s="73"/>
      <c r="L1220" s="73"/>
      <c r="M1220" s="73"/>
      <c r="N1220" s="73"/>
      <c r="O1220" s="73"/>
      <c r="P1220" s="73"/>
      <c r="Q1220" s="73"/>
      <c r="R1220" s="73"/>
      <c r="S1220" s="73"/>
      <c r="T1220" s="73"/>
      <c r="U1220" s="73"/>
      <c r="V1220" s="73"/>
      <c r="W1220" s="73"/>
      <c r="X1220" s="73"/>
      <c r="Y1220" s="73"/>
      <c r="Z1220" s="73"/>
      <c r="AA1220" s="75"/>
      <c r="AB1220" s="75"/>
      <c r="AC1220" s="55"/>
      <c r="AD1220" s="89"/>
      <c r="AE1220" s="89"/>
      <c r="AF1220" s="89"/>
      <c r="AG1220" s="57"/>
      <c r="AH1220" s="58"/>
      <c r="AI1220" s="39"/>
      <c r="AK1220" s="41"/>
    </row>
    <row r="1221" spans="1:37" ht="27.75">
      <c r="A1221" s="32" t="s">
        <v>2438</v>
      </c>
      <c r="B1221" s="86">
        <v>13.09</v>
      </c>
      <c r="C1221" s="87" t="s">
        <v>656</v>
      </c>
      <c r="D1221" s="88"/>
      <c r="E1221" s="73"/>
      <c r="F1221" s="73"/>
      <c r="G1221" s="73"/>
      <c r="H1221" s="73"/>
      <c r="I1221" s="73"/>
      <c r="J1221" s="73"/>
      <c r="K1221" s="73"/>
      <c r="L1221" s="73"/>
      <c r="M1221" s="73"/>
      <c r="N1221" s="73"/>
      <c r="O1221" s="73"/>
      <c r="P1221" s="73"/>
      <c r="Q1221" s="73"/>
      <c r="R1221" s="73"/>
      <c r="S1221" s="73"/>
      <c r="T1221" s="73"/>
      <c r="U1221" s="73"/>
      <c r="V1221" s="73"/>
      <c r="W1221" s="73"/>
      <c r="X1221" s="73"/>
      <c r="Y1221" s="73"/>
      <c r="Z1221" s="73"/>
      <c r="AA1221" s="75"/>
      <c r="AB1221" s="75"/>
      <c r="AC1221" s="55"/>
      <c r="AD1221" s="89"/>
      <c r="AE1221" s="89"/>
      <c r="AF1221" s="89"/>
      <c r="AG1221" s="91"/>
      <c r="AH1221" s="48"/>
      <c r="AI1221" s="39"/>
      <c r="AK1221" s="41"/>
    </row>
    <row r="1222" spans="1:37" ht="21">
      <c r="A1222" s="32" t="s">
        <v>2439</v>
      </c>
      <c r="B1222" s="92" t="s">
        <v>14</v>
      </c>
      <c r="C1222" s="93" t="s">
        <v>427</v>
      </c>
      <c r="D1222" s="88" t="s">
        <v>38</v>
      </c>
      <c r="E1222" s="73"/>
      <c r="F1222" s="73"/>
      <c r="G1222" s="73"/>
      <c r="H1222" s="73"/>
      <c r="I1222" s="73"/>
      <c r="J1222" s="73"/>
      <c r="K1222" s="73"/>
      <c r="L1222" s="73"/>
      <c r="M1222" s="73"/>
      <c r="N1222" s="73"/>
      <c r="O1222" s="73"/>
      <c r="P1222" s="73"/>
      <c r="Q1222" s="73"/>
      <c r="R1222" s="73"/>
      <c r="S1222" s="73"/>
      <c r="T1222" s="73"/>
      <c r="U1222" s="73"/>
      <c r="V1222" s="73"/>
      <c r="W1222" s="73"/>
      <c r="X1222" s="73"/>
      <c r="Y1222" s="73"/>
      <c r="Z1222" s="73"/>
      <c r="AA1222" s="75"/>
      <c r="AB1222" s="75"/>
      <c r="AC1222" s="55"/>
      <c r="AD1222" s="89"/>
      <c r="AE1222" s="89"/>
      <c r="AF1222" s="89"/>
      <c r="AG1222" s="57"/>
      <c r="AH1222" s="58"/>
      <c r="AI1222" s="39"/>
      <c r="AK1222" s="41"/>
    </row>
    <row r="1223" spans="1:37" ht="21">
      <c r="A1223" s="32" t="s">
        <v>2440</v>
      </c>
      <c r="B1223" s="92" t="s">
        <v>15</v>
      </c>
      <c r="C1223" s="93" t="s">
        <v>428</v>
      </c>
      <c r="D1223" s="88" t="s">
        <v>38</v>
      </c>
      <c r="E1223" s="73"/>
      <c r="F1223" s="73"/>
      <c r="G1223" s="73"/>
      <c r="H1223" s="73"/>
      <c r="I1223" s="73"/>
      <c r="J1223" s="73"/>
      <c r="K1223" s="73"/>
      <c r="L1223" s="73"/>
      <c r="M1223" s="73"/>
      <c r="N1223" s="73"/>
      <c r="O1223" s="73"/>
      <c r="P1223" s="73"/>
      <c r="Q1223" s="73"/>
      <c r="R1223" s="73"/>
      <c r="S1223" s="73"/>
      <c r="T1223" s="73"/>
      <c r="U1223" s="73"/>
      <c r="V1223" s="73"/>
      <c r="W1223" s="73"/>
      <c r="X1223" s="73"/>
      <c r="Y1223" s="73"/>
      <c r="Z1223" s="73"/>
      <c r="AA1223" s="75"/>
      <c r="AB1223" s="75"/>
      <c r="AC1223" s="55"/>
      <c r="AD1223" s="89"/>
      <c r="AE1223" s="89"/>
      <c r="AF1223" s="89"/>
      <c r="AG1223" s="57"/>
      <c r="AH1223" s="58"/>
      <c r="AI1223" s="39"/>
      <c r="AK1223" s="41"/>
    </row>
    <row r="1224" spans="1:37" ht="66">
      <c r="A1224" s="32" t="s">
        <v>657</v>
      </c>
      <c r="B1224" s="86" t="s">
        <v>657</v>
      </c>
      <c r="C1224" s="87" t="s">
        <v>429</v>
      </c>
      <c r="D1224" s="88" t="s">
        <v>38</v>
      </c>
      <c r="E1224" s="73"/>
      <c r="F1224" s="73"/>
      <c r="G1224" s="73"/>
      <c r="H1224" s="73"/>
      <c r="I1224" s="73"/>
      <c r="J1224" s="73"/>
      <c r="K1224" s="73"/>
      <c r="L1224" s="73"/>
      <c r="M1224" s="73"/>
      <c r="N1224" s="73"/>
      <c r="O1224" s="73"/>
      <c r="P1224" s="73"/>
      <c r="Q1224" s="73"/>
      <c r="R1224" s="73"/>
      <c r="S1224" s="73"/>
      <c r="T1224" s="73"/>
      <c r="U1224" s="73"/>
      <c r="V1224" s="73"/>
      <c r="W1224" s="73"/>
      <c r="X1224" s="73"/>
      <c r="Y1224" s="73"/>
      <c r="Z1224" s="73"/>
      <c r="AA1224" s="75"/>
      <c r="AB1224" s="75"/>
      <c r="AC1224" s="55"/>
      <c r="AD1224" s="89"/>
      <c r="AE1224" s="89"/>
      <c r="AF1224" s="89"/>
      <c r="AG1224" s="57"/>
      <c r="AH1224" s="58"/>
      <c r="AI1224" s="39"/>
      <c r="AK1224" s="41"/>
    </row>
    <row r="1225" spans="1:37" ht="142.5">
      <c r="A1225" s="32" t="s">
        <v>1393</v>
      </c>
      <c r="B1225" s="86">
        <v>13.11</v>
      </c>
      <c r="C1225" s="87" t="s">
        <v>658</v>
      </c>
      <c r="D1225" s="88"/>
      <c r="E1225" s="73"/>
      <c r="F1225" s="73"/>
      <c r="G1225" s="73"/>
      <c r="H1225" s="73"/>
      <c r="I1225" s="73"/>
      <c r="J1225" s="73"/>
      <c r="K1225" s="73"/>
      <c r="L1225" s="73"/>
      <c r="M1225" s="73"/>
      <c r="N1225" s="73"/>
      <c r="O1225" s="73"/>
      <c r="P1225" s="73"/>
      <c r="Q1225" s="73"/>
      <c r="R1225" s="73"/>
      <c r="S1225" s="73"/>
      <c r="T1225" s="73"/>
      <c r="U1225" s="73"/>
      <c r="V1225" s="73"/>
      <c r="W1225" s="73"/>
      <c r="X1225" s="73"/>
      <c r="Y1225" s="73"/>
      <c r="Z1225" s="73"/>
      <c r="AA1225" s="75"/>
      <c r="AB1225" s="75"/>
      <c r="AC1225" s="55"/>
      <c r="AD1225" s="89"/>
      <c r="AE1225" s="89"/>
      <c r="AF1225" s="89"/>
      <c r="AG1225" s="57"/>
      <c r="AH1225" s="58"/>
      <c r="AI1225" s="39"/>
      <c r="AJ1225" s="121"/>
      <c r="AK1225" s="41"/>
    </row>
    <row r="1226" spans="1:37" ht="117">
      <c r="A1226" s="32" t="s">
        <v>1394</v>
      </c>
      <c r="B1226" s="86">
        <v>13.12</v>
      </c>
      <c r="C1226" s="87" t="s">
        <v>659</v>
      </c>
      <c r="D1226" s="88"/>
      <c r="E1226" s="73"/>
      <c r="F1226" s="73"/>
      <c r="G1226" s="73"/>
      <c r="H1226" s="73"/>
      <c r="I1226" s="73"/>
      <c r="J1226" s="73"/>
      <c r="K1226" s="73"/>
      <c r="L1226" s="73"/>
      <c r="M1226" s="73"/>
      <c r="N1226" s="73"/>
      <c r="O1226" s="73"/>
      <c r="P1226" s="73"/>
      <c r="Q1226" s="73"/>
      <c r="R1226" s="73"/>
      <c r="S1226" s="73"/>
      <c r="T1226" s="73"/>
      <c r="U1226" s="73"/>
      <c r="V1226" s="73"/>
      <c r="W1226" s="73"/>
      <c r="X1226" s="73"/>
      <c r="Y1226" s="73"/>
      <c r="Z1226" s="73"/>
      <c r="AA1226" s="75"/>
      <c r="AB1226" s="75"/>
      <c r="AC1226" s="55"/>
      <c r="AD1226" s="89"/>
      <c r="AE1226" s="89"/>
      <c r="AF1226" s="89"/>
      <c r="AG1226" s="57"/>
      <c r="AH1226" s="58"/>
      <c r="AI1226" s="39"/>
      <c r="AK1226" s="41"/>
    </row>
    <row r="1227" spans="1:37" ht="40.5">
      <c r="A1227" s="32" t="s">
        <v>1395</v>
      </c>
      <c r="B1227" s="86">
        <v>13.13</v>
      </c>
      <c r="C1227" s="87" t="s">
        <v>660</v>
      </c>
      <c r="D1227" s="88" t="s">
        <v>661</v>
      </c>
      <c r="E1227" s="73"/>
      <c r="F1227" s="73"/>
      <c r="G1227" s="73"/>
      <c r="H1227" s="73"/>
      <c r="I1227" s="73"/>
      <c r="J1227" s="73"/>
      <c r="K1227" s="73"/>
      <c r="L1227" s="73"/>
      <c r="M1227" s="73"/>
      <c r="N1227" s="73"/>
      <c r="O1227" s="73"/>
      <c r="P1227" s="73"/>
      <c r="Q1227" s="73"/>
      <c r="R1227" s="73"/>
      <c r="S1227" s="73"/>
      <c r="T1227" s="73"/>
      <c r="U1227" s="73"/>
      <c r="V1227" s="73"/>
      <c r="W1227" s="73"/>
      <c r="X1227" s="73"/>
      <c r="Y1227" s="73"/>
      <c r="Z1227" s="73"/>
      <c r="AA1227" s="75"/>
      <c r="AB1227" s="75"/>
      <c r="AC1227" s="55"/>
      <c r="AD1227" s="89"/>
      <c r="AE1227" s="89"/>
      <c r="AF1227" s="89"/>
      <c r="AG1227" s="57"/>
      <c r="AH1227" s="58"/>
      <c r="AI1227" s="39"/>
      <c r="AK1227" s="41"/>
    </row>
    <row r="1228" spans="1:37" ht="40.5">
      <c r="A1228" s="32" t="s">
        <v>1396</v>
      </c>
      <c r="B1228" s="86">
        <v>13.14</v>
      </c>
      <c r="C1228" s="87" t="s">
        <v>662</v>
      </c>
      <c r="D1228" s="88" t="s">
        <v>661</v>
      </c>
      <c r="E1228" s="73"/>
      <c r="F1228" s="73"/>
      <c r="G1228" s="73"/>
      <c r="H1228" s="73"/>
      <c r="I1228" s="73"/>
      <c r="J1228" s="73"/>
      <c r="K1228" s="73"/>
      <c r="L1228" s="73"/>
      <c r="M1228" s="73"/>
      <c r="N1228" s="73"/>
      <c r="O1228" s="73"/>
      <c r="P1228" s="73"/>
      <c r="Q1228" s="73"/>
      <c r="R1228" s="73"/>
      <c r="S1228" s="73"/>
      <c r="T1228" s="73"/>
      <c r="U1228" s="73"/>
      <c r="V1228" s="73"/>
      <c r="W1228" s="73"/>
      <c r="X1228" s="73"/>
      <c r="Y1228" s="73"/>
      <c r="Z1228" s="73"/>
      <c r="AA1228" s="75"/>
      <c r="AB1228" s="75"/>
      <c r="AC1228" s="55"/>
      <c r="AD1228" s="89"/>
      <c r="AE1228" s="89"/>
      <c r="AF1228" s="89"/>
      <c r="AG1228" s="57"/>
      <c r="AH1228" s="58"/>
      <c r="AI1228" s="39"/>
      <c r="AK1228" s="41"/>
    </row>
    <row r="1229" spans="1:37" ht="53.25">
      <c r="A1229" s="32" t="s">
        <v>1397</v>
      </c>
      <c r="B1229" s="86">
        <v>13.15</v>
      </c>
      <c r="C1229" s="87" t="s">
        <v>663</v>
      </c>
      <c r="D1229" s="88" t="s">
        <v>661</v>
      </c>
      <c r="E1229" s="73"/>
      <c r="F1229" s="73"/>
      <c r="G1229" s="73"/>
      <c r="H1229" s="73"/>
      <c r="I1229" s="73"/>
      <c r="J1229" s="73"/>
      <c r="K1229" s="73"/>
      <c r="L1229" s="73"/>
      <c r="M1229" s="73"/>
      <c r="N1229" s="73"/>
      <c r="O1229" s="73"/>
      <c r="P1229" s="73"/>
      <c r="Q1229" s="73"/>
      <c r="R1229" s="73"/>
      <c r="S1229" s="73"/>
      <c r="T1229" s="73"/>
      <c r="U1229" s="73"/>
      <c r="V1229" s="73"/>
      <c r="W1229" s="73"/>
      <c r="X1229" s="73"/>
      <c r="Y1229" s="73"/>
      <c r="Z1229" s="73"/>
      <c r="AA1229" s="75"/>
      <c r="AB1229" s="75"/>
      <c r="AC1229" s="55"/>
      <c r="AD1229" s="89"/>
      <c r="AE1229" s="89"/>
      <c r="AF1229" s="89"/>
      <c r="AG1229" s="57"/>
      <c r="AH1229" s="58"/>
      <c r="AI1229" s="39"/>
      <c r="AK1229" s="41"/>
    </row>
    <row r="1230" spans="1:37" ht="40.5">
      <c r="A1230" s="32" t="s">
        <v>1398</v>
      </c>
      <c r="B1230" s="86">
        <v>13.16</v>
      </c>
      <c r="C1230" s="87" t="s">
        <v>664</v>
      </c>
      <c r="D1230" s="88" t="s">
        <v>665</v>
      </c>
      <c r="E1230" s="73"/>
      <c r="F1230" s="73"/>
      <c r="G1230" s="73"/>
      <c r="H1230" s="73"/>
      <c r="I1230" s="73"/>
      <c r="J1230" s="73"/>
      <c r="K1230" s="73"/>
      <c r="L1230" s="73"/>
      <c r="M1230" s="73"/>
      <c r="N1230" s="73"/>
      <c r="O1230" s="73"/>
      <c r="P1230" s="73"/>
      <c r="Q1230" s="73"/>
      <c r="R1230" s="73"/>
      <c r="S1230" s="73"/>
      <c r="T1230" s="73"/>
      <c r="U1230" s="73"/>
      <c r="V1230" s="73"/>
      <c r="W1230" s="73"/>
      <c r="X1230" s="73"/>
      <c r="Y1230" s="73"/>
      <c r="Z1230" s="73"/>
      <c r="AA1230" s="75"/>
      <c r="AB1230" s="75"/>
      <c r="AC1230" s="55"/>
      <c r="AD1230" s="89"/>
      <c r="AE1230" s="89"/>
      <c r="AF1230" s="89"/>
      <c r="AG1230" s="57"/>
      <c r="AH1230" s="58"/>
      <c r="AI1230" s="39"/>
      <c r="AK1230" s="41"/>
    </row>
    <row r="1231" spans="1:37" ht="40.5">
      <c r="A1231" s="32" t="s">
        <v>1399</v>
      </c>
      <c r="B1231" s="86">
        <v>13.17</v>
      </c>
      <c r="C1231" s="87" t="s">
        <v>666</v>
      </c>
      <c r="D1231" s="88" t="s">
        <v>661</v>
      </c>
      <c r="E1231" s="73"/>
      <c r="F1231" s="73"/>
      <c r="G1231" s="73"/>
      <c r="H1231" s="73"/>
      <c r="I1231" s="73"/>
      <c r="J1231" s="73"/>
      <c r="K1231" s="73"/>
      <c r="L1231" s="73"/>
      <c r="M1231" s="73"/>
      <c r="N1231" s="73"/>
      <c r="O1231" s="73"/>
      <c r="P1231" s="73"/>
      <c r="Q1231" s="73"/>
      <c r="R1231" s="73"/>
      <c r="S1231" s="73"/>
      <c r="T1231" s="73"/>
      <c r="U1231" s="73"/>
      <c r="V1231" s="73"/>
      <c r="W1231" s="73"/>
      <c r="X1231" s="73"/>
      <c r="Y1231" s="73"/>
      <c r="Z1231" s="73"/>
      <c r="AA1231" s="75"/>
      <c r="AB1231" s="75"/>
      <c r="AC1231" s="55"/>
      <c r="AD1231" s="89"/>
      <c r="AE1231" s="89"/>
      <c r="AF1231" s="89"/>
      <c r="AG1231" s="57"/>
      <c r="AH1231" s="58"/>
      <c r="AI1231" s="39"/>
      <c r="AK1231" s="41"/>
    </row>
    <row r="1232" spans="1:37" ht="78.75">
      <c r="A1232" s="32" t="s">
        <v>1400</v>
      </c>
      <c r="B1232" s="86">
        <v>13.18</v>
      </c>
      <c r="C1232" s="87" t="s">
        <v>667</v>
      </c>
      <c r="D1232" s="88" t="s">
        <v>661</v>
      </c>
      <c r="E1232" s="73"/>
      <c r="F1232" s="73"/>
      <c r="G1232" s="73"/>
      <c r="H1232" s="73"/>
      <c r="I1232" s="73"/>
      <c r="J1232" s="73"/>
      <c r="K1232" s="73"/>
      <c r="L1232" s="73"/>
      <c r="M1232" s="73"/>
      <c r="N1232" s="73"/>
      <c r="O1232" s="73"/>
      <c r="P1232" s="73"/>
      <c r="Q1232" s="73"/>
      <c r="R1232" s="73"/>
      <c r="S1232" s="73"/>
      <c r="T1232" s="73"/>
      <c r="U1232" s="73"/>
      <c r="V1232" s="73"/>
      <c r="W1232" s="73"/>
      <c r="X1232" s="73"/>
      <c r="Y1232" s="73"/>
      <c r="Z1232" s="73"/>
      <c r="AA1232" s="75"/>
      <c r="AB1232" s="75"/>
      <c r="AC1232" s="55"/>
      <c r="AD1232" s="89"/>
      <c r="AE1232" s="89"/>
      <c r="AF1232" s="89"/>
      <c r="AG1232" s="57"/>
      <c r="AH1232" s="58"/>
      <c r="AI1232" s="39"/>
      <c r="AK1232" s="41"/>
    </row>
    <row r="1233" spans="1:38" ht="21">
      <c r="B1233" s="86"/>
      <c r="D1233" s="138" t="s">
        <v>840</v>
      </c>
      <c r="E1233" s="73"/>
      <c r="F1233" s="73"/>
      <c r="G1233" s="73"/>
      <c r="H1233" s="73"/>
      <c r="I1233" s="73"/>
      <c r="J1233" s="73"/>
      <c r="K1233" s="73"/>
      <c r="L1233" s="73"/>
      <c r="M1233" s="73"/>
      <c r="N1233" s="73"/>
      <c r="O1233" s="73"/>
      <c r="P1233" s="73"/>
      <c r="Q1233" s="139"/>
      <c r="R1233" s="139"/>
      <c r="S1233" s="139"/>
      <c r="T1233" s="73"/>
      <c r="U1233" s="139"/>
      <c r="V1233" s="139"/>
      <c r="W1233" s="73"/>
      <c r="X1233" s="73"/>
      <c r="Y1233" s="73"/>
      <c r="Z1233" s="73"/>
      <c r="AA1233" s="75"/>
      <c r="AB1233" s="75"/>
      <c r="AC1233" s="55"/>
      <c r="AD1233" s="89"/>
      <c r="AE1233" s="91"/>
      <c r="AF1233" s="140"/>
      <c r="AG1233" s="57"/>
      <c r="AH1233" s="58"/>
      <c r="AI1233" s="39"/>
      <c r="AK1233" s="41"/>
    </row>
    <row r="1234" spans="1:38" ht="21">
      <c r="A1234" s="32" t="s">
        <v>1425</v>
      </c>
      <c r="B1234" s="86"/>
      <c r="C1234" s="141" t="s">
        <v>839</v>
      </c>
      <c r="D1234" s="138" t="s">
        <v>836</v>
      </c>
      <c r="E1234" s="73"/>
      <c r="F1234" s="73"/>
      <c r="G1234" s="73"/>
      <c r="H1234" s="73"/>
      <c r="I1234" s="73"/>
      <c r="J1234" s="73"/>
      <c r="K1234" s="73"/>
      <c r="L1234" s="73"/>
      <c r="M1234" s="73"/>
      <c r="N1234" s="73"/>
      <c r="O1234" s="73"/>
      <c r="P1234" s="73"/>
      <c r="Q1234" s="73"/>
      <c r="R1234" s="73"/>
      <c r="S1234" s="73"/>
      <c r="T1234" s="73"/>
      <c r="U1234" s="73"/>
      <c r="V1234" s="73"/>
      <c r="W1234" s="73"/>
      <c r="X1234" s="73"/>
      <c r="Y1234" s="73"/>
      <c r="Z1234" s="73"/>
      <c r="AA1234" s="75"/>
      <c r="AB1234" s="75"/>
      <c r="AC1234" s="55"/>
      <c r="AD1234" s="89"/>
      <c r="AE1234" s="89"/>
      <c r="AF1234" s="89"/>
      <c r="AG1234" s="57"/>
      <c r="AH1234" s="58"/>
      <c r="AI1234" s="39"/>
      <c r="AK1234" s="41"/>
    </row>
    <row r="1235" spans="1:38" ht="21">
      <c r="A1235" s="32" t="s">
        <v>1471</v>
      </c>
      <c r="B1235" s="86"/>
      <c r="C1235" s="141" t="s">
        <v>838</v>
      </c>
      <c r="D1235" s="138" t="s">
        <v>836</v>
      </c>
      <c r="E1235" s="73"/>
      <c r="F1235" s="73"/>
      <c r="G1235" s="73"/>
      <c r="H1235" s="73"/>
      <c r="I1235" s="73"/>
      <c r="J1235" s="73"/>
      <c r="K1235" s="73"/>
      <c r="L1235" s="73"/>
      <c r="M1235" s="73"/>
      <c r="N1235" s="73"/>
      <c r="O1235" s="73"/>
      <c r="P1235" s="73"/>
      <c r="Q1235" s="73"/>
      <c r="R1235" s="73"/>
      <c r="S1235" s="73"/>
      <c r="T1235" s="73"/>
      <c r="U1235" s="73"/>
      <c r="V1235" s="73"/>
      <c r="W1235" s="73"/>
      <c r="X1235" s="73"/>
      <c r="Y1235" s="73"/>
      <c r="Z1235" s="73"/>
      <c r="AA1235" s="75"/>
      <c r="AB1235" s="75"/>
      <c r="AC1235" s="55"/>
      <c r="AD1235" s="89"/>
      <c r="AE1235" s="89"/>
      <c r="AF1235" s="89"/>
      <c r="AG1235" s="57"/>
      <c r="AH1235" s="58"/>
      <c r="AI1235" s="39"/>
      <c r="AK1235" s="41"/>
    </row>
    <row r="1236" spans="1:38" ht="19.5" customHeight="1">
      <c r="A1236" s="32" t="s">
        <v>1472</v>
      </c>
      <c r="B1236" s="142"/>
      <c r="C1236" s="141" t="s">
        <v>837</v>
      </c>
      <c r="D1236" s="138" t="s">
        <v>836</v>
      </c>
      <c r="E1236" s="143"/>
      <c r="F1236" s="143"/>
      <c r="G1236" s="143"/>
      <c r="H1236" s="143"/>
      <c r="I1236" s="143"/>
      <c r="J1236" s="143"/>
      <c r="K1236" s="143"/>
      <c r="L1236" s="143"/>
      <c r="M1236" s="143"/>
      <c r="N1236" s="143"/>
      <c r="O1236" s="143"/>
      <c r="P1236" s="143"/>
      <c r="Q1236" s="73"/>
      <c r="R1236" s="73"/>
      <c r="S1236" s="73"/>
      <c r="T1236" s="143"/>
      <c r="U1236" s="73"/>
      <c r="V1236" s="73"/>
      <c r="W1236" s="143"/>
      <c r="X1236" s="143"/>
      <c r="Y1236" s="143"/>
      <c r="Z1236" s="143"/>
      <c r="AA1236" s="144"/>
      <c r="AB1236" s="144"/>
      <c r="AC1236" s="55"/>
      <c r="AD1236" s="89"/>
      <c r="AE1236" s="89"/>
      <c r="AF1236" s="89"/>
      <c r="AG1236" s="57"/>
      <c r="AH1236" s="58"/>
      <c r="AI1236" s="39"/>
      <c r="AK1236" s="41"/>
    </row>
    <row r="1237" spans="1:38" ht="53.25">
      <c r="A1237" s="32" t="s">
        <v>1742</v>
      </c>
      <c r="B1237" s="86">
        <v>13.19</v>
      </c>
      <c r="C1237" s="87" t="s">
        <v>2610</v>
      </c>
      <c r="D1237" s="138" t="s">
        <v>204</v>
      </c>
      <c r="E1237" s="143"/>
      <c r="F1237" s="143"/>
      <c r="G1237" s="143"/>
      <c r="H1237" s="143"/>
      <c r="I1237" s="143"/>
      <c r="J1237" s="143"/>
      <c r="K1237" s="143"/>
      <c r="L1237" s="143"/>
      <c r="M1237" s="143"/>
      <c r="N1237" s="143"/>
      <c r="O1237" s="143"/>
      <c r="P1237" s="143"/>
      <c r="Q1237" s="73"/>
      <c r="R1237" s="73"/>
      <c r="S1237" s="73"/>
      <c r="T1237" s="143"/>
      <c r="U1237" s="73"/>
      <c r="V1237" s="73"/>
      <c r="W1237" s="143"/>
      <c r="X1237" s="143"/>
      <c r="Y1237" s="143"/>
      <c r="Z1237" s="143"/>
      <c r="AA1237" s="144"/>
      <c r="AB1237" s="144"/>
      <c r="AC1237" s="55"/>
      <c r="AD1237" s="89"/>
      <c r="AE1237" s="89"/>
      <c r="AF1237" s="89"/>
      <c r="AG1237" s="57"/>
      <c r="AH1237" s="58"/>
      <c r="AI1237" s="39"/>
      <c r="AK1237" s="41"/>
    </row>
    <row r="1238" spans="1:38" ht="21">
      <c r="A1238" s="32" t="s">
        <v>1743</v>
      </c>
      <c r="B1238" s="101">
        <v>13.2</v>
      </c>
      <c r="C1238" s="87" t="s">
        <v>2611</v>
      </c>
      <c r="D1238" s="138" t="s">
        <v>13</v>
      </c>
      <c r="E1238" s="143"/>
      <c r="F1238" s="143"/>
      <c r="G1238" s="143"/>
      <c r="H1238" s="143"/>
      <c r="I1238" s="143"/>
      <c r="J1238" s="143"/>
      <c r="K1238" s="143"/>
      <c r="L1238" s="143"/>
      <c r="M1238" s="143"/>
      <c r="N1238" s="143"/>
      <c r="O1238" s="143"/>
      <c r="P1238" s="143"/>
      <c r="Q1238" s="73"/>
      <c r="R1238" s="73"/>
      <c r="S1238" s="73"/>
      <c r="T1238" s="143"/>
      <c r="U1238" s="73"/>
      <c r="V1238" s="73"/>
      <c r="W1238" s="143"/>
      <c r="X1238" s="143"/>
      <c r="Y1238" s="143"/>
      <c r="Z1238" s="143"/>
      <c r="AA1238" s="144"/>
      <c r="AB1238" s="144"/>
      <c r="AC1238" s="55"/>
      <c r="AD1238" s="89"/>
      <c r="AE1238" s="89"/>
      <c r="AF1238" s="89"/>
      <c r="AG1238" s="57"/>
      <c r="AH1238" s="58"/>
      <c r="AI1238" s="39"/>
      <c r="AK1238" s="41"/>
    </row>
    <row r="1239" spans="1:38" ht="21">
      <c r="A1239" s="32" t="s">
        <v>1493</v>
      </c>
      <c r="B1239" s="80"/>
      <c r="C1239" s="33" t="s">
        <v>1494</v>
      </c>
      <c r="D1239" s="80"/>
      <c r="E1239" s="81"/>
      <c r="F1239" s="81"/>
      <c r="G1239" s="81"/>
      <c r="H1239" s="81"/>
      <c r="I1239" s="81"/>
      <c r="J1239" s="81"/>
      <c r="K1239" s="81"/>
      <c r="L1239" s="81"/>
      <c r="M1239" s="81"/>
      <c r="N1239" s="81"/>
      <c r="O1239" s="81"/>
      <c r="P1239" s="81"/>
      <c r="Q1239" s="81"/>
      <c r="R1239" s="81"/>
      <c r="S1239" s="81"/>
      <c r="T1239" s="81"/>
      <c r="U1239" s="81"/>
      <c r="V1239" s="81"/>
      <c r="W1239" s="81"/>
      <c r="X1239" s="81"/>
      <c r="Y1239" s="81"/>
      <c r="Z1239" s="81"/>
      <c r="AA1239" s="83"/>
      <c r="AB1239" s="83"/>
      <c r="AC1239" s="55"/>
      <c r="AD1239" s="89"/>
      <c r="AE1239" s="48"/>
      <c r="AF1239" s="48"/>
      <c r="AG1239" s="39"/>
      <c r="AH1239" s="48"/>
      <c r="AI1239" s="39"/>
      <c r="AK1239" s="41"/>
      <c r="AL1239" s="85"/>
    </row>
    <row r="1240" spans="1:38" ht="27.75">
      <c r="A1240" s="32" t="s">
        <v>2166</v>
      </c>
      <c r="B1240" s="86">
        <v>14.01</v>
      </c>
      <c r="C1240" s="87" t="s">
        <v>668</v>
      </c>
      <c r="D1240" s="88"/>
      <c r="E1240" s="73"/>
      <c r="F1240" s="73"/>
      <c r="G1240" s="73"/>
      <c r="H1240" s="73"/>
      <c r="I1240" s="73"/>
      <c r="J1240" s="73"/>
      <c r="K1240" s="73"/>
      <c r="L1240" s="73"/>
      <c r="M1240" s="73"/>
      <c r="N1240" s="73"/>
      <c r="O1240" s="73"/>
      <c r="P1240" s="73"/>
      <c r="Q1240" s="73"/>
      <c r="R1240" s="73"/>
      <c r="S1240" s="73"/>
      <c r="T1240" s="73"/>
      <c r="U1240" s="73"/>
      <c r="V1240" s="73"/>
      <c r="W1240" s="73"/>
      <c r="X1240" s="73"/>
      <c r="Y1240" s="73"/>
      <c r="Z1240" s="73"/>
      <c r="AA1240" s="75"/>
      <c r="AB1240" s="75"/>
      <c r="AC1240" s="55"/>
      <c r="AD1240" s="89"/>
      <c r="AE1240" s="89"/>
      <c r="AF1240" s="89"/>
      <c r="AG1240" s="91"/>
      <c r="AH1240" s="48"/>
      <c r="AI1240" s="39"/>
      <c r="AK1240" s="41"/>
    </row>
    <row r="1241" spans="1:38" ht="21">
      <c r="A1241" s="32" t="s">
        <v>1922</v>
      </c>
      <c r="B1241" s="94" t="s">
        <v>14</v>
      </c>
      <c r="C1241" s="95" t="s">
        <v>1424</v>
      </c>
      <c r="D1241" s="88"/>
      <c r="E1241" s="73"/>
      <c r="F1241" s="73"/>
      <c r="G1241" s="73"/>
      <c r="H1241" s="73"/>
      <c r="I1241" s="73"/>
      <c r="J1241" s="73"/>
      <c r="K1241" s="73"/>
      <c r="L1241" s="73"/>
      <c r="M1241" s="73"/>
      <c r="N1241" s="73"/>
      <c r="O1241" s="73"/>
      <c r="P1241" s="73"/>
      <c r="Q1241" s="73"/>
      <c r="R1241" s="73"/>
      <c r="S1241" s="73"/>
      <c r="T1241" s="73"/>
      <c r="U1241" s="73"/>
      <c r="V1241" s="73"/>
      <c r="W1241" s="73"/>
      <c r="X1241" s="73"/>
      <c r="Y1241" s="73"/>
      <c r="Z1241" s="73"/>
      <c r="AA1241" s="75"/>
      <c r="AB1241" s="75"/>
      <c r="AC1241" s="55"/>
      <c r="AD1241" s="89"/>
      <c r="AE1241" s="89"/>
      <c r="AF1241" s="89"/>
      <c r="AG1241" s="91"/>
      <c r="AH1241" s="48"/>
      <c r="AI1241" s="39"/>
      <c r="AK1241" s="41"/>
    </row>
    <row r="1242" spans="1:38" ht="21">
      <c r="A1242" s="32" t="s">
        <v>1923</v>
      </c>
      <c r="B1242" s="94" t="s">
        <v>104</v>
      </c>
      <c r="C1242" s="95" t="s">
        <v>669</v>
      </c>
      <c r="D1242" s="88"/>
      <c r="E1242" s="73"/>
      <c r="F1242" s="73"/>
      <c r="G1242" s="73"/>
      <c r="H1242" s="73"/>
      <c r="I1242" s="73"/>
      <c r="J1242" s="73"/>
      <c r="K1242" s="73"/>
      <c r="L1242" s="73"/>
      <c r="M1242" s="73"/>
      <c r="N1242" s="73"/>
      <c r="O1242" s="73"/>
      <c r="P1242" s="73"/>
      <c r="Q1242" s="73"/>
      <c r="R1242" s="73"/>
      <c r="S1242" s="73"/>
      <c r="T1242" s="73"/>
      <c r="U1242" s="73"/>
      <c r="V1242" s="73"/>
      <c r="W1242" s="73"/>
      <c r="X1242" s="73"/>
      <c r="Y1242" s="73"/>
      <c r="Z1242" s="73"/>
      <c r="AA1242" s="75"/>
      <c r="AB1242" s="75"/>
      <c r="AC1242" s="55"/>
      <c r="AD1242" s="89"/>
      <c r="AE1242" s="89"/>
      <c r="AF1242" s="89"/>
      <c r="AG1242" s="91"/>
      <c r="AH1242" s="48"/>
      <c r="AI1242" s="39"/>
      <c r="AK1242" s="41"/>
    </row>
    <row r="1243" spans="1:38" ht="21">
      <c r="A1243" s="32" t="s">
        <v>1924</v>
      </c>
      <c r="B1243" s="92" t="s">
        <v>643</v>
      </c>
      <c r="C1243" s="93" t="s">
        <v>644</v>
      </c>
      <c r="D1243" s="88" t="s">
        <v>38</v>
      </c>
      <c r="E1243" s="73"/>
      <c r="F1243" s="73"/>
      <c r="G1243" s="73"/>
      <c r="H1243" s="73"/>
      <c r="I1243" s="73"/>
      <c r="J1243" s="73"/>
      <c r="K1243" s="73"/>
      <c r="L1243" s="73"/>
      <c r="M1243" s="73"/>
      <c r="N1243" s="73"/>
      <c r="O1243" s="73"/>
      <c r="P1243" s="73"/>
      <c r="Q1243" s="73"/>
      <c r="R1243" s="73"/>
      <c r="S1243" s="73"/>
      <c r="T1243" s="73"/>
      <c r="U1243" s="73"/>
      <c r="V1243" s="73"/>
      <c r="W1243" s="73"/>
      <c r="X1243" s="73"/>
      <c r="Y1243" s="73"/>
      <c r="Z1243" s="73"/>
      <c r="AA1243" s="75"/>
      <c r="AB1243" s="75"/>
      <c r="AC1243" s="55"/>
      <c r="AD1243" s="89"/>
      <c r="AE1243" s="89"/>
      <c r="AF1243" s="89"/>
      <c r="AG1243" s="57"/>
      <c r="AH1243" s="58"/>
      <c r="AI1243" s="39"/>
      <c r="AK1243" s="41"/>
    </row>
    <row r="1244" spans="1:38" ht="21">
      <c r="A1244" s="32" t="s">
        <v>1925</v>
      </c>
      <c r="B1244" s="92" t="s">
        <v>645</v>
      </c>
      <c r="C1244" s="93" t="s">
        <v>646</v>
      </c>
      <c r="D1244" s="88" t="s">
        <v>38</v>
      </c>
      <c r="E1244" s="73"/>
      <c r="F1244" s="73"/>
      <c r="G1244" s="73"/>
      <c r="H1244" s="73"/>
      <c r="I1244" s="73"/>
      <c r="J1244" s="73"/>
      <c r="K1244" s="73"/>
      <c r="L1244" s="73"/>
      <c r="M1244" s="73"/>
      <c r="N1244" s="73"/>
      <c r="O1244" s="73"/>
      <c r="P1244" s="73"/>
      <c r="Q1244" s="73"/>
      <c r="R1244" s="73"/>
      <c r="S1244" s="73"/>
      <c r="T1244" s="73"/>
      <c r="U1244" s="73"/>
      <c r="V1244" s="73"/>
      <c r="W1244" s="73"/>
      <c r="X1244" s="73"/>
      <c r="Y1244" s="73"/>
      <c r="Z1244" s="73"/>
      <c r="AA1244" s="75"/>
      <c r="AB1244" s="75"/>
      <c r="AC1244" s="55"/>
      <c r="AD1244" s="89"/>
      <c r="AE1244" s="89"/>
      <c r="AF1244" s="89"/>
      <c r="AG1244" s="57"/>
      <c r="AH1244" s="58"/>
      <c r="AI1244" s="39"/>
      <c r="AK1244" s="41"/>
    </row>
    <row r="1245" spans="1:38" ht="21">
      <c r="A1245" s="32" t="s">
        <v>1926</v>
      </c>
      <c r="B1245" s="111" t="s">
        <v>647</v>
      </c>
      <c r="C1245" s="93" t="s">
        <v>648</v>
      </c>
      <c r="D1245" s="88" t="s">
        <v>38</v>
      </c>
      <c r="E1245" s="73"/>
      <c r="F1245" s="73"/>
      <c r="G1245" s="73"/>
      <c r="H1245" s="73"/>
      <c r="I1245" s="73"/>
      <c r="J1245" s="73"/>
      <c r="K1245" s="73"/>
      <c r="L1245" s="73"/>
      <c r="M1245" s="73"/>
      <c r="N1245" s="73"/>
      <c r="O1245" s="73"/>
      <c r="P1245" s="73"/>
      <c r="Q1245" s="73"/>
      <c r="R1245" s="73"/>
      <c r="S1245" s="73"/>
      <c r="T1245" s="73"/>
      <c r="U1245" s="73"/>
      <c r="V1245" s="73"/>
      <c r="W1245" s="73"/>
      <c r="X1245" s="73"/>
      <c r="Y1245" s="73"/>
      <c r="Z1245" s="73"/>
      <c r="AA1245" s="75"/>
      <c r="AB1245" s="75"/>
      <c r="AC1245" s="55"/>
      <c r="AD1245" s="89"/>
      <c r="AE1245" s="89"/>
      <c r="AF1245" s="89"/>
      <c r="AG1245" s="57"/>
      <c r="AH1245" s="58"/>
      <c r="AI1245" s="39"/>
      <c r="AK1245" s="41"/>
    </row>
    <row r="1246" spans="1:38" ht="21">
      <c r="A1246" s="32" t="s">
        <v>1927</v>
      </c>
      <c r="B1246" s="94" t="s">
        <v>171</v>
      </c>
      <c r="C1246" s="95" t="s">
        <v>670</v>
      </c>
      <c r="D1246" s="88"/>
      <c r="E1246" s="73"/>
      <c r="F1246" s="73"/>
      <c r="G1246" s="73"/>
      <c r="H1246" s="73"/>
      <c r="I1246" s="73"/>
      <c r="J1246" s="73"/>
      <c r="K1246" s="73"/>
      <c r="L1246" s="73"/>
      <c r="M1246" s="73"/>
      <c r="N1246" s="73"/>
      <c r="O1246" s="73"/>
      <c r="P1246" s="73"/>
      <c r="Q1246" s="73"/>
      <c r="R1246" s="73"/>
      <c r="S1246" s="73"/>
      <c r="T1246" s="73"/>
      <c r="U1246" s="73"/>
      <c r="V1246" s="73"/>
      <c r="W1246" s="73"/>
      <c r="X1246" s="73"/>
      <c r="Y1246" s="73"/>
      <c r="Z1246" s="73"/>
      <c r="AA1246" s="75"/>
      <c r="AB1246" s="75"/>
      <c r="AC1246" s="55"/>
      <c r="AD1246" s="89"/>
      <c r="AE1246" s="89"/>
      <c r="AF1246" s="89"/>
      <c r="AG1246" s="91"/>
      <c r="AH1246" s="48"/>
      <c r="AI1246" s="39"/>
      <c r="AK1246" s="41"/>
    </row>
    <row r="1247" spans="1:38" ht="21">
      <c r="A1247" s="32" t="s">
        <v>1928</v>
      </c>
      <c r="B1247" s="92" t="s">
        <v>643</v>
      </c>
      <c r="C1247" s="93" t="s">
        <v>644</v>
      </c>
      <c r="D1247" s="88" t="s">
        <v>38</v>
      </c>
      <c r="E1247" s="73"/>
      <c r="F1247" s="73"/>
      <c r="G1247" s="73"/>
      <c r="H1247" s="73"/>
      <c r="I1247" s="73"/>
      <c r="J1247" s="73"/>
      <c r="K1247" s="73"/>
      <c r="L1247" s="73"/>
      <c r="M1247" s="73"/>
      <c r="N1247" s="73"/>
      <c r="O1247" s="73"/>
      <c r="P1247" s="73"/>
      <c r="Q1247" s="73"/>
      <c r="R1247" s="73"/>
      <c r="S1247" s="73"/>
      <c r="T1247" s="73"/>
      <c r="U1247" s="73"/>
      <c r="V1247" s="73"/>
      <c r="W1247" s="73"/>
      <c r="X1247" s="73"/>
      <c r="Y1247" s="73"/>
      <c r="Z1247" s="73"/>
      <c r="AA1247" s="75"/>
      <c r="AB1247" s="75"/>
      <c r="AC1247" s="55"/>
      <c r="AD1247" s="89"/>
      <c r="AE1247" s="89"/>
      <c r="AF1247" s="89"/>
      <c r="AG1247" s="57"/>
      <c r="AH1247" s="58"/>
      <c r="AI1247" s="39"/>
      <c r="AK1247" s="41"/>
    </row>
    <row r="1248" spans="1:38" ht="21">
      <c r="A1248" s="32" t="s">
        <v>1929</v>
      </c>
      <c r="B1248" s="92" t="s">
        <v>645</v>
      </c>
      <c r="C1248" s="93" t="s">
        <v>646</v>
      </c>
      <c r="D1248" s="88" t="s">
        <v>38</v>
      </c>
      <c r="E1248" s="73"/>
      <c r="F1248" s="73"/>
      <c r="G1248" s="73"/>
      <c r="H1248" s="73"/>
      <c r="I1248" s="73"/>
      <c r="J1248" s="73"/>
      <c r="K1248" s="73"/>
      <c r="L1248" s="73"/>
      <c r="M1248" s="73"/>
      <c r="N1248" s="73"/>
      <c r="O1248" s="73"/>
      <c r="P1248" s="73"/>
      <c r="Q1248" s="73"/>
      <c r="R1248" s="73"/>
      <c r="S1248" s="73"/>
      <c r="T1248" s="73"/>
      <c r="U1248" s="73"/>
      <c r="V1248" s="73"/>
      <c r="W1248" s="73"/>
      <c r="X1248" s="73"/>
      <c r="Y1248" s="73"/>
      <c r="Z1248" s="73"/>
      <c r="AA1248" s="75"/>
      <c r="AB1248" s="75"/>
      <c r="AC1248" s="55"/>
      <c r="AD1248" s="89"/>
      <c r="AE1248" s="89"/>
      <c r="AF1248" s="89"/>
      <c r="AG1248" s="57"/>
      <c r="AH1248" s="58"/>
      <c r="AI1248" s="39"/>
      <c r="AK1248" s="41"/>
    </row>
    <row r="1249" spans="1:37" ht="21">
      <c r="A1249" s="32" t="s">
        <v>1930</v>
      </c>
      <c r="B1249" s="111" t="s">
        <v>647</v>
      </c>
      <c r="C1249" s="93" t="s">
        <v>648</v>
      </c>
      <c r="D1249" s="88" t="s">
        <v>38</v>
      </c>
      <c r="E1249" s="73"/>
      <c r="F1249" s="73"/>
      <c r="G1249" s="73"/>
      <c r="H1249" s="73"/>
      <c r="I1249" s="73"/>
      <c r="J1249" s="73"/>
      <c r="K1249" s="73"/>
      <c r="L1249" s="73"/>
      <c r="M1249" s="73"/>
      <c r="N1249" s="73"/>
      <c r="O1249" s="73"/>
      <c r="P1249" s="73"/>
      <c r="Q1249" s="73"/>
      <c r="R1249" s="73"/>
      <c r="S1249" s="73"/>
      <c r="T1249" s="73"/>
      <c r="U1249" s="73"/>
      <c r="V1249" s="73"/>
      <c r="W1249" s="73"/>
      <c r="X1249" s="73"/>
      <c r="Y1249" s="73"/>
      <c r="Z1249" s="73"/>
      <c r="AA1249" s="75"/>
      <c r="AB1249" s="75"/>
      <c r="AC1249" s="55"/>
      <c r="AD1249" s="89"/>
      <c r="AE1249" s="89"/>
      <c r="AF1249" s="89"/>
      <c r="AG1249" s="57"/>
      <c r="AH1249" s="58"/>
      <c r="AI1249" s="39"/>
      <c r="AK1249" s="41"/>
    </row>
    <row r="1250" spans="1:37" ht="21">
      <c r="A1250" s="32" t="s">
        <v>1931</v>
      </c>
      <c r="B1250" s="94" t="s">
        <v>15</v>
      </c>
      <c r="C1250" s="95" t="s">
        <v>1423</v>
      </c>
      <c r="D1250" s="88"/>
      <c r="E1250" s="73"/>
      <c r="F1250" s="73"/>
      <c r="G1250" s="73"/>
      <c r="H1250" s="73"/>
      <c r="I1250" s="73"/>
      <c r="J1250" s="73"/>
      <c r="K1250" s="73"/>
      <c r="L1250" s="73"/>
      <c r="M1250" s="73"/>
      <c r="N1250" s="73"/>
      <c r="O1250" s="73"/>
      <c r="P1250" s="73"/>
      <c r="Q1250" s="73"/>
      <c r="R1250" s="73"/>
      <c r="S1250" s="73"/>
      <c r="T1250" s="73"/>
      <c r="U1250" s="73"/>
      <c r="V1250" s="73"/>
      <c r="W1250" s="73"/>
      <c r="X1250" s="73"/>
      <c r="Y1250" s="73"/>
      <c r="Z1250" s="73"/>
      <c r="AA1250" s="75"/>
      <c r="AB1250" s="75"/>
      <c r="AC1250" s="55"/>
      <c r="AD1250" s="89"/>
      <c r="AE1250" s="89"/>
      <c r="AF1250" s="89"/>
      <c r="AG1250" s="91"/>
      <c r="AH1250" s="48"/>
      <c r="AI1250" s="39"/>
      <c r="AK1250" s="41"/>
    </row>
    <row r="1251" spans="1:37" ht="21">
      <c r="A1251" s="32" t="s">
        <v>1932</v>
      </c>
      <c r="B1251" s="94" t="s">
        <v>104</v>
      </c>
      <c r="C1251" s="95" t="s">
        <v>669</v>
      </c>
      <c r="D1251" s="88"/>
      <c r="E1251" s="73"/>
      <c r="F1251" s="73"/>
      <c r="G1251" s="73"/>
      <c r="H1251" s="73"/>
      <c r="I1251" s="73"/>
      <c r="J1251" s="73"/>
      <c r="K1251" s="73"/>
      <c r="L1251" s="73"/>
      <c r="M1251" s="73"/>
      <c r="N1251" s="73"/>
      <c r="O1251" s="73"/>
      <c r="P1251" s="73"/>
      <c r="Q1251" s="73"/>
      <c r="R1251" s="73"/>
      <c r="S1251" s="73"/>
      <c r="T1251" s="73"/>
      <c r="U1251" s="73"/>
      <c r="V1251" s="73"/>
      <c r="W1251" s="73"/>
      <c r="X1251" s="73"/>
      <c r="Y1251" s="73"/>
      <c r="Z1251" s="73"/>
      <c r="AA1251" s="75"/>
      <c r="AB1251" s="75"/>
      <c r="AC1251" s="55"/>
      <c r="AD1251" s="89"/>
      <c r="AE1251" s="89"/>
      <c r="AF1251" s="89"/>
      <c r="AG1251" s="91"/>
      <c r="AH1251" s="48"/>
      <c r="AI1251" s="39"/>
      <c r="AK1251" s="41"/>
    </row>
    <row r="1252" spans="1:37" ht="21">
      <c r="A1252" s="32" t="s">
        <v>1933</v>
      </c>
      <c r="B1252" s="92" t="s">
        <v>643</v>
      </c>
      <c r="C1252" s="93" t="s">
        <v>644</v>
      </c>
      <c r="D1252" s="88" t="s">
        <v>38</v>
      </c>
      <c r="E1252" s="73"/>
      <c r="F1252" s="73"/>
      <c r="G1252" s="73"/>
      <c r="H1252" s="73"/>
      <c r="I1252" s="73"/>
      <c r="J1252" s="73"/>
      <c r="K1252" s="73"/>
      <c r="L1252" s="73"/>
      <c r="M1252" s="73"/>
      <c r="N1252" s="73"/>
      <c r="O1252" s="73"/>
      <c r="P1252" s="73"/>
      <c r="Q1252" s="73"/>
      <c r="R1252" s="73"/>
      <c r="S1252" s="73"/>
      <c r="T1252" s="73"/>
      <c r="U1252" s="73"/>
      <c r="V1252" s="73"/>
      <c r="W1252" s="73"/>
      <c r="X1252" s="73"/>
      <c r="Y1252" s="73"/>
      <c r="Z1252" s="73"/>
      <c r="AA1252" s="75"/>
      <c r="AB1252" s="75"/>
      <c r="AC1252" s="55"/>
      <c r="AD1252" s="89"/>
      <c r="AE1252" s="89"/>
      <c r="AF1252" s="89"/>
      <c r="AG1252" s="57"/>
      <c r="AH1252" s="58"/>
      <c r="AI1252" s="39"/>
      <c r="AK1252" s="41"/>
    </row>
    <row r="1253" spans="1:37" ht="21">
      <c r="A1253" s="32" t="s">
        <v>1934</v>
      </c>
      <c r="B1253" s="92" t="s">
        <v>645</v>
      </c>
      <c r="C1253" s="93" t="s">
        <v>646</v>
      </c>
      <c r="D1253" s="88" t="s">
        <v>38</v>
      </c>
      <c r="E1253" s="73"/>
      <c r="F1253" s="73"/>
      <c r="G1253" s="73"/>
      <c r="H1253" s="73"/>
      <c r="I1253" s="73"/>
      <c r="J1253" s="73"/>
      <c r="K1253" s="73"/>
      <c r="L1253" s="73"/>
      <c r="M1253" s="73"/>
      <c r="N1253" s="73"/>
      <c r="O1253" s="73"/>
      <c r="P1253" s="73"/>
      <c r="Q1253" s="73"/>
      <c r="R1253" s="73"/>
      <c r="S1253" s="73"/>
      <c r="T1253" s="73"/>
      <c r="U1253" s="73"/>
      <c r="V1253" s="73"/>
      <c r="W1253" s="73"/>
      <c r="X1253" s="73"/>
      <c r="Y1253" s="73"/>
      <c r="Z1253" s="73"/>
      <c r="AA1253" s="75"/>
      <c r="AB1253" s="75"/>
      <c r="AC1253" s="55"/>
      <c r="AD1253" s="89"/>
      <c r="AE1253" s="89"/>
      <c r="AF1253" s="89"/>
      <c r="AG1253" s="57"/>
      <c r="AH1253" s="58"/>
      <c r="AI1253" s="39"/>
      <c r="AK1253" s="41"/>
    </row>
    <row r="1254" spans="1:37" ht="21">
      <c r="A1254" s="32" t="s">
        <v>1935</v>
      </c>
      <c r="B1254" s="111" t="s">
        <v>647</v>
      </c>
      <c r="C1254" s="93" t="s">
        <v>648</v>
      </c>
      <c r="D1254" s="88" t="s">
        <v>38</v>
      </c>
      <c r="E1254" s="73"/>
      <c r="F1254" s="73"/>
      <c r="G1254" s="73"/>
      <c r="H1254" s="73"/>
      <c r="I1254" s="73"/>
      <c r="J1254" s="73"/>
      <c r="K1254" s="73"/>
      <c r="L1254" s="73"/>
      <c r="M1254" s="73"/>
      <c r="N1254" s="73"/>
      <c r="O1254" s="73"/>
      <c r="P1254" s="73"/>
      <c r="Q1254" s="73"/>
      <c r="R1254" s="73"/>
      <c r="S1254" s="73"/>
      <c r="T1254" s="73"/>
      <c r="U1254" s="73"/>
      <c r="V1254" s="73"/>
      <c r="W1254" s="73"/>
      <c r="X1254" s="73"/>
      <c r="Y1254" s="73"/>
      <c r="Z1254" s="73"/>
      <c r="AA1254" s="75"/>
      <c r="AB1254" s="75"/>
      <c r="AC1254" s="55"/>
      <c r="AD1254" s="89"/>
      <c r="AE1254" s="89"/>
      <c r="AF1254" s="89"/>
      <c r="AG1254" s="57"/>
      <c r="AH1254" s="58"/>
      <c r="AI1254" s="39"/>
      <c r="AK1254" s="41"/>
    </row>
    <row r="1255" spans="1:37" ht="21">
      <c r="A1255" s="32" t="s">
        <v>1936</v>
      </c>
      <c r="B1255" s="94" t="s">
        <v>171</v>
      </c>
      <c r="C1255" s="95" t="s">
        <v>670</v>
      </c>
      <c r="D1255" s="88"/>
      <c r="E1255" s="73"/>
      <c r="F1255" s="73"/>
      <c r="G1255" s="73"/>
      <c r="H1255" s="73"/>
      <c r="I1255" s="73"/>
      <c r="J1255" s="73"/>
      <c r="K1255" s="73"/>
      <c r="L1255" s="73"/>
      <c r="M1255" s="73"/>
      <c r="N1255" s="73"/>
      <c r="O1255" s="73"/>
      <c r="P1255" s="73"/>
      <c r="Q1255" s="73"/>
      <c r="R1255" s="73"/>
      <c r="S1255" s="73"/>
      <c r="T1255" s="73"/>
      <c r="U1255" s="73"/>
      <c r="V1255" s="73"/>
      <c r="W1255" s="73"/>
      <c r="X1255" s="73"/>
      <c r="Y1255" s="73"/>
      <c r="Z1255" s="73"/>
      <c r="AA1255" s="75"/>
      <c r="AB1255" s="75"/>
      <c r="AC1255" s="55"/>
      <c r="AD1255" s="89"/>
      <c r="AE1255" s="89"/>
      <c r="AF1255" s="89"/>
      <c r="AG1255" s="91"/>
      <c r="AH1255" s="48"/>
      <c r="AI1255" s="39"/>
      <c r="AK1255" s="41"/>
    </row>
    <row r="1256" spans="1:37" ht="21">
      <c r="A1256" s="32" t="s">
        <v>1937</v>
      </c>
      <c r="B1256" s="92" t="s">
        <v>643</v>
      </c>
      <c r="C1256" s="93" t="s">
        <v>644</v>
      </c>
      <c r="D1256" s="88" t="s">
        <v>38</v>
      </c>
      <c r="E1256" s="73"/>
      <c r="F1256" s="73"/>
      <c r="G1256" s="73"/>
      <c r="H1256" s="73"/>
      <c r="I1256" s="73"/>
      <c r="J1256" s="73"/>
      <c r="K1256" s="73"/>
      <c r="L1256" s="73"/>
      <c r="M1256" s="73"/>
      <c r="N1256" s="73"/>
      <c r="O1256" s="73"/>
      <c r="P1256" s="73"/>
      <c r="Q1256" s="73"/>
      <c r="R1256" s="73"/>
      <c r="S1256" s="73"/>
      <c r="T1256" s="73"/>
      <c r="U1256" s="73"/>
      <c r="V1256" s="73"/>
      <c r="W1256" s="73"/>
      <c r="X1256" s="73"/>
      <c r="Y1256" s="73"/>
      <c r="Z1256" s="73"/>
      <c r="AA1256" s="75"/>
      <c r="AB1256" s="75"/>
      <c r="AC1256" s="55"/>
      <c r="AD1256" s="89"/>
      <c r="AE1256" s="89"/>
      <c r="AF1256" s="89"/>
      <c r="AG1256" s="57"/>
      <c r="AH1256" s="58"/>
      <c r="AI1256" s="39"/>
      <c r="AK1256" s="41"/>
    </row>
    <row r="1257" spans="1:37" ht="21">
      <c r="A1257" s="32" t="s">
        <v>1938</v>
      </c>
      <c r="B1257" s="92" t="s">
        <v>645</v>
      </c>
      <c r="C1257" s="93" t="s">
        <v>646</v>
      </c>
      <c r="D1257" s="88" t="s">
        <v>38</v>
      </c>
      <c r="E1257" s="73"/>
      <c r="F1257" s="73"/>
      <c r="G1257" s="73"/>
      <c r="H1257" s="73"/>
      <c r="I1257" s="73"/>
      <c r="J1257" s="73"/>
      <c r="K1257" s="73"/>
      <c r="L1257" s="73"/>
      <c r="M1257" s="73"/>
      <c r="N1257" s="73"/>
      <c r="O1257" s="73"/>
      <c r="P1257" s="73"/>
      <c r="Q1257" s="73"/>
      <c r="R1257" s="73"/>
      <c r="S1257" s="73"/>
      <c r="T1257" s="73"/>
      <c r="U1257" s="73"/>
      <c r="V1257" s="73"/>
      <c r="W1257" s="73"/>
      <c r="X1257" s="73"/>
      <c r="Y1257" s="73"/>
      <c r="Z1257" s="73"/>
      <c r="AA1257" s="75"/>
      <c r="AB1257" s="75"/>
      <c r="AC1257" s="55"/>
      <c r="AD1257" s="89"/>
      <c r="AE1257" s="89"/>
      <c r="AF1257" s="89"/>
      <c r="AG1257" s="57"/>
      <c r="AH1257" s="58"/>
      <c r="AI1257" s="39"/>
      <c r="AK1257" s="41"/>
    </row>
    <row r="1258" spans="1:37" ht="21">
      <c r="A1258" s="32" t="s">
        <v>1939</v>
      </c>
      <c r="B1258" s="111" t="s">
        <v>647</v>
      </c>
      <c r="C1258" s="93" t="s">
        <v>648</v>
      </c>
      <c r="D1258" s="88" t="s">
        <v>38</v>
      </c>
      <c r="E1258" s="73"/>
      <c r="F1258" s="73"/>
      <c r="G1258" s="73"/>
      <c r="H1258" s="73"/>
      <c r="I1258" s="73"/>
      <c r="J1258" s="73"/>
      <c r="K1258" s="73"/>
      <c r="L1258" s="73"/>
      <c r="M1258" s="73"/>
      <c r="N1258" s="73"/>
      <c r="O1258" s="73"/>
      <c r="P1258" s="73"/>
      <c r="Q1258" s="73"/>
      <c r="R1258" s="73"/>
      <c r="S1258" s="73"/>
      <c r="T1258" s="73"/>
      <c r="U1258" s="73"/>
      <c r="V1258" s="73"/>
      <c r="W1258" s="73"/>
      <c r="X1258" s="73"/>
      <c r="Y1258" s="73"/>
      <c r="Z1258" s="73"/>
      <c r="AA1258" s="75"/>
      <c r="AB1258" s="75"/>
      <c r="AC1258" s="55"/>
      <c r="AD1258" s="89"/>
      <c r="AE1258" s="89"/>
      <c r="AF1258" s="89"/>
      <c r="AG1258" s="57"/>
      <c r="AH1258" s="58"/>
      <c r="AI1258" s="39"/>
      <c r="AK1258" s="41"/>
    </row>
    <row r="1259" spans="1:37" ht="21">
      <c r="A1259" s="32" t="s">
        <v>1940</v>
      </c>
      <c r="B1259" s="94" t="s">
        <v>40</v>
      </c>
      <c r="C1259" s="95" t="s">
        <v>1422</v>
      </c>
      <c r="D1259" s="88"/>
      <c r="E1259" s="73"/>
      <c r="F1259" s="73"/>
      <c r="G1259" s="73"/>
      <c r="H1259" s="73"/>
      <c r="I1259" s="73"/>
      <c r="J1259" s="73"/>
      <c r="K1259" s="73"/>
      <c r="L1259" s="73"/>
      <c r="M1259" s="73"/>
      <c r="N1259" s="73"/>
      <c r="O1259" s="73"/>
      <c r="P1259" s="73"/>
      <c r="Q1259" s="73"/>
      <c r="R1259" s="73"/>
      <c r="S1259" s="73"/>
      <c r="T1259" s="73"/>
      <c r="U1259" s="73"/>
      <c r="V1259" s="73"/>
      <c r="W1259" s="73"/>
      <c r="X1259" s="73"/>
      <c r="Y1259" s="73"/>
      <c r="Z1259" s="73"/>
      <c r="AA1259" s="75"/>
      <c r="AB1259" s="75"/>
      <c r="AC1259" s="55"/>
      <c r="AD1259" s="89"/>
      <c r="AE1259" s="89"/>
      <c r="AF1259" s="89"/>
      <c r="AG1259" s="91"/>
      <c r="AH1259" s="48"/>
      <c r="AI1259" s="39"/>
      <c r="AK1259" s="41"/>
    </row>
    <row r="1260" spans="1:37" ht="21">
      <c r="A1260" s="32" t="s">
        <v>1941</v>
      </c>
      <c r="B1260" s="94" t="s">
        <v>104</v>
      </c>
      <c r="C1260" s="95" t="s">
        <v>669</v>
      </c>
      <c r="D1260" s="88"/>
      <c r="E1260" s="73"/>
      <c r="F1260" s="73"/>
      <c r="G1260" s="73"/>
      <c r="H1260" s="73"/>
      <c r="I1260" s="73"/>
      <c r="J1260" s="73"/>
      <c r="K1260" s="73"/>
      <c r="L1260" s="73"/>
      <c r="M1260" s="73"/>
      <c r="N1260" s="73"/>
      <c r="O1260" s="73"/>
      <c r="P1260" s="73"/>
      <c r="Q1260" s="73"/>
      <c r="R1260" s="73"/>
      <c r="S1260" s="73"/>
      <c r="T1260" s="73"/>
      <c r="U1260" s="73"/>
      <c r="V1260" s="73"/>
      <c r="W1260" s="73"/>
      <c r="X1260" s="73"/>
      <c r="Y1260" s="73"/>
      <c r="Z1260" s="73"/>
      <c r="AA1260" s="75"/>
      <c r="AB1260" s="75"/>
      <c r="AC1260" s="55"/>
      <c r="AD1260" s="89"/>
      <c r="AE1260" s="89"/>
      <c r="AF1260" s="89"/>
      <c r="AG1260" s="91"/>
      <c r="AH1260" s="48"/>
      <c r="AI1260" s="39"/>
      <c r="AK1260" s="41"/>
    </row>
    <row r="1261" spans="1:37" ht="21">
      <c r="A1261" s="32" t="s">
        <v>1942</v>
      </c>
      <c r="B1261" s="92" t="s">
        <v>643</v>
      </c>
      <c r="C1261" s="93" t="s">
        <v>644</v>
      </c>
      <c r="D1261" s="88" t="s">
        <v>38</v>
      </c>
      <c r="E1261" s="73"/>
      <c r="F1261" s="73"/>
      <c r="G1261" s="73"/>
      <c r="H1261" s="73"/>
      <c r="I1261" s="73"/>
      <c r="J1261" s="73"/>
      <c r="K1261" s="73"/>
      <c r="L1261" s="73"/>
      <c r="M1261" s="73"/>
      <c r="N1261" s="73"/>
      <c r="O1261" s="73"/>
      <c r="P1261" s="73"/>
      <c r="Q1261" s="73"/>
      <c r="R1261" s="73"/>
      <c r="S1261" s="73"/>
      <c r="T1261" s="73"/>
      <c r="U1261" s="73"/>
      <c r="V1261" s="73"/>
      <c r="W1261" s="73"/>
      <c r="X1261" s="73"/>
      <c r="Y1261" s="73"/>
      <c r="Z1261" s="73"/>
      <c r="AA1261" s="75"/>
      <c r="AB1261" s="75"/>
      <c r="AC1261" s="55"/>
      <c r="AD1261" s="89"/>
      <c r="AE1261" s="89"/>
      <c r="AF1261" s="89"/>
      <c r="AG1261" s="57"/>
      <c r="AH1261" s="58"/>
      <c r="AI1261" s="39"/>
      <c r="AK1261" s="41"/>
    </row>
    <row r="1262" spans="1:37" ht="21">
      <c r="A1262" s="32" t="s">
        <v>1943</v>
      </c>
      <c r="B1262" s="92" t="s">
        <v>645</v>
      </c>
      <c r="C1262" s="93" t="s">
        <v>646</v>
      </c>
      <c r="D1262" s="88" t="s">
        <v>38</v>
      </c>
      <c r="E1262" s="73"/>
      <c r="F1262" s="73"/>
      <c r="G1262" s="73"/>
      <c r="H1262" s="73"/>
      <c r="I1262" s="73"/>
      <c r="J1262" s="73"/>
      <c r="K1262" s="73"/>
      <c r="L1262" s="73"/>
      <c r="M1262" s="73"/>
      <c r="N1262" s="73"/>
      <c r="O1262" s="73"/>
      <c r="P1262" s="73"/>
      <c r="Q1262" s="73"/>
      <c r="R1262" s="73"/>
      <c r="S1262" s="73"/>
      <c r="T1262" s="73"/>
      <c r="U1262" s="73"/>
      <c r="V1262" s="73"/>
      <c r="W1262" s="73"/>
      <c r="X1262" s="73"/>
      <c r="Y1262" s="73"/>
      <c r="Z1262" s="73"/>
      <c r="AA1262" s="75"/>
      <c r="AB1262" s="75"/>
      <c r="AC1262" s="55"/>
      <c r="AD1262" s="89"/>
      <c r="AE1262" s="89"/>
      <c r="AF1262" s="89"/>
      <c r="AG1262" s="57"/>
      <c r="AH1262" s="58"/>
      <c r="AI1262" s="39"/>
      <c r="AK1262" s="41"/>
    </row>
    <row r="1263" spans="1:37" ht="21">
      <c r="A1263" s="32" t="s">
        <v>1944</v>
      </c>
      <c r="B1263" s="92" t="s">
        <v>647</v>
      </c>
      <c r="C1263" s="93" t="s">
        <v>648</v>
      </c>
      <c r="D1263" s="88" t="s">
        <v>38</v>
      </c>
      <c r="E1263" s="73"/>
      <c r="F1263" s="73"/>
      <c r="G1263" s="73"/>
      <c r="H1263" s="73"/>
      <c r="I1263" s="73"/>
      <c r="J1263" s="73"/>
      <c r="K1263" s="73"/>
      <c r="L1263" s="73"/>
      <c r="M1263" s="73"/>
      <c r="N1263" s="73"/>
      <c r="O1263" s="73"/>
      <c r="P1263" s="73"/>
      <c r="Q1263" s="73"/>
      <c r="R1263" s="73"/>
      <c r="S1263" s="73"/>
      <c r="T1263" s="73"/>
      <c r="U1263" s="73"/>
      <c r="V1263" s="73"/>
      <c r="W1263" s="73"/>
      <c r="X1263" s="73"/>
      <c r="Y1263" s="73"/>
      <c r="Z1263" s="73"/>
      <c r="AA1263" s="75"/>
      <c r="AB1263" s="75"/>
      <c r="AC1263" s="55"/>
      <c r="AD1263" s="89"/>
      <c r="AE1263" s="89"/>
      <c r="AF1263" s="89"/>
      <c r="AG1263" s="57"/>
      <c r="AH1263" s="58"/>
      <c r="AI1263" s="39"/>
      <c r="AK1263" s="41"/>
    </row>
    <row r="1264" spans="1:37" ht="21">
      <c r="A1264" s="32" t="s">
        <v>1945</v>
      </c>
      <c r="B1264" s="94" t="s">
        <v>171</v>
      </c>
      <c r="C1264" s="95" t="s">
        <v>670</v>
      </c>
      <c r="D1264" s="88"/>
      <c r="E1264" s="73"/>
      <c r="F1264" s="73"/>
      <c r="G1264" s="73"/>
      <c r="H1264" s="73"/>
      <c r="I1264" s="73"/>
      <c r="J1264" s="73"/>
      <c r="K1264" s="73"/>
      <c r="L1264" s="73"/>
      <c r="M1264" s="73"/>
      <c r="N1264" s="73"/>
      <c r="O1264" s="73"/>
      <c r="P1264" s="73"/>
      <c r="Q1264" s="73"/>
      <c r="R1264" s="73"/>
      <c r="S1264" s="73"/>
      <c r="T1264" s="73"/>
      <c r="U1264" s="73"/>
      <c r="V1264" s="73"/>
      <c r="W1264" s="73"/>
      <c r="X1264" s="73"/>
      <c r="Y1264" s="73"/>
      <c r="Z1264" s="73"/>
      <c r="AA1264" s="75"/>
      <c r="AB1264" s="75"/>
      <c r="AC1264" s="55"/>
      <c r="AD1264" s="89"/>
      <c r="AE1264" s="89"/>
      <c r="AF1264" s="89"/>
      <c r="AG1264" s="91"/>
      <c r="AH1264" s="48"/>
      <c r="AI1264" s="39"/>
      <c r="AK1264" s="41"/>
    </row>
    <row r="1265" spans="1:37" ht="21">
      <c r="A1265" s="32" t="s">
        <v>1946</v>
      </c>
      <c r="B1265" s="92" t="s">
        <v>643</v>
      </c>
      <c r="C1265" s="93" t="s">
        <v>644</v>
      </c>
      <c r="D1265" s="88" t="s">
        <v>38</v>
      </c>
      <c r="E1265" s="73"/>
      <c r="F1265" s="73"/>
      <c r="G1265" s="73"/>
      <c r="H1265" s="73"/>
      <c r="I1265" s="73"/>
      <c r="J1265" s="73"/>
      <c r="K1265" s="73"/>
      <c r="L1265" s="73"/>
      <c r="M1265" s="73"/>
      <c r="N1265" s="73"/>
      <c r="O1265" s="73"/>
      <c r="P1265" s="73"/>
      <c r="Q1265" s="73"/>
      <c r="R1265" s="73"/>
      <c r="S1265" s="73"/>
      <c r="T1265" s="73"/>
      <c r="U1265" s="73"/>
      <c r="V1265" s="73"/>
      <c r="W1265" s="73"/>
      <c r="X1265" s="73"/>
      <c r="Y1265" s="73"/>
      <c r="Z1265" s="73"/>
      <c r="AA1265" s="75"/>
      <c r="AB1265" s="75"/>
      <c r="AC1265" s="55"/>
      <c r="AD1265" s="89"/>
      <c r="AE1265" s="89"/>
      <c r="AF1265" s="89"/>
      <c r="AG1265" s="57"/>
      <c r="AH1265" s="58"/>
      <c r="AI1265" s="39"/>
      <c r="AK1265" s="41"/>
    </row>
    <row r="1266" spans="1:37" ht="21">
      <c r="A1266" s="32" t="s">
        <v>1947</v>
      </c>
      <c r="B1266" s="92" t="s">
        <v>645</v>
      </c>
      <c r="C1266" s="93" t="s">
        <v>646</v>
      </c>
      <c r="D1266" s="88" t="s">
        <v>38</v>
      </c>
      <c r="E1266" s="73"/>
      <c r="F1266" s="73"/>
      <c r="G1266" s="73"/>
      <c r="H1266" s="73"/>
      <c r="I1266" s="73"/>
      <c r="J1266" s="73"/>
      <c r="K1266" s="73"/>
      <c r="L1266" s="73"/>
      <c r="M1266" s="73"/>
      <c r="N1266" s="73"/>
      <c r="O1266" s="73"/>
      <c r="P1266" s="73"/>
      <c r="Q1266" s="73"/>
      <c r="R1266" s="73"/>
      <c r="S1266" s="73"/>
      <c r="T1266" s="73"/>
      <c r="U1266" s="73"/>
      <c r="V1266" s="73"/>
      <c r="W1266" s="73"/>
      <c r="X1266" s="73"/>
      <c r="Y1266" s="73"/>
      <c r="Z1266" s="73"/>
      <c r="AA1266" s="75"/>
      <c r="AB1266" s="75"/>
      <c r="AC1266" s="55"/>
      <c r="AD1266" s="89"/>
      <c r="AE1266" s="89"/>
      <c r="AF1266" s="89"/>
      <c r="AG1266" s="57"/>
      <c r="AH1266" s="58"/>
      <c r="AI1266" s="39"/>
      <c r="AK1266" s="41"/>
    </row>
    <row r="1267" spans="1:37" ht="21">
      <c r="A1267" s="32" t="s">
        <v>1948</v>
      </c>
      <c r="B1267" s="92" t="s">
        <v>647</v>
      </c>
      <c r="C1267" s="93" t="s">
        <v>648</v>
      </c>
      <c r="D1267" s="88" t="s">
        <v>38</v>
      </c>
      <c r="E1267" s="73"/>
      <c r="F1267" s="73"/>
      <c r="G1267" s="73"/>
      <c r="H1267" s="73"/>
      <c r="I1267" s="73"/>
      <c r="J1267" s="73"/>
      <c r="K1267" s="73"/>
      <c r="L1267" s="73"/>
      <c r="M1267" s="73"/>
      <c r="N1267" s="73"/>
      <c r="O1267" s="73"/>
      <c r="P1267" s="73"/>
      <c r="Q1267" s="73"/>
      <c r="R1267" s="73"/>
      <c r="S1267" s="73"/>
      <c r="T1267" s="73"/>
      <c r="U1267" s="73"/>
      <c r="V1267" s="73"/>
      <c r="W1267" s="73"/>
      <c r="X1267" s="73"/>
      <c r="Y1267" s="73"/>
      <c r="Z1267" s="73"/>
      <c r="AA1267" s="75"/>
      <c r="AB1267" s="75"/>
      <c r="AC1267" s="55"/>
      <c r="AD1267" s="89"/>
      <c r="AE1267" s="89"/>
      <c r="AF1267" s="89"/>
      <c r="AG1267" s="57"/>
      <c r="AH1267" s="58"/>
      <c r="AI1267" s="39"/>
      <c r="AK1267" s="41"/>
    </row>
    <row r="1268" spans="1:37" ht="21">
      <c r="A1268" s="32" t="s">
        <v>1949</v>
      </c>
      <c r="B1268" s="94" t="s">
        <v>48</v>
      </c>
      <c r="C1268" s="95" t="s">
        <v>1421</v>
      </c>
      <c r="D1268" s="88"/>
      <c r="E1268" s="73"/>
      <c r="F1268" s="73"/>
      <c r="G1268" s="73"/>
      <c r="H1268" s="73"/>
      <c r="I1268" s="73"/>
      <c r="J1268" s="73"/>
      <c r="K1268" s="73"/>
      <c r="L1268" s="73"/>
      <c r="M1268" s="73"/>
      <c r="N1268" s="73"/>
      <c r="O1268" s="73"/>
      <c r="P1268" s="73"/>
      <c r="Q1268" s="73"/>
      <c r="R1268" s="73"/>
      <c r="S1268" s="73"/>
      <c r="T1268" s="73"/>
      <c r="U1268" s="73"/>
      <c r="V1268" s="73"/>
      <c r="W1268" s="73"/>
      <c r="X1268" s="73"/>
      <c r="Y1268" s="73"/>
      <c r="Z1268" s="73"/>
      <c r="AA1268" s="75"/>
      <c r="AB1268" s="75"/>
      <c r="AC1268" s="55"/>
      <c r="AD1268" s="89"/>
      <c r="AE1268" s="89"/>
      <c r="AF1268" s="89"/>
      <c r="AG1268" s="91"/>
      <c r="AH1268" s="48"/>
      <c r="AI1268" s="39"/>
      <c r="AK1268" s="41"/>
    </row>
    <row r="1269" spans="1:37" ht="21">
      <c r="A1269" s="32" t="s">
        <v>1950</v>
      </c>
      <c r="B1269" s="94" t="s">
        <v>104</v>
      </c>
      <c r="C1269" s="95" t="s">
        <v>671</v>
      </c>
      <c r="D1269" s="88"/>
      <c r="E1269" s="73"/>
      <c r="F1269" s="73"/>
      <c r="G1269" s="73"/>
      <c r="H1269" s="73"/>
      <c r="I1269" s="73"/>
      <c r="J1269" s="73"/>
      <c r="K1269" s="73"/>
      <c r="L1269" s="73"/>
      <c r="M1269" s="73"/>
      <c r="N1269" s="73"/>
      <c r="O1269" s="73"/>
      <c r="P1269" s="73"/>
      <c r="Q1269" s="73"/>
      <c r="R1269" s="73"/>
      <c r="S1269" s="73"/>
      <c r="T1269" s="73"/>
      <c r="U1269" s="73"/>
      <c r="V1269" s="73"/>
      <c r="W1269" s="73"/>
      <c r="X1269" s="73"/>
      <c r="Y1269" s="73"/>
      <c r="Z1269" s="73"/>
      <c r="AA1269" s="75"/>
      <c r="AB1269" s="75"/>
      <c r="AC1269" s="55"/>
      <c r="AD1269" s="89"/>
      <c r="AE1269" s="89"/>
      <c r="AF1269" s="89"/>
      <c r="AG1269" s="91"/>
      <c r="AH1269" s="48"/>
      <c r="AI1269" s="39"/>
      <c r="AK1269" s="41"/>
    </row>
    <row r="1270" spans="1:37" ht="21">
      <c r="A1270" s="32" t="s">
        <v>1951</v>
      </c>
      <c r="B1270" s="92" t="s">
        <v>643</v>
      </c>
      <c r="C1270" s="93" t="s">
        <v>644</v>
      </c>
      <c r="D1270" s="88" t="s">
        <v>38</v>
      </c>
      <c r="E1270" s="73"/>
      <c r="F1270" s="73"/>
      <c r="G1270" s="73"/>
      <c r="H1270" s="73"/>
      <c r="I1270" s="73"/>
      <c r="J1270" s="73"/>
      <c r="K1270" s="73"/>
      <c r="L1270" s="73"/>
      <c r="M1270" s="73"/>
      <c r="N1270" s="73"/>
      <c r="O1270" s="73"/>
      <c r="P1270" s="73"/>
      <c r="Q1270" s="73"/>
      <c r="R1270" s="73"/>
      <c r="S1270" s="73"/>
      <c r="T1270" s="73"/>
      <c r="U1270" s="73"/>
      <c r="V1270" s="73"/>
      <c r="W1270" s="73"/>
      <c r="X1270" s="73"/>
      <c r="Y1270" s="73"/>
      <c r="Z1270" s="73"/>
      <c r="AA1270" s="75"/>
      <c r="AB1270" s="75"/>
      <c r="AC1270" s="55"/>
      <c r="AD1270" s="89"/>
      <c r="AE1270" s="89"/>
      <c r="AF1270" s="89"/>
      <c r="AG1270" s="57"/>
      <c r="AH1270" s="58"/>
      <c r="AI1270" s="39"/>
      <c r="AK1270" s="41"/>
    </row>
    <row r="1271" spans="1:37" ht="21">
      <c r="A1271" s="32" t="s">
        <v>1952</v>
      </c>
      <c r="B1271" s="92" t="s">
        <v>645</v>
      </c>
      <c r="C1271" s="93" t="s">
        <v>646</v>
      </c>
      <c r="D1271" s="88" t="s">
        <v>38</v>
      </c>
      <c r="E1271" s="73"/>
      <c r="F1271" s="73"/>
      <c r="G1271" s="73"/>
      <c r="H1271" s="73"/>
      <c r="I1271" s="73"/>
      <c r="J1271" s="73"/>
      <c r="K1271" s="73"/>
      <c r="L1271" s="73"/>
      <c r="M1271" s="73"/>
      <c r="N1271" s="73"/>
      <c r="O1271" s="73"/>
      <c r="P1271" s="73"/>
      <c r="Q1271" s="73"/>
      <c r="R1271" s="73"/>
      <c r="S1271" s="73"/>
      <c r="T1271" s="73"/>
      <c r="U1271" s="73"/>
      <c r="V1271" s="73"/>
      <c r="W1271" s="73"/>
      <c r="X1271" s="73"/>
      <c r="Y1271" s="73"/>
      <c r="Z1271" s="73"/>
      <c r="AA1271" s="75"/>
      <c r="AB1271" s="75"/>
      <c r="AC1271" s="55"/>
      <c r="AD1271" s="89"/>
      <c r="AE1271" s="89"/>
      <c r="AF1271" s="89"/>
      <c r="AG1271" s="57"/>
      <c r="AH1271" s="58"/>
      <c r="AI1271" s="39"/>
      <c r="AK1271" s="41"/>
    </row>
    <row r="1272" spans="1:37" ht="21">
      <c r="A1272" s="32" t="s">
        <v>1953</v>
      </c>
      <c r="B1272" s="111" t="s">
        <v>647</v>
      </c>
      <c r="C1272" s="93" t="s">
        <v>648</v>
      </c>
      <c r="D1272" s="88" t="s">
        <v>38</v>
      </c>
      <c r="E1272" s="73"/>
      <c r="F1272" s="73"/>
      <c r="G1272" s="73"/>
      <c r="H1272" s="73"/>
      <c r="I1272" s="73"/>
      <c r="J1272" s="73"/>
      <c r="K1272" s="73"/>
      <c r="L1272" s="73"/>
      <c r="M1272" s="73"/>
      <c r="N1272" s="73"/>
      <c r="O1272" s="73"/>
      <c r="P1272" s="73"/>
      <c r="Q1272" s="73"/>
      <c r="R1272" s="73"/>
      <c r="S1272" s="73"/>
      <c r="T1272" s="73"/>
      <c r="U1272" s="73"/>
      <c r="V1272" s="73"/>
      <c r="W1272" s="73"/>
      <c r="X1272" s="73"/>
      <c r="Y1272" s="73"/>
      <c r="Z1272" s="73"/>
      <c r="AA1272" s="75"/>
      <c r="AB1272" s="75"/>
      <c r="AC1272" s="55"/>
      <c r="AD1272" s="89"/>
      <c r="AE1272" s="89"/>
      <c r="AF1272" s="89"/>
      <c r="AG1272" s="57"/>
      <c r="AH1272" s="58"/>
      <c r="AI1272" s="39"/>
      <c r="AK1272" s="41"/>
    </row>
    <row r="1273" spans="1:37" ht="21">
      <c r="A1273" s="32" t="s">
        <v>1954</v>
      </c>
      <c r="B1273" s="94" t="s">
        <v>171</v>
      </c>
      <c r="C1273" s="95" t="s">
        <v>672</v>
      </c>
      <c r="D1273" s="88"/>
      <c r="E1273" s="73"/>
      <c r="F1273" s="73"/>
      <c r="G1273" s="73"/>
      <c r="H1273" s="73"/>
      <c r="I1273" s="73"/>
      <c r="J1273" s="73"/>
      <c r="K1273" s="73"/>
      <c r="L1273" s="73"/>
      <c r="M1273" s="73"/>
      <c r="N1273" s="73"/>
      <c r="O1273" s="73"/>
      <c r="P1273" s="73"/>
      <c r="Q1273" s="73"/>
      <c r="R1273" s="73"/>
      <c r="S1273" s="73"/>
      <c r="T1273" s="73"/>
      <c r="U1273" s="73"/>
      <c r="V1273" s="73"/>
      <c r="W1273" s="73"/>
      <c r="X1273" s="73"/>
      <c r="Y1273" s="73"/>
      <c r="Z1273" s="73"/>
      <c r="AA1273" s="75"/>
      <c r="AB1273" s="75"/>
      <c r="AC1273" s="55"/>
      <c r="AD1273" s="89"/>
      <c r="AE1273" s="89"/>
      <c r="AF1273" s="89"/>
      <c r="AG1273" s="91"/>
      <c r="AH1273" s="48"/>
      <c r="AI1273" s="39"/>
      <c r="AK1273" s="41"/>
    </row>
    <row r="1274" spans="1:37" ht="21">
      <c r="A1274" s="32" t="s">
        <v>1955</v>
      </c>
      <c r="B1274" s="92" t="s">
        <v>643</v>
      </c>
      <c r="C1274" s="93" t="s">
        <v>644</v>
      </c>
      <c r="D1274" s="88" t="s">
        <v>38</v>
      </c>
      <c r="E1274" s="73"/>
      <c r="F1274" s="73"/>
      <c r="G1274" s="73"/>
      <c r="H1274" s="73"/>
      <c r="I1274" s="73"/>
      <c r="J1274" s="73"/>
      <c r="K1274" s="73"/>
      <c r="L1274" s="73"/>
      <c r="M1274" s="73"/>
      <c r="N1274" s="73"/>
      <c r="O1274" s="73"/>
      <c r="P1274" s="73"/>
      <c r="Q1274" s="73"/>
      <c r="R1274" s="73"/>
      <c r="S1274" s="73"/>
      <c r="T1274" s="73"/>
      <c r="U1274" s="73"/>
      <c r="V1274" s="73"/>
      <c r="W1274" s="73"/>
      <c r="X1274" s="73"/>
      <c r="Y1274" s="73"/>
      <c r="Z1274" s="73"/>
      <c r="AA1274" s="75"/>
      <c r="AB1274" s="75"/>
      <c r="AC1274" s="55"/>
      <c r="AD1274" s="89"/>
      <c r="AE1274" s="89"/>
      <c r="AF1274" s="89"/>
      <c r="AG1274" s="57"/>
      <c r="AH1274" s="58"/>
      <c r="AI1274" s="39"/>
      <c r="AK1274" s="41"/>
    </row>
    <row r="1275" spans="1:37" ht="21">
      <c r="A1275" s="32" t="s">
        <v>1956</v>
      </c>
      <c r="B1275" s="92" t="s">
        <v>645</v>
      </c>
      <c r="C1275" s="93" t="s">
        <v>646</v>
      </c>
      <c r="D1275" s="88" t="s">
        <v>38</v>
      </c>
      <c r="E1275" s="73"/>
      <c r="F1275" s="73"/>
      <c r="G1275" s="73"/>
      <c r="H1275" s="73"/>
      <c r="I1275" s="73"/>
      <c r="J1275" s="73"/>
      <c r="K1275" s="73"/>
      <c r="L1275" s="73"/>
      <c r="M1275" s="73"/>
      <c r="N1275" s="73"/>
      <c r="O1275" s="73"/>
      <c r="P1275" s="73"/>
      <c r="Q1275" s="73"/>
      <c r="R1275" s="73"/>
      <c r="S1275" s="73"/>
      <c r="T1275" s="73"/>
      <c r="U1275" s="73"/>
      <c r="V1275" s="73"/>
      <c r="W1275" s="73"/>
      <c r="X1275" s="73"/>
      <c r="Y1275" s="73"/>
      <c r="Z1275" s="73"/>
      <c r="AA1275" s="75"/>
      <c r="AB1275" s="75"/>
      <c r="AC1275" s="55"/>
      <c r="AD1275" s="89"/>
      <c r="AE1275" s="89"/>
      <c r="AF1275" s="89"/>
      <c r="AG1275" s="57"/>
      <c r="AH1275" s="58"/>
      <c r="AI1275" s="39"/>
      <c r="AK1275" s="41"/>
    </row>
    <row r="1276" spans="1:37" ht="21">
      <c r="A1276" s="32" t="s">
        <v>1957</v>
      </c>
      <c r="B1276" s="111" t="s">
        <v>647</v>
      </c>
      <c r="C1276" s="93" t="s">
        <v>648</v>
      </c>
      <c r="D1276" s="88" t="s">
        <v>38</v>
      </c>
      <c r="E1276" s="73"/>
      <c r="F1276" s="73"/>
      <c r="G1276" s="73"/>
      <c r="H1276" s="73"/>
      <c r="I1276" s="73"/>
      <c r="J1276" s="73"/>
      <c r="K1276" s="73"/>
      <c r="L1276" s="73"/>
      <c r="M1276" s="73"/>
      <c r="N1276" s="73"/>
      <c r="O1276" s="73"/>
      <c r="P1276" s="73"/>
      <c r="Q1276" s="73"/>
      <c r="R1276" s="73"/>
      <c r="S1276" s="73"/>
      <c r="T1276" s="73"/>
      <c r="U1276" s="73"/>
      <c r="V1276" s="73"/>
      <c r="W1276" s="73"/>
      <c r="X1276" s="73"/>
      <c r="Y1276" s="73"/>
      <c r="Z1276" s="73"/>
      <c r="AA1276" s="75"/>
      <c r="AB1276" s="75"/>
      <c r="AC1276" s="55"/>
      <c r="AD1276" s="89"/>
      <c r="AE1276" s="89"/>
      <c r="AF1276" s="89"/>
      <c r="AG1276" s="57"/>
      <c r="AH1276" s="58"/>
      <c r="AI1276" s="39"/>
      <c r="AK1276" s="41"/>
    </row>
    <row r="1277" spans="1:37" ht="21">
      <c r="A1277" s="32" t="s">
        <v>1958</v>
      </c>
      <c r="B1277" s="94" t="s">
        <v>492</v>
      </c>
      <c r="C1277" s="95" t="s">
        <v>673</v>
      </c>
      <c r="D1277" s="88"/>
      <c r="E1277" s="73"/>
      <c r="F1277" s="73"/>
      <c r="G1277" s="73"/>
      <c r="H1277" s="73"/>
      <c r="I1277" s="73"/>
      <c r="J1277" s="73"/>
      <c r="K1277" s="73"/>
      <c r="L1277" s="73"/>
      <c r="M1277" s="73"/>
      <c r="N1277" s="73"/>
      <c r="O1277" s="73"/>
      <c r="P1277" s="73"/>
      <c r="Q1277" s="73"/>
      <c r="R1277" s="73"/>
      <c r="S1277" s="73"/>
      <c r="T1277" s="73"/>
      <c r="U1277" s="73"/>
      <c r="V1277" s="73"/>
      <c r="W1277" s="73"/>
      <c r="X1277" s="73"/>
      <c r="Y1277" s="73"/>
      <c r="Z1277" s="73"/>
      <c r="AA1277" s="75"/>
      <c r="AB1277" s="75"/>
      <c r="AC1277" s="55"/>
      <c r="AD1277" s="89"/>
      <c r="AE1277" s="89"/>
      <c r="AF1277" s="89"/>
      <c r="AG1277" s="91"/>
      <c r="AH1277" s="48"/>
      <c r="AI1277" s="39"/>
      <c r="AK1277" s="41"/>
    </row>
    <row r="1278" spans="1:37" ht="21">
      <c r="A1278" s="32" t="s">
        <v>1959</v>
      </c>
      <c r="B1278" s="92" t="s">
        <v>643</v>
      </c>
      <c r="C1278" s="93" t="s">
        <v>644</v>
      </c>
      <c r="D1278" s="88" t="s">
        <v>38</v>
      </c>
      <c r="E1278" s="73"/>
      <c r="F1278" s="73"/>
      <c r="G1278" s="73"/>
      <c r="H1278" s="73"/>
      <c r="I1278" s="73"/>
      <c r="J1278" s="73"/>
      <c r="K1278" s="73"/>
      <c r="L1278" s="73"/>
      <c r="M1278" s="73"/>
      <c r="N1278" s="73"/>
      <c r="O1278" s="73"/>
      <c r="P1278" s="73"/>
      <c r="Q1278" s="73"/>
      <c r="R1278" s="73"/>
      <c r="S1278" s="73"/>
      <c r="T1278" s="73"/>
      <c r="U1278" s="73"/>
      <c r="V1278" s="73"/>
      <c r="W1278" s="73"/>
      <c r="X1278" s="73"/>
      <c r="Y1278" s="73"/>
      <c r="Z1278" s="73"/>
      <c r="AA1278" s="75"/>
      <c r="AB1278" s="75"/>
      <c r="AC1278" s="55"/>
      <c r="AD1278" s="89"/>
      <c r="AE1278" s="89"/>
      <c r="AF1278" s="89"/>
      <c r="AG1278" s="57"/>
      <c r="AH1278" s="58"/>
      <c r="AI1278" s="39"/>
      <c r="AK1278" s="41"/>
    </row>
    <row r="1279" spans="1:37" ht="21">
      <c r="A1279" s="32" t="s">
        <v>1960</v>
      </c>
      <c r="B1279" s="92" t="s">
        <v>645</v>
      </c>
      <c r="C1279" s="93" t="s">
        <v>646</v>
      </c>
      <c r="D1279" s="88" t="s">
        <v>38</v>
      </c>
      <c r="E1279" s="73"/>
      <c r="F1279" s="73"/>
      <c r="G1279" s="73"/>
      <c r="H1279" s="73"/>
      <c r="I1279" s="73"/>
      <c r="J1279" s="73"/>
      <c r="K1279" s="73"/>
      <c r="L1279" s="73"/>
      <c r="M1279" s="73"/>
      <c r="N1279" s="73"/>
      <c r="O1279" s="73"/>
      <c r="P1279" s="73"/>
      <c r="Q1279" s="73"/>
      <c r="R1279" s="73"/>
      <c r="S1279" s="73"/>
      <c r="T1279" s="73"/>
      <c r="U1279" s="73"/>
      <c r="V1279" s="73"/>
      <c r="W1279" s="73"/>
      <c r="X1279" s="73"/>
      <c r="Y1279" s="73"/>
      <c r="Z1279" s="73"/>
      <c r="AA1279" s="75"/>
      <c r="AB1279" s="75"/>
      <c r="AC1279" s="55"/>
      <c r="AD1279" s="89"/>
      <c r="AE1279" s="89"/>
      <c r="AF1279" s="89"/>
      <c r="AG1279" s="57"/>
      <c r="AH1279" s="58"/>
      <c r="AI1279" s="39"/>
      <c r="AK1279" s="41"/>
    </row>
    <row r="1280" spans="1:37" ht="21">
      <c r="A1280" s="32" t="s">
        <v>1961</v>
      </c>
      <c r="B1280" s="111" t="s">
        <v>647</v>
      </c>
      <c r="C1280" s="93" t="s">
        <v>648</v>
      </c>
      <c r="D1280" s="88" t="s">
        <v>38</v>
      </c>
      <c r="E1280" s="73"/>
      <c r="F1280" s="73"/>
      <c r="G1280" s="73"/>
      <c r="H1280" s="73"/>
      <c r="I1280" s="73"/>
      <c r="J1280" s="73"/>
      <c r="K1280" s="73"/>
      <c r="L1280" s="73"/>
      <c r="M1280" s="73"/>
      <c r="N1280" s="73"/>
      <c r="O1280" s="73"/>
      <c r="P1280" s="73"/>
      <c r="Q1280" s="73"/>
      <c r="R1280" s="73"/>
      <c r="S1280" s="73"/>
      <c r="T1280" s="73"/>
      <c r="U1280" s="73"/>
      <c r="V1280" s="73"/>
      <c r="W1280" s="73"/>
      <c r="X1280" s="73"/>
      <c r="Y1280" s="73"/>
      <c r="Z1280" s="73"/>
      <c r="AA1280" s="75"/>
      <c r="AB1280" s="75"/>
      <c r="AC1280" s="55"/>
      <c r="AD1280" s="89"/>
      <c r="AE1280" s="89"/>
      <c r="AF1280" s="89"/>
      <c r="AG1280" s="57"/>
      <c r="AH1280" s="58"/>
      <c r="AI1280" s="39"/>
      <c r="AK1280" s="41"/>
    </row>
    <row r="1281" spans="1:37" ht="21">
      <c r="A1281" s="32" t="s">
        <v>1962</v>
      </c>
      <c r="B1281" s="94" t="s">
        <v>55</v>
      </c>
      <c r="C1281" s="95" t="s">
        <v>1420</v>
      </c>
      <c r="D1281" s="88"/>
      <c r="E1281" s="73"/>
      <c r="F1281" s="73"/>
      <c r="G1281" s="73"/>
      <c r="H1281" s="73"/>
      <c r="I1281" s="73"/>
      <c r="J1281" s="73"/>
      <c r="K1281" s="73"/>
      <c r="L1281" s="73"/>
      <c r="M1281" s="73"/>
      <c r="N1281" s="73"/>
      <c r="O1281" s="73"/>
      <c r="P1281" s="73"/>
      <c r="Q1281" s="73"/>
      <c r="R1281" s="73"/>
      <c r="S1281" s="73"/>
      <c r="T1281" s="73"/>
      <c r="U1281" s="73"/>
      <c r="V1281" s="73"/>
      <c r="W1281" s="73"/>
      <c r="X1281" s="73"/>
      <c r="Y1281" s="73"/>
      <c r="Z1281" s="73"/>
      <c r="AA1281" s="75"/>
      <c r="AB1281" s="75"/>
      <c r="AC1281" s="55"/>
      <c r="AD1281" s="89"/>
      <c r="AE1281" s="89"/>
      <c r="AF1281" s="89"/>
      <c r="AG1281" s="91"/>
      <c r="AH1281" s="48"/>
      <c r="AI1281" s="39"/>
      <c r="AK1281" s="41"/>
    </row>
    <row r="1282" spans="1:37" ht="21">
      <c r="A1282" s="32" t="s">
        <v>1963</v>
      </c>
      <c r="B1282" s="94" t="s">
        <v>104</v>
      </c>
      <c r="C1282" s="95" t="s">
        <v>671</v>
      </c>
      <c r="D1282" s="88"/>
      <c r="E1282" s="73"/>
      <c r="F1282" s="73"/>
      <c r="G1282" s="73"/>
      <c r="H1282" s="73"/>
      <c r="I1282" s="73"/>
      <c r="J1282" s="73"/>
      <c r="K1282" s="73"/>
      <c r="L1282" s="73"/>
      <c r="M1282" s="73"/>
      <c r="N1282" s="73"/>
      <c r="O1282" s="73"/>
      <c r="P1282" s="73"/>
      <c r="Q1282" s="73"/>
      <c r="R1282" s="73"/>
      <c r="S1282" s="73"/>
      <c r="T1282" s="73"/>
      <c r="U1282" s="73"/>
      <c r="V1282" s="73"/>
      <c r="W1282" s="73"/>
      <c r="X1282" s="73"/>
      <c r="Y1282" s="73"/>
      <c r="Z1282" s="73"/>
      <c r="AA1282" s="75"/>
      <c r="AB1282" s="75"/>
      <c r="AC1282" s="55"/>
      <c r="AD1282" s="89"/>
      <c r="AE1282" s="89"/>
      <c r="AF1282" s="89"/>
      <c r="AG1282" s="91"/>
      <c r="AH1282" s="48"/>
      <c r="AI1282" s="39"/>
      <c r="AK1282" s="41"/>
    </row>
    <row r="1283" spans="1:37" ht="21">
      <c r="A1283" s="32" t="s">
        <v>1964</v>
      </c>
      <c r="B1283" s="92" t="s">
        <v>643</v>
      </c>
      <c r="C1283" s="93" t="s">
        <v>644</v>
      </c>
      <c r="D1283" s="88" t="s">
        <v>38</v>
      </c>
      <c r="E1283" s="73"/>
      <c r="F1283" s="73"/>
      <c r="G1283" s="73"/>
      <c r="H1283" s="73"/>
      <c r="I1283" s="73"/>
      <c r="J1283" s="73"/>
      <c r="K1283" s="73"/>
      <c r="L1283" s="73"/>
      <c r="M1283" s="73"/>
      <c r="N1283" s="73"/>
      <c r="O1283" s="73"/>
      <c r="P1283" s="73"/>
      <c r="Q1283" s="73"/>
      <c r="R1283" s="73"/>
      <c r="S1283" s="73"/>
      <c r="T1283" s="73"/>
      <c r="U1283" s="73"/>
      <c r="V1283" s="73"/>
      <c r="W1283" s="73"/>
      <c r="X1283" s="73"/>
      <c r="Y1283" s="73"/>
      <c r="Z1283" s="73"/>
      <c r="AA1283" s="75"/>
      <c r="AB1283" s="75"/>
      <c r="AC1283" s="55"/>
      <c r="AD1283" s="89"/>
      <c r="AE1283" s="89"/>
      <c r="AF1283" s="89"/>
      <c r="AG1283" s="57"/>
      <c r="AH1283" s="58"/>
      <c r="AI1283" s="39"/>
      <c r="AK1283" s="41"/>
    </row>
    <row r="1284" spans="1:37" ht="21">
      <c r="A1284" s="32" t="s">
        <v>1965</v>
      </c>
      <c r="B1284" s="92" t="s">
        <v>645</v>
      </c>
      <c r="C1284" s="93" t="s">
        <v>646</v>
      </c>
      <c r="D1284" s="88" t="s">
        <v>38</v>
      </c>
      <c r="E1284" s="73"/>
      <c r="F1284" s="73"/>
      <c r="G1284" s="73"/>
      <c r="H1284" s="73"/>
      <c r="I1284" s="73"/>
      <c r="J1284" s="73"/>
      <c r="K1284" s="73"/>
      <c r="L1284" s="73"/>
      <c r="M1284" s="73"/>
      <c r="N1284" s="73"/>
      <c r="O1284" s="73"/>
      <c r="P1284" s="73"/>
      <c r="Q1284" s="73"/>
      <c r="R1284" s="73"/>
      <c r="S1284" s="73"/>
      <c r="T1284" s="73"/>
      <c r="U1284" s="73"/>
      <c r="V1284" s="73"/>
      <c r="W1284" s="73"/>
      <c r="X1284" s="73"/>
      <c r="Y1284" s="73"/>
      <c r="Z1284" s="73"/>
      <c r="AA1284" s="75"/>
      <c r="AB1284" s="75"/>
      <c r="AC1284" s="55"/>
      <c r="AD1284" s="89"/>
      <c r="AE1284" s="89"/>
      <c r="AF1284" s="89"/>
      <c r="AG1284" s="57"/>
      <c r="AH1284" s="58"/>
      <c r="AI1284" s="39"/>
      <c r="AK1284" s="41"/>
    </row>
    <row r="1285" spans="1:37" ht="21">
      <c r="A1285" s="32" t="s">
        <v>1966</v>
      </c>
      <c r="B1285" s="111" t="s">
        <v>647</v>
      </c>
      <c r="C1285" s="93" t="s">
        <v>648</v>
      </c>
      <c r="D1285" s="88" t="s">
        <v>38</v>
      </c>
      <c r="E1285" s="73"/>
      <c r="F1285" s="73"/>
      <c r="G1285" s="73"/>
      <c r="H1285" s="73"/>
      <c r="I1285" s="73"/>
      <c r="J1285" s="73"/>
      <c r="K1285" s="73"/>
      <c r="L1285" s="73"/>
      <c r="M1285" s="73"/>
      <c r="N1285" s="73"/>
      <c r="O1285" s="73"/>
      <c r="P1285" s="73"/>
      <c r="Q1285" s="73"/>
      <c r="R1285" s="73"/>
      <c r="S1285" s="73"/>
      <c r="T1285" s="73"/>
      <c r="U1285" s="73"/>
      <c r="V1285" s="73"/>
      <c r="W1285" s="73"/>
      <c r="X1285" s="73"/>
      <c r="Y1285" s="73"/>
      <c r="Z1285" s="73"/>
      <c r="AA1285" s="75"/>
      <c r="AB1285" s="75"/>
      <c r="AC1285" s="55"/>
      <c r="AD1285" s="89"/>
      <c r="AE1285" s="89"/>
      <c r="AF1285" s="89"/>
      <c r="AG1285" s="57"/>
      <c r="AH1285" s="58"/>
      <c r="AI1285" s="39"/>
      <c r="AK1285" s="41"/>
    </row>
    <row r="1286" spans="1:37" ht="21">
      <c r="A1286" s="32" t="s">
        <v>1967</v>
      </c>
      <c r="B1286" s="94" t="s">
        <v>171</v>
      </c>
      <c r="C1286" s="95" t="s">
        <v>672</v>
      </c>
      <c r="D1286" s="88"/>
      <c r="E1286" s="73"/>
      <c r="F1286" s="73"/>
      <c r="G1286" s="73"/>
      <c r="H1286" s="73"/>
      <c r="I1286" s="73"/>
      <c r="J1286" s="73"/>
      <c r="K1286" s="73"/>
      <c r="L1286" s="73"/>
      <c r="M1286" s="73"/>
      <c r="N1286" s="73"/>
      <c r="O1286" s="73"/>
      <c r="P1286" s="73"/>
      <c r="Q1286" s="73"/>
      <c r="R1286" s="73"/>
      <c r="S1286" s="73"/>
      <c r="T1286" s="73"/>
      <c r="U1286" s="73"/>
      <c r="V1286" s="73"/>
      <c r="W1286" s="73"/>
      <c r="X1286" s="73"/>
      <c r="Y1286" s="73"/>
      <c r="Z1286" s="73"/>
      <c r="AA1286" s="75"/>
      <c r="AB1286" s="75"/>
      <c r="AC1286" s="55"/>
      <c r="AD1286" s="89"/>
      <c r="AE1286" s="89"/>
      <c r="AF1286" s="89"/>
      <c r="AG1286" s="91"/>
      <c r="AH1286" s="48"/>
      <c r="AI1286" s="39"/>
      <c r="AK1286" s="41"/>
    </row>
    <row r="1287" spans="1:37" ht="21">
      <c r="A1287" s="32" t="s">
        <v>1968</v>
      </c>
      <c r="B1287" s="92" t="s">
        <v>643</v>
      </c>
      <c r="C1287" s="93" t="s">
        <v>644</v>
      </c>
      <c r="D1287" s="88" t="s">
        <v>38</v>
      </c>
      <c r="E1287" s="73"/>
      <c r="F1287" s="73"/>
      <c r="G1287" s="73"/>
      <c r="H1287" s="73"/>
      <c r="I1287" s="73"/>
      <c r="J1287" s="73"/>
      <c r="K1287" s="73"/>
      <c r="L1287" s="73"/>
      <c r="M1287" s="73"/>
      <c r="N1287" s="73"/>
      <c r="O1287" s="73"/>
      <c r="P1287" s="73"/>
      <c r="Q1287" s="73"/>
      <c r="R1287" s="73"/>
      <c r="S1287" s="73"/>
      <c r="T1287" s="73"/>
      <c r="U1287" s="73"/>
      <c r="V1287" s="73"/>
      <c r="W1287" s="73"/>
      <c r="X1287" s="73"/>
      <c r="Y1287" s="73"/>
      <c r="Z1287" s="73"/>
      <c r="AA1287" s="75"/>
      <c r="AB1287" s="75"/>
      <c r="AC1287" s="55"/>
      <c r="AD1287" s="89"/>
      <c r="AE1287" s="89"/>
      <c r="AF1287" s="89"/>
      <c r="AG1287" s="57"/>
      <c r="AH1287" s="58"/>
      <c r="AI1287" s="39"/>
      <c r="AK1287" s="41"/>
    </row>
    <row r="1288" spans="1:37" ht="21">
      <c r="A1288" s="32" t="s">
        <v>1969</v>
      </c>
      <c r="B1288" s="92" t="s">
        <v>645</v>
      </c>
      <c r="C1288" s="93" t="s">
        <v>646</v>
      </c>
      <c r="D1288" s="88" t="s">
        <v>38</v>
      </c>
      <c r="E1288" s="73"/>
      <c r="F1288" s="73"/>
      <c r="G1288" s="73"/>
      <c r="H1288" s="73"/>
      <c r="I1288" s="73"/>
      <c r="J1288" s="73"/>
      <c r="K1288" s="73"/>
      <c r="L1288" s="73"/>
      <c r="M1288" s="73"/>
      <c r="N1288" s="73"/>
      <c r="O1288" s="73"/>
      <c r="P1288" s="73"/>
      <c r="Q1288" s="73"/>
      <c r="R1288" s="73"/>
      <c r="S1288" s="73"/>
      <c r="T1288" s="73"/>
      <c r="U1288" s="73"/>
      <c r="V1288" s="73"/>
      <c r="W1288" s="73"/>
      <c r="X1288" s="73"/>
      <c r="Y1288" s="73"/>
      <c r="Z1288" s="73"/>
      <c r="AA1288" s="75"/>
      <c r="AB1288" s="75"/>
      <c r="AC1288" s="55"/>
      <c r="AD1288" s="89"/>
      <c r="AE1288" s="89"/>
      <c r="AF1288" s="89"/>
      <c r="AG1288" s="57"/>
      <c r="AH1288" s="58"/>
      <c r="AI1288" s="39"/>
      <c r="AK1288" s="41"/>
    </row>
    <row r="1289" spans="1:37" ht="21">
      <c r="A1289" s="32" t="s">
        <v>1970</v>
      </c>
      <c r="B1289" s="111" t="s">
        <v>647</v>
      </c>
      <c r="C1289" s="93" t="s">
        <v>648</v>
      </c>
      <c r="D1289" s="88" t="s">
        <v>38</v>
      </c>
      <c r="E1289" s="73"/>
      <c r="F1289" s="73"/>
      <c r="G1289" s="73"/>
      <c r="H1289" s="73"/>
      <c r="I1289" s="73"/>
      <c r="J1289" s="73"/>
      <c r="K1289" s="73"/>
      <c r="L1289" s="73"/>
      <c r="M1289" s="73"/>
      <c r="N1289" s="73"/>
      <c r="O1289" s="73"/>
      <c r="P1289" s="73"/>
      <c r="Q1289" s="73"/>
      <c r="R1289" s="73"/>
      <c r="S1289" s="73"/>
      <c r="T1289" s="73"/>
      <c r="U1289" s="73"/>
      <c r="V1289" s="73"/>
      <c r="W1289" s="73"/>
      <c r="X1289" s="73"/>
      <c r="Y1289" s="73"/>
      <c r="Z1289" s="73"/>
      <c r="AA1289" s="75"/>
      <c r="AB1289" s="75"/>
      <c r="AC1289" s="55"/>
      <c r="AD1289" s="89"/>
      <c r="AE1289" s="89"/>
      <c r="AF1289" s="89"/>
      <c r="AG1289" s="57"/>
      <c r="AH1289" s="58"/>
      <c r="AI1289" s="39"/>
      <c r="AK1289" s="41"/>
    </row>
    <row r="1290" spans="1:37" ht="21">
      <c r="A1290" s="32" t="s">
        <v>1971</v>
      </c>
      <c r="B1290" s="94" t="s">
        <v>492</v>
      </c>
      <c r="C1290" s="95" t="s">
        <v>673</v>
      </c>
      <c r="D1290" s="88"/>
      <c r="E1290" s="73"/>
      <c r="F1290" s="73"/>
      <c r="G1290" s="73"/>
      <c r="H1290" s="73"/>
      <c r="I1290" s="73"/>
      <c r="J1290" s="73"/>
      <c r="K1290" s="73"/>
      <c r="L1290" s="73"/>
      <c r="M1290" s="73"/>
      <c r="N1290" s="73"/>
      <c r="O1290" s="73"/>
      <c r="P1290" s="73"/>
      <c r="Q1290" s="73"/>
      <c r="R1290" s="73"/>
      <c r="S1290" s="73"/>
      <c r="T1290" s="73"/>
      <c r="U1290" s="73"/>
      <c r="V1290" s="73"/>
      <c r="W1290" s="73"/>
      <c r="X1290" s="73"/>
      <c r="Y1290" s="73"/>
      <c r="Z1290" s="73"/>
      <c r="AA1290" s="75"/>
      <c r="AB1290" s="75"/>
      <c r="AC1290" s="55"/>
      <c r="AD1290" s="89"/>
      <c r="AE1290" s="89"/>
      <c r="AF1290" s="89"/>
      <c r="AG1290" s="91"/>
      <c r="AH1290" s="48"/>
      <c r="AI1290" s="39"/>
      <c r="AK1290" s="41"/>
    </row>
    <row r="1291" spans="1:37" ht="21">
      <c r="A1291" s="32" t="s">
        <v>1972</v>
      </c>
      <c r="B1291" s="92" t="s">
        <v>643</v>
      </c>
      <c r="C1291" s="93" t="s">
        <v>644</v>
      </c>
      <c r="D1291" s="88" t="s">
        <v>38</v>
      </c>
      <c r="E1291" s="73"/>
      <c r="F1291" s="73"/>
      <c r="G1291" s="73"/>
      <c r="H1291" s="73"/>
      <c r="I1291" s="73"/>
      <c r="J1291" s="73"/>
      <c r="K1291" s="73"/>
      <c r="L1291" s="73"/>
      <c r="M1291" s="73"/>
      <c r="N1291" s="73"/>
      <c r="O1291" s="73"/>
      <c r="P1291" s="73"/>
      <c r="Q1291" s="73"/>
      <c r="R1291" s="73"/>
      <c r="S1291" s="73"/>
      <c r="T1291" s="73"/>
      <c r="U1291" s="73"/>
      <c r="V1291" s="73"/>
      <c r="W1291" s="73"/>
      <c r="X1291" s="73"/>
      <c r="Y1291" s="73"/>
      <c r="Z1291" s="73"/>
      <c r="AA1291" s="75"/>
      <c r="AB1291" s="75"/>
      <c r="AC1291" s="55"/>
      <c r="AD1291" s="89"/>
      <c r="AE1291" s="89"/>
      <c r="AF1291" s="89"/>
      <c r="AG1291" s="57"/>
      <c r="AH1291" s="58"/>
      <c r="AI1291" s="39"/>
      <c r="AK1291" s="41"/>
    </row>
    <row r="1292" spans="1:37" ht="21">
      <c r="A1292" s="32" t="s">
        <v>1973</v>
      </c>
      <c r="B1292" s="92" t="s">
        <v>645</v>
      </c>
      <c r="C1292" s="93" t="s">
        <v>646</v>
      </c>
      <c r="D1292" s="88" t="s">
        <v>38</v>
      </c>
      <c r="E1292" s="73"/>
      <c r="F1292" s="73"/>
      <c r="G1292" s="73"/>
      <c r="H1292" s="73"/>
      <c r="I1292" s="73"/>
      <c r="J1292" s="73"/>
      <c r="K1292" s="73"/>
      <c r="L1292" s="73"/>
      <c r="M1292" s="73"/>
      <c r="N1292" s="73"/>
      <c r="O1292" s="73"/>
      <c r="P1292" s="73"/>
      <c r="Q1292" s="73"/>
      <c r="R1292" s="73"/>
      <c r="S1292" s="73"/>
      <c r="T1292" s="73"/>
      <c r="U1292" s="73"/>
      <c r="V1292" s="73"/>
      <c r="W1292" s="73"/>
      <c r="X1292" s="73"/>
      <c r="Y1292" s="73"/>
      <c r="Z1292" s="73"/>
      <c r="AA1292" s="75"/>
      <c r="AB1292" s="75"/>
      <c r="AC1292" s="55"/>
      <c r="AD1292" s="89"/>
      <c r="AE1292" s="89"/>
      <c r="AF1292" s="89"/>
      <c r="AG1292" s="57"/>
      <c r="AH1292" s="58"/>
      <c r="AI1292" s="39"/>
      <c r="AK1292" s="41"/>
    </row>
    <row r="1293" spans="1:37" ht="21">
      <c r="A1293" s="32" t="s">
        <v>1974</v>
      </c>
      <c r="B1293" s="111" t="s">
        <v>647</v>
      </c>
      <c r="C1293" s="93" t="s">
        <v>648</v>
      </c>
      <c r="D1293" s="88" t="s">
        <v>38</v>
      </c>
      <c r="E1293" s="73"/>
      <c r="F1293" s="73"/>
      <c r="G1293" s="73"/>
      <c r="H1293" s="73"/>
      <c r="I1293" s="73"/>
      <c r="J1293" s="73"/>
      <c r="K1293" s="73"/>
      <c r="L1293" s="73"/>
      <c r="M1293" s="73"/>
      <c r="N1293" s="73"/>
      <c r="O1293" s="73"/>
      <c r="P1293" s="73"/>
      <c r="Q1293" s="73"/>
      <c r="R1293" s="73"/>
      <c r="S1293" s="73"/>
      <c r="T1293" s="73"/>
      <c r="U1293" s="73"/>
      <c r="V1293" s="73"/>
      <c r="W1293" s="73"/>
      <c r="X1293" s="73"/>
      <c r="Y1293" s="73"/>
      <c r="Z1293" s="73"/>
      <c r="AA1293" s="75"/>
      <c r="AB1293" s="75"/>
      <c r="AC1293" s="55"/>
      <c r="AD1293" s="89"/>
      <c r="AE1293" s="89"/>
      <c r="AF1293" s="89"/>
      <c r="AG1293" s="57"/>
      <c r="AH1293" s="58"/>
      <c r="AI1293" s="39"/>
      <c r="AK1293" s="41"/>
    </row>
    <row r="1294" spans="1:37" ht="21">
      <c r="A1294" s="32" t="s">
        <v>1975</v>
      </c>
      <c r="B1294" s="94" t="s">
        <v>57</v>
      </c>
      <c r="C1294" s="95" t="s">
        <v>674</v>
      </c>
      <c r="D1294" s="88"/>
      <c r="E1294" s="73"/>
      <c r="F1294" s="73"/>
      <c r="G1294" s="73"/>
      <c r="H1294" s="73"/>
      <c r="I1294" s="73"/>
      <c r="J1294" s="73"/>
      <c r="K1294" s="73"/>
      <c r="L1294" s="73"/>
      <c r="M1294" s="73"/>
      <c r="N1294" s="73"/>
      <c r="O1294" s="73"/>
      <c r="P1294" s="73"/>
      <c r="Q1294" s="73"/>
      <c r="R1294" s="73"/>
      <c r="S1294" s="73"/>
      <c r="T1294" s="73"/>
      <c r="U1294" s="73"/>
      <c r="V1294" s="73"/>
      <c r="W1294" s="73"/>
      <c r="X1294" s="73"/>
      <c r="Y1294" s="73"/>
      <c r="Z1294" s="73"/>
      <c r="AA1294" s="75"/>
      <c r="AB1294" s="75"/>
      <c r="AC1294" s="55"/>
      <c r="AD1294" s="89"/>
      <c r="AE1294" s="89"/>
      <c r="AF1294" s="89"/>
      <c r="AG1294" s="91"/>
      <c r="AH1294" s="48"/>
      <c r="AI1294" s="39"/>
      <c r="AK1294" s="41"/>
    </row>
    <row r="1295" spans="1:37" ht="21">
      <c r="A1295" s="32" t="s">
        <v>1976</v>
      </c>
      <c r="B1295" s="94" t="s">
        <v>104</v>
      </c>
      <c r="C1295" s="95" t="s">
        <v>675</v>
      </c>
      <c r="D1295" s="88"/>
      <c r="E1295" s="73"/>
      <c r="F1295" s="73"/>
      <c r="G1295" s="73"/>
      <c r="H1295" s="73"/>
      <c r="I1295" s="73"/>
      <c r="J1295" s="73"/>
      <c r="K1295" s="73"/>
      <c r="L1295" s="73"/>
      <c r="M1295" s="73"/>
      <c r="N1295" s="73"/>
      <c r="O1295" s="73"/>
      <c r="P1295" s="73"/>
      <c r="Q1295" s="73"/>
      <c r="R1295" s="73"/>
      <c r="S1295" s="73"/>
      <c r="T1295" s="73"/>
      <c r="U1295" s="73"/>
      <c r="V1295" s="73"/>
      <c r="W1295" s="73"/>
      <c r="X1295" s="73"/>
      <c r="Y1295" s="73"/>
      <c r="Z1295" s="73"/>
      <c r="AA1295" s="75"/>
      <c r="AB1295" s="75"/>
      <c r="AC1295" s="55"/>
      <c r="AD1295" s="89"/>
      <c r="AE1295" s="89"/>
      <c r="AF1295" s="89"/>
      <c r="AG1295" s="91"/>
      <c r="AH1295" s="48"/>
      <c r="AI1295" s="39"/>
      <c r="AK1295" s="41"/>
    </row>
    <row r="1296" spans="1:37" ht="21">
      <c r="A1296" s="32" t="s">
        <v>1977</v>
      </c>
      <c r="B1296" s="92" t="s">
        <v>643</v>
      </c>
      <c r="C1296" s="93" t="s">
        <v>644</v>
      </c>
      <c r="D1296" s="88" t="s">
        <v>38</v>
      </c>
      <c r="E1296" s="73"/>
      <c r="F1296" s="73"/>
      <c r="G1296" s="73"/>
      <c r="H1296" s="73"/>
      <c r="I1296" s="73"/>
      <c r="J1296" s="73"/>
      <c r="K1296" s="73"/>
      <c r="L1296" s="73"/>
      <c r="M1296" s="73"/>
      <c r="N1296" s="73"/>
      <c r="O1296" s="73"/>
      <c r="P1296" s="73"/>
      <c r="Q1296" s="73"/>
      <c r="R1296" s="73"/>
      <c r="S1296" s="73"/>
      <c r="T1296" s="73"/>
      <c r="U1296" s="73"/>
      <c r="V1296" s="73"/>
      <c r="W1296" s="73"/>
      <c r="X1296" s="73"/>
      <c r="Y1296" s="73"/>
      <c r="Z1296" s="73"/>
      <c r="AA1296" s="75"/>
      <c r="AB1296" s="75"/>
      <c r="AC1296" s="55"/>
      <c r="AD1296" s="89"/>
      <c r="AE1296" s="89"/>
      <c r="AF1296" s="89"/>
      <c r="AG1296" s="57"/>
      <c r="AH1296" s="58"/>
      <c r="AI1296" s="39"/>
      <c r="AK1296" s="41"/>
    </row>
    <row r="1297" spans="1:37" ht="21">
      <c r="A1297" s="32" t="s">
        <v>1978</v>
      </c>
      <c r="B1297" s="92" t="s">
        <v>645</v>
      </c>
      <c r="C1297" s="93" t="s">
        <v>646</v>
      </c>
      <c r="D1297" s="88" t="s">
        <v>38</v>
      </c>
      <c r="E1297" s="73"/>
      <c r="F1297" s="73"/>
      <c r="G1297" s="73"/>
      <c r="H1297" s="73"/>
      <c r="I1297" s="73"/>
      <c r="J1297" s="73"/>
      <c r="K1297" s="73"/>
      <c r="L1297" s="73"/>
      <c r="M1297" s="73"/>
      <c r="N1297" s="73"/>
      <c r="O1297" s="73"/>
      <c r="P1297" s="73"/>
      <c r="Q1297" s="73"/>
      <c r="R1297" s="73"/>
      <c r="S1297" s="73"/>
      <c r="T1297" s="73"/>
      <c r="U1297" s="73"/>
      <c r="V1297" s="73"/>
      <c r="W1297" s="73"/>
      <c r="X1297" s="73"/>
      <c r="Y1297" s="73"/>
      <c r="Z1297" s="73"/>
      <c r="AA1297" s="75"/>
      <c r="AB1297" s="75"/>
      <c r="AC1297" s="55"/>
      <c r="AD1297" s="89"/>
      <c r="AE1297" s="89"/>
      <c r="AF1297" s="89"/>
      <c r="AG1297" s="57"/>
      <c r="AH1297" s="58"/>
      <c r="AI1297" s="39"/>
      <c r="AK1297" s="41"/>
    </row>
    <row r="1298" spans="1:37" ht="21">
      <c r="A1298" s="32" t="s">
        <v>1979</v>
      </c>
      <c r="B1298" s="111" t="s">
        <v>647</v>
      </c>
      <c r="C1298" s="93" t="s">
        <v>648</v>
      </c>
      <c r="D1298" s="88" t="s">
        <v>38</v>
      </c>
      <c r="E1298" s="73"/>
      <c r="F1298" s="73"/>
      <c r="G1298" s="73"/>
      <c r="H1298" s="73"/>
      <c r="I1298" s="73"/>
      <c r="J1298" s="73"/>
      <c r="K1298" s="73"/>
      <c r="L1298" s="73"/>
      <c r="M1298" s="73"/>
      <c r="N1298" s="73"/>
      <c r="O1298" s="73"/>
      <c r="P1298" s="73"/>
      <c r="Q1298" s="73"/>
      <c r="R1298" s="73"/>
      <c r="S1298" s="73"/>
      <c r="T1298" s="73"/>
      <c r="U1298" s="73"/>
      <c r="V1298" s="73"/>
      <c r="W1298" s="73"/>
      <c r="X1298" s="73"/>
      <c r="Y1298" s="73"/>
      <c r="Z1298" s="73"/>
      <c r="AA1298" s="75"/>
      <c r="AB1298" s="75"/>
      <c r="AC1298" s="55"/>
      <c r="AD1298" s="89"/>
      <c r="AE1298" s="89"/>
      <c r="AF1298" s="89"/>
      <c r="AG1298" s="57"/>
      <c r="AH1298" s="58"/>
      <c r="AI1298" s="39"/>
      <c r="AK1298" s="41"/>
    </row>
    <row r="1299" spans="1:37" ht="27.75">
      <c r="A1299" s="32" t="s">
        <v>1980</v>
      </c>
      <c r="B1299" s="94" t="s">
        <v>171</v>
      </c>
      <c r="C1299" s="95" t="s">
        <v>676</v>
      </c>
      <c r="D1299" s="88"/>
      <c r="E1299" s="73"/>
      <c r="F1299" s="73"/>
      <c r="G1299" s="73"/>
      <c r="H1299" s="73"/>
      <c r="I1299" s="73"/>
      <c r="J1299" s="73"/>
      <c r="K1299" s="73"/>
      <c r="L1299" s="73"/>
      <c r="M1299" s="73"/>
      <c r="N1299" s="73"/>
      <c r="O1299" s="73"/>
      <c r="P1299" s="73"/>
      <c r="Q1299" s="73"/>
      <c r="R1299" s="73"/>
      <c r="S1299" s="73"/>
      <c r="T1299" s="73"/>
      <c r="U1299" s="73"/>
      <c r="V1299" s="73"/>
      <c r="W1299" s="73"/>
      <c r="X1299" s="73"/>
      <c r="Y1299" s="73"/>
      <c r="Z1299" s="73"/>
      <c r="AA1299" s="75"/>
      <c r="AB1299" s="75"/>
      <c r="AC1299" s="55"/>
      <c r="AD1299" s="89"/>
      <c r="AE1299" s="89"/>
      <c r="AF1299" s="89"/>
      <c r="AG1299" s="91"/>
      <c r="AH1299" s="48"/>
      <c r="AI1299" s="39"/>
      <c r="AK1299" s="41"/>
    </row>
    <row r="1300" spans="1:37" ht="21">
      <c r="A1300" s="32" t="s">
        <v>1981</v>
      </c>
      <c r="B1300" s="92" t="s">
        <v>643</v>
      </c>
      <c r="C1300" s="93" t="s">
        <v>644</v>
      </c>
      <c r="D1300" s="88" t="s">
        <v>38</v>
      </c>
      <c r="E1300" s="73"/>
      <c r="F1300" s="73"/>
      <c r="G1300" s="73"/>
      <c r="H1300" s="73"/>
      <c r="I1300" s="73"/>
      <c r="J1300" s="73"/>
      <c r="K1300" s="73"/>
      <c r="L1300" s="73"/>
      <c r="M1300" s="73"/>
      <c r="N1300" s="73"/>
      <c r="O1300" s="73"/>
      <c r="P1300" s="73"/>
      <c r="Q1300" s="73"/>
      <c r="R1300" s="73"/>
      <c r="S1300" s="73"/>
      <c r="T1300" s="73"/>
      <c r="U1300" s="73"/>
      <c r="V1300" s="73"/>
      <c r="W1300" s="73"/>
      <c r="X1300" s="73"/>
      <c r="Y1300" s="73"/>
      <c r="Z1300" s="73"/>
      <c r="AA1300" s="75"/>
      <c r="AB1300" s="75"/>
      <c r="AC1300" s="55"/>
      <c r="AD1300" s="89"/>
      <c r="AE1300" s="89"/>
      <c r="AF1300" s="89"/>
      <c r="AG1300" s="57"/>
      <c r="AH1300" s="58"/>
      <c r="AI1300" s="39"/>
      <c r="AK1300" s="41"/>
    </row>
    <row r="1301" spans="1:37" ht="21">
      <c r="A1301" s="32" t="s">
        <v>1982</v>
      </c>
      <c r="B1301" s="92" t="s">
        <v>645</v>
      </c>
      <c r="C1301" s="93" t="s">
        <v>646</v>
      </c>
      <c r="D1301" s="88" t="s">
        <v>38</v>
      </c>
      <c r="E1301" s="73"/>
      <c r="F1301" s="73"/>
      <c r="G1301" s="73"/>
      <c r="H1301" s="73"/>
      <c r="I1301" s="73"/>
      <c r="J1301" s="73"/>
      <c r="K1301" s="73"/>
      <c r="L1301" s="73"/>
      <c r="M1301" s="73"/>
      <c r="N1301" s="73"/>
      <c r="O1301" s="73"/>
      <c r="P1301" s="73"/>
      <c r="Q1301" s="73"/>
      <c r="R1301" s="73"/>
      <c r="S1301" s="73"/>
      <c r="T1301" s="73"/>
      <c r="U1301" s="73"/>
      <c r="V1301" s="73"/>
      <c r="W1301" s="73"/>
      <c r="X1301" s="73"/>
      <c r="Y1301" s="73"/>
      <c r="Z1301" s="73"/>
      <c r="AA1301" s="75"/>
      <c r="AB1301" s="75"/>
      <c r="AC1301" s="55"/>
      <c r="AD1301" s="89"/>
      <c r="AE1301" s="89"/>
      <c r="AF1301" s="89"/>
      <c r="AG1301" s="57"/>
      <c r="AH1301" s="58"/>
      <c r="AI1301" s="39"/>
      <c r="AK1301" s="41"/>
    </row>
    <row r="1302" spans="1:37" ht="21">
      <c r="A1302" s="32" t="s">
        <v>1983</v>
      </c>
      <c r="B1302" s="111" t="s">
        <v>647</v>
      </c>
      <c r="C1302" s="93" t="s">
        <v>648</v>
      </c>
      <c r="D1302" s="88" t="s">
        <v>38</v>
      </c>
      <c r="E1302" s="73"/>
      <c r="F1302" s="73"/>
      <c r="G1302" s="73"/>
      <c r="H1302" s="73"/>
      <c r="I1302" s="73"/>
      <c r="J1302" s="73"/>
      <c r="K1302" s="73"/>
      <c r="L1302" s="73"/>
      <c r="M1302" s="73"/>
      <c r="N1302" s="73"/>
      <c r="O1302" s="73"/>
      <c r="P1302" s="73"/>
      <c r="Q1302" s="73"/>
      <c r="R1302" s="73"/>
      <c r="S1302" s="73"/>
      <c r="T1302" s="73"/>
      <c r="U1302" s="73"/>
      <c r="V1302" s="73"/>
      <c r="W1302" s="73"/>
      <c r="X1302" s="73"/>
      <c r="Y1302" s="73"/>
      <c r="Z1302" s="73"/>
      <c r="AA1302" s="75"/>
      <c r="AB1302" s="75"/>
      <c r="AC1302" s="55"/>
      <c r="AD1302" s="89"/>
      <c r="AE1302" s="89"/>
      <c r="AF1302" s="89"/>
      <c r="AG1302" s="57"/>
      <c r="AH1302" s="58"/>
      <c r="AI1302" s="39"/>
      <c r="AK1302" s="41"/>
    </row>
    <row r="1303" spans="1:37" ht="27.75">
      <c r="A1303" s="32" t="s">
        <v>1984</v>
      </c>
      <c r="B1303" s="94" t="s">
        <v>492</v>
      </c>
      <c r="C1303" s="95" t="s">
        <v>677</v>
      </c>
      <c r="D1303" s="88"/>
      <c r="E1303" s="73"/>
      <c r="F1303" s="73"/>
      <c r="G1303" s="73"/>
      <c r="H1303" s="73"/>
      <c r="I1303" s="73"/>
      <c r="J1303" s="73"/>
      <c r="K1303" s="73"/>
      <c r="L1303" s="73"/>
      <c r="M1303" s="73"/>
      <c r="N1303" s="73"/>
      <c r="O1303" s="73"/>
      <c r="P1303" s="73"/>
      <c r="Q1303" s="73"/>
      <c r="R1303" s="73"/>
      <c r="S1303" s="73"/>
      <c r="T1303" s="73"/>
      <c r="U1303" s="73"/>
      <c r="V1303" s="73"/>
      <c r="W1303" s="73"/>
      <c r="X1303" s="73"/>
      <c r="Y1303" s="73"/>
      <c r="Z1303" s="73"/>
      <c r="AA1303" s="75"/>
      <c r="AB1303" s="75"/>
      <c r="AC1303" s="55"/>
      <c r="AD1303" s="89"/>
      <c r="AE1303" s="89"/>
      <c r="AF1303" s="89"/>
      <c r="AG1303" s="91"/>
      <c r="AH1303" s="48"/>
      <c r="AI1303" s="39"/>
      <c r="AK1303" s="41"/>
    </row>
    <row r="1304" spans="1:37" ht="21">
      <c r="A1304" s="32" t="s">
        <v>1985</v>
      </c>
      <c r="B1304" s="92" t="s">
        <v>643</v>
      </c>
      <c r="C1304" s="93" t="s">
        <v>644</v>
      </c>
      <c r="D1304" s="88" t="s">
        <v>38</v>
      </c>
      <c r="E1304" s="73"/>
      <c r="F1304" s="73"/>
      <c r="G1304" s="73"/>
      <c r="H1304" s="73"/>
      <c r="I1304" s="73"/>
      <c r="J1304" s="73"/>
      <c r="K1304" s="73"/>
      <c r="L1304" s="73"/>
      <c r="M1304" s="73"/>
      <c r="N1304" s="73"/>
      <c r="O1304" s="73"/>
      <c r="P1304" s="73"/>
      <c r="Q1304" s="73"/>
      <c r="R1304" s="73"/>
      <c r="S1304" s="73"/>
      <c r="T1304" s="73"/>
      <c r="U1304" s="73"/>
      <c r="V1304" s="73"/>
      <c r="W1304" s="73"/>
      <c r="X1304" s="73"/>
      <c r="Y1304" s="73"/>
      <c r="Z1304" s="73"/>
      <c r="AA1304" s="75"/>
      <c r="AB1304" s="75"/>
      <c r="AC1304" s="55"/>
      <c r="AD1304" s="89"/>
      <c r="AE1304" s="89"/>
      <c r="AF1304" s="89"/>
      <c r="AG1304" s="57"/>
      <c r="AH1304" s="58"/>
      <c r="AI1304" s="39"/>
      <c r="AK1304" s="41"/>
    </row>
    <row r="1305" spans="1:37" ht="21">
      <c r="A1305" s="32" t="s">
        <v>1986</v>
      </c>
      <c r="B1305" s="92" t="s">
        <v>645</v>
      </c>
      <c r="C1305" s="93" t="s">
        <v>646</v>
      </c>
      <c r="D1305" s="88" t="s">
        <v>38</v>
      </c>
      <c r="E1305" s="73"/>
      <c r="F1305" s="73"/>
      <c r="G1305" s="73"/>
      <c r="H1305" s="73"/>
      <c r="I1305" s="73"/>
      <c r="J1305" s="73"/>
      <c r="K1305" s="73"/>
      <c r="L1305" s="73"/>
      <c r="M1305" s="73"/>
      <c r="N1305" s="73"/>
      <c r="O1305" s="73"/>
      <c r="P1305" s="73"/>
      <c r="Q1305" s="73"/>
      <c r="R1305" s="73"/>
      <c r="S1305" s="73"/>
      <c r="T1305" s="73"/>
      <c r="U1305" s="73"/>
      <c r="V1305" s="73"/>
      <c r="W1305" s="73"/>
      <c r="X1305" s="73"/>
      <c r="Y1305" s="73"/>
      <c r="Z1305" s="73"/>
      <c r="AA1305" s="75"/>
      <c r="AB1305" s="75"/>
      <c r="AC1305" s="55"/>
      <c r="AD1305" s="89"/>
      <c r="AE1305" s="89"/>
      <c r="AF1305" s="89"/>
      <c r="AG1305" s="57"/>
      <c r="AH1305" s="58"/>
      <c r="AI1305" s="39"/>
      <c r="AK1305" s="41"/>
    </row>
    <row r="1306" spans="1:37" ht="21">
      <c r="A1306" s="32" t="s">
        <v>1987</v>
      </c>
      <c r="B1306" s="111" t="s">
        <v>647</v>
      </c>
      <c r="C1306" s="93" t="s">
        <v>648</v>
      </c>
      <c r="D1306" s="88" t="s">
        <v>38</v>
      </c>
      <c r="E1306" s="73"/>
      <c r="F1306" s="73"/>
      <c r="G1306" s="73"/>
      <c r="H1306" s="73"/>
      <c r="I1306" s="73"/>
      <c r="J1306" s="73"/>
      <c r="K1306" s="73"/>
      <c r="L1306" s="73"/>
      <c r="M1306" s="73"/>
      <c r="N1306" s="73"/>
      <c r="O1306" s="73"/>
      <c r="P1306" s="73"/>
      <c r="Q1306" s="73"/>
      <c r="R1306" s="73"/>
      <c r="S1306" s="73"/>
      <c r="T1306" s="73"/>
      <c r="U1306" s="73"/>
      <c r="V1306" s="73"/>
      <c r="W1306" s="73"/>
      <c r="X1306" s="73"/>
      <c r="Y1306" s="73"/>
      <c r="Z1306" s="73"/>
      <c r="AA1306" s="75"/>
      <c r="AB1306" s="75"/>
      <c r="AC1306" s="55"/>
      <c r="AD1306" s="89"/>
      <c r="AE1306" s="89"/>
      <c r="AF1306" s="89"/>
      <c r="AG1306" s="57"/>
      <c r="AH1306" s="58"/>
      <c r="AI1306" s="39"/>
      <c r="AK1306" s="41"/>
    </row>
    <row r="1307" spans="1:37" ht="21">
      <c r="A1307" s="32" t="s">
        <v>1988</v>
      </c>
      <c r="B1307" s="94" t="s">
        <v>360</v>
      </c>
      <c r="C1307" s="95" t="s">
        <v>678</v>
      </c>
      <c r="D1307" s="88"/>
      <c r="E1307" s="73"/>
      <c r="F1307" s="73"/>
      <c r="G1307" s="73"/>
      <c r="H1307" s="73"/>
      <c r="I1307" s="73"/>
      <c r="J1307" s="73"/>
      <c r="K1307" s="73"/>
      <c r="L1307" s="73"/>
      <c r="M1307" s="73"/>
      <c r="N1307" s="73"/>
      <c r="O1307" s="73"/>
      <c r="P1307" s="73"/>
      <c r="Q1307" s="73"/>
      <c r="R1307" s="73"/>
      <c r="S1307" s="73"/>
      <c r="T1307" s="73"/>
      <c r="U1307" s="73"/>
      <c r="V1307" s="73"/>
      <c r="W1307" s="73"/>
      <c r="X1307" s="73"/>
      <c r="Y1307" s="73"/>
      <c r="Z1307" s="73"/>
      <c r="AA1307" s="75"/>
      <c r="AB1307" s="75"/>
      <c r="AC1307" s="55"/>
      <c r="AD1307" s="89"/>
      <c r="AE1307" s="89"/>
      <c r="AF1307" s="89"/>
      <c r="AG1307" s="91"/>
      <c r="AH1307" s="48"/>
      <c r="AI1307" s="39"/>
      <c r="AK1307" s="41"/>
    </row>
    <row r="1308" spans="1:37" ht="27.75">
      <c r="A1308" s="32" t="s">
        <v>1989</v>
      </c>
      <c r="B1308" s="94" t="s">
        <v>104</v>
      </c>
      <c r="C1308" s="95" t="s">
        <v>679</v>
      </c>
      <c r="D1308" s="88"/>
      <c r="E1308" s="73"/>
      <c r="F1308" s="73"/>
      <c r="G1308" s="73"/>
      <c r="H1308" s="73"/>
      <c r="I1308" s="73"/>
      <c r="J1308" s="73"/>
      <c r="K1308" s="73"/>
      <c r="L1308" s="73"/>
      <c r="M1308" s="73"/>
      <c r="N1308" s="73"/>
      <c r="O1308" s="73"/>
      <c r="P1308" s="73"/>
      <c r="Q1308" s="73"/>
      <c r="R1308" s="73"/>
      <c r="S1308" s="73"/>
      <c r="T1308" s="73"/>
      <c r="U1308" s="73"/>
      <c r="V1308" s="73"/>
      <c r="W1308" s="73"/>
      <c r="X1308" s="73"/>
      <c r="Y1308" s="73"/>
      <c r="Z1308" s="73"/>
      <c r="AA1308" s="75"/>
      <c r="AB1308" s="75"/>
      <c r="AC1308" s="55"/>
      <c r="AD1308" s="89"/>
      <c r="AE1308" s="89"/>
      <c r="AF1308" s="89"/>
      <c r="AG1308" s="91"/>
      <c r="AH1308" s="48"/>
      <c r="AI1308" s="39"/>
      <c r="AK1308" s="41"/>
    </row>
    <row r="1309" spans="1:37" ht="21">
      <c r="A1309" s="32" t="s">
        <v>1990</v>
      </c>
      <c r="B1309" s="92" t="s">
        <v>643</v>
      </c>
      <c r="C1309" s="93" t="s">
        <v>644</v>
      </c>
      <c r="D1309" s="88" t="s">
        <v>38</v>
      </c>
      <c r="E1309" s="73"/>
      <c r="F1309" s="73"/>
      <c r="G1309" s="73"/>
      <c r="H1309" s="73"/>
      <c r="I1309" s="73"/>
      <c r="J1309" s="73"/>
      <c r="K1309" s="73"/>
      <c r="L1309" s="73"/>
      <c r="M1309" s="73"/>
      <c r="N1309" s="73"/>
      <c r="O1309" s="73"/>
      <c r="P1309" s="73"/>
      <c r="Q1309" s="73"/>
      <c r="R1309" s="73"/>
      <c r="S1309" s="73"/>
      <c r="T1309" s="73"/>
      <c r="U1309" s="73"/>
      <c r="V1309" s="73"/>
      <c r="W1309" s="73"/>
      <c r="X1309" s="73"/>
      <c r="Y1309" s="73"/>
      <c r="Z1309" s="73"/>
      <c r="AA1309" s="75"/>
      <c r="AB1309" s="75"/>
      <c r="AC1309" s="55"/>
      <c r="AD1309" s="89"/>
      <c r="AE1309" s="89"/>
      <c r="AF1309" s="89"/>
      <c r="AG1309" s="57"/>
      <c r="AH1309" s="58"/>
      <c r="AI1309" s="39"/>
      <c r="AK1309" s="41"/>
    </row>
    <row r="1310" spans="1:37" ht="21">
      <c r="A1310" s="32" t="s">
        <v>1991</v>
      </c>
      <c r="B1310" s="92" t="s">
        <v>645</v>
      </c>
      <c r="C1310" s="93" t="s">
        <v>646</v>
      </c>
      <c r="D1310" s="88" t="s">
        <v>38</v>
      </c>
      <c r="E1310" s="73"/>
      <c r="F1310" s="73"/>
      <c r="G1310" s="73"/>
      <c r="H1310" s="73"/>
      <c r="I1310" s="73"/>
      <c r="J1310" s="73"/>
      <c r="K1310" s="73"/>
      <c r="L1310" s="73"/>
      <c r="M1310" s="73"/>
      <c r="N1310" s="73"/>
      <c r="O1310" s="73"/>
      <c r="P1310" s="73"/>
      <c r="Q1310" s="73"/>
      <c r="R1310" s="73"/>
      <c r="S1310" s="73"/>
      <c r="T1310" s="73"/>
      <c r="U1310" s="73"/>
      <c r="V1310" s="73"/>
      <c r="W1310" s="73"/>
      <c r="X1310" s="73"/>
      <c r="Y1310" s="73"/>
      <c r="Z1310" s="73"/>
      <c r="AA1310" s="75"/>
      <c r="AB1310" s="75"/>
      <c r="AC1310" s="55"/>
      <c r="AD1310" s="89"/>
      <c r="AE1310" s="89"/>
      <c r="AF1310" s="89"/>
      <c r="AG1310" s="57"/>
      <c r="AH1310" s="58"/>
      <c r="AI1310" s="39"/>
      <c r="AK1310" s="41"/>
    </row>
    <row r="1311" spans="1:37" ht="21">
      <c r="A1311" s="32" t="s">
        <v>1992</v>
      </c>
      <c r="B1311" s="111" t="s">
        <v>647</v>
      </c>
      <c r="C1311" s="93" t="s">
        <v>648</v>
      </c>
      <c r="D1311" s="88" t="s">
        <v>38</v>
      </c>
      <c r="E1311" s="73"/>
      <c r="F1311" s="73"/>
      <c r="G1311" s="73"/>
      <c r="H1311" s="73"/>
      <c r="I1311" s="73"/>
      <c r="J1311" s="73"/>
      <c r="K1311" s="73"/>
      <c r="L1311" s="73"/>
      <c r="M1311" s="73"/>
      <c r="N1311" s="73"/>
      <c r="O1311" s="73"/>
      <c r="P1311" s="73"/>
      <c r="Q1311" s="73"/>
      <c r="R1311" s="73"/>
      <c r="S1311" s="73"/>
      <c r="T1311" s="73"/>
      <c r="U1311" s="73"/>
      <c r="V1311" s="73"/>
      <c r="W1311" s="73"/>
      <c r="X1311" s="73"/>
      <c r="Y1311" s="73"/>
      <c r="Z1311" s="73"/>
      <c r="AA1311" s="75"/>
      <c r="AB1311" s="75"/>
      <c r="AC1311" s="55"/>
      <c r="AD1311" s="89"/>
      <c r="AE1311" s="89"/>
      <c r="AF1311" s="89"/>
      <c r="AG1311" s="57"/>
      <c r="AH1311" s="58"/>
      <c r="AI1311" s="39"/>
      <c r="AK1311" s="41"/>
    </row>
    <row r="1312" spans="1:37" ht="21">
      <c r="A1312" s="32" t="s">
        <v>1993</v>
      </c>
      <c r="B1312" s="94" t="s">
        <v>365</v>
      </c>
      <c r="C1312" s="95" t="s">
        <v>680</v>
      </c>
      <c r="D1312" s="88"/>
      <c r="E1312" s="73"/>
      <c r="F1312" s="73"/>
      <c r="G1312" s="73"/>
      <c r="H1312" s="73"/>
      <c r="I1312" s="73"/>
      <c r="J1312" s="73"/>
      <c r="K1312" s="73"/>
      <c r="L1312" s="73"/>
      <c r="M1312" s="73"/>
      <c r="N1312" s="73"/>
      <c r="O1312" s="73"/>
      <c r="P1312" s="73"/>
      <c r="Q1312" s="73"/>
      <c r="R1312" s="73"/>
      <c r="S1312" s="73"/>
      <c r="T1312" s="73"/>
      <c r="U1312" s="73"/>
      <c r="V1312" s="73"/>
      <c r="W1312" s="73"/>
      <c r="X1312" s="73"/>
      <c r="Y1312" s="73"/>
      <c r="Z1312" s="73"/>
      <c r="AA1312" s="75"/>
      <c r="AB1312" s="75"/>
      <c r="AC1312" s="55"/>
      <c r="AD1312" s="89"/>
      <c r="AE1312" s="89"/>
      <c r="AF1312" s="89"/>
      <c r="AG1312" s="91"/>
      <c r="AH1312" s="48"/>
      <c r="AI1312" s="39"/>
      <c r="AK1312" s="41"/>
    </row>
    <row r="1313" spans="1:37" ht="27.75">
      <c r="A1313" s="32" t="s">
        <v>1994</v>
      </c>
      <c r="B1313" s="94" t="s">
        <v>104</v>
      </c>
      <c r="C1313" s="95" t="s">
        <v>679</v>
      </c>
      <c r="D1313" s="88"/>
      <c r="E1313" s="73"/>
      <c r="F1313" s="73"/>
      <c r="G1313" s="73"/>
      <c r="H1313" s="73"/>
      <c r="I1313" s="73"/>
      <c r="J1313" s="73"/>
      <c r="K1313" s="73"/>
      <c r="L1313" s="73"/>
      <c r="M1313" s="73"/>
      <c r="N1313" s="73"/>
      <c r="O1313" s="73"/>
      <c r="P1313" s="73"/>
      <c r="Q1313" s="73"/>
      <c r="R1313" s="73"/>
      <c r="S1313" s="73"/>
      <c r="T1313" s="73"/>
      <c r="U1313" s="73"/>
      <c r="V1313" s="73"/>
      <c r="W1313" s="73"/>
      <c r="X1313" s="73"/>
      <c r="Y1313" s="73"/>
      <c r="Z1313" s="73"/>
      <c r="AA1313" s="75"/>
      <c r="AB1313" s="75"/>
      <c r="AC1313" s="55"/>
      <c r="AD1313" s="89"/>
      <c r="AE1313" s="89"/>
      <c r="AF1313" s="89"/>
      <c r="AG1313" s="91"/>
      <c r="AH1313" s="48"/>
      <c r="AI1313" s="39"/>
      <c r="AK1313" s="41"/>
    </row>
    <row r="1314" spans="1:37" ht="21">
      <c r="A1314" s="32" t="s">
        <v>1995</v>
      </c>
      <c r="B1314" s="92" t="s">
        <v>643</v>
      </c>
      <c r="C1314" s="93" t="s">
        <v>644</v>
      </c>
      <c r="D1314" s="88" t="s">
        <v>38</v>
      </c>
      <c r="E1314" s="73"/>
      <c r="F1314" s="73"/>
      <c r="G1314" s="73"/>
      <c r="H1314" s="73"/>
      <c r="I1314" s="73"/>
      <c r="J1314" s="73"/>
      <c r="K1314" s="73"/>
      <c r="L1314" s="73"/>
      <c r="M1314" s="73"/>
      <c r="N1314" s="73"/>
      <c r="O1314" s="73"/>
      <c r="P1314" s="73"/>
      <c r="Q1314" s="73"/>
      <c r="R1314" s="73"/>
      <c r="S1314" s="73"/>
      <c r="T1314" s="73"/>
      <c r="U1314" s="73"/>
      <c r="V1314" s="73"/>
      <c r="W1314" s="73"/>
      <c r="X1314" s="73"/>
      <c r="Y1314" s="73"/>
      <c r="Z1314" s="73"/>
      <c r="AA1314" s="75"/>
      <c r="AB1314" s="75"/>
      <c r="AC1314" s="55"/>
      <c r="AD1314" s="89"/>
      <c r="AE1314" s="89"/>
      <c r="AF1314" s="89"/>
      <c r="AG1314" s="57"/>
      <c r="AH1314" s="58"/>
      <c r="AI1314" s="39"/>
      <c r="AK1314" s="41"/>
    </row>
    <row r="1315" spans="1:37" ht="21">
      <c r="A1315" s="32" t="s">
        <v>1996</v>
      </c>
      <c r="B1315" s="92" t="s">
        <v>645</v>
      </c>
      <c r="C1315" s="93" t="s">
        <v>646</v>
      </c>
      <c r="D1315" s="88" t="s">
        <v>38</v>
      </c>
      <c r="E1315" s="73"/>
      <c r="F1315" s="73"/>
      <c r="G1315" s="73"/>
      <c r="H1315" s="73"/>
      <c r="I1315" s="73"/>
      <c r="J1315" s="73"/>
      <c r="K1315" s="73"/>
      <c r="L1315" s="73"/>
      <c r="M1315" s="73"/>
      <c r="N1315" s="73"/>
      <c r="O1315" s="73"/>
      <c r="P1315" s="73"/>
      <c r="Q1315" s="73"/>
      <c r="R1315" s="73"/>
      <c r="S1315" s="73"/>
      <c r="T1315" s="73"/>
      <c r="U1315" s="73"/>
      <c r="V1315" s="73"/>
      <c r="W1315" s="73"/>
      <c r="X1315" s="73"/>
      <c r="Y1315" s="73"/>
      <c r="Z1315" s="73"/>
      <c r="AA1315" s="75"/>
      <c r="AB1315" s="75"/>
      <c r="AC1315" s="55"/>
      <c r="AD1315" s="89"/>
      <c r="AE1315" s="89"/>
      <c r="AF1315" s="89"/>
      <c r="AG1315" s="57"/>
      <c r="AH1315" s="58"/>
      <c r="AI1315" s="39"/>
      <c r="AK1315" s="41"/>
    </row>
    <row r="1316" spans="1:37" ht="21">
      <c r="A1316" s="32" t="s">
        <v>1997</v>
      </c>
      <c r="B1316" s="111" t="s">
        <v>647</v>
      </c>
      <c r="C1316" s="93" t="s">
        <v>648</v>
      </c>
      <c r="D1316" s="88" t="s">
        <v>38</v>
      </c>
      <c r="E1316" s="73"/>
      <c r="F1316" s="73"/>
      <c r="G1316" s="73"/>
      <c r="H1316" s="73"/>
      <c r="I1316" s="73"/>
      <c r="J1316" s="73"/>
      <c r="K1316" s="73"/>
      <c r="L1316" s="73"/>
      <c r="M1316" s="73"/>
      <c r="N1316" s="73"/>
      <c r="O1316" s="73"/>
      <c r="P1316" s="73"/>
      <c r="Q1316" s="73"/>
      <c r="R1316" s="73"/>
      <c r="S1316" s="73"/>
      <c r="T1316" s="73"/>
      <c r="U1316" s="73"/>
      <c r="V1316" s="73"/>
      <c r="W1316" s="73"/>
      <c r="X1316" s="73"/>
      <c r="Y1316" s="73"/>
      <c r="Z1316" s="73"/>
      <c r="AA1316" s="75"/>
      <c r="AB1316" s="75"/>
      <c r="AC1316" s="55"/>
      <c r="AD1316" s="89"/>
      <c r="AE1316" s="89"/>
      <c r="AF1316" s="89"/>
      <c r="AG1316" s="57"/>
      <c r="AH1316" s="58"/>
      <c r="AI1316" s="39"/>
      <c r="AK1316" s="41"/>
    </row>
    <row r="1317" spans="1:37" ht="21">
      <c r="A1317" s="32" t="s">
        <v>1998</v>
      </c>
      <c r="B1317" s="94" t="s">
        <v>35</v>
      </c>
      <c r="C1317" s="95" t="s">
        <v>681</v>
      </c>
      <c r="D1317" s="88"/>
      <c r="E1317" s="73"/>
      <c r="F1317" s="73"/>
      <c r="G1317" s="73"/>
      <c r="H1317" s="73"/>
      <c r="I1317" s="73"/>
      <c r="J1317" s="73"/>
      <c r="K1317" s="73"/>
      <c r="L1317" s="73"/>
      <c r="M1317" s="73"/>
      <c r="N1317" s="73"/>
      <c r="O1317" s="73"/>
      <c r="P1317" s="73"/>
      <c r="Q1317" s="73"/>
      <c r="R1317" s="73"/>
      <c r="S1317" s="73"/>
      <c r="T1317" s="73"/>
      <c r="U1317" s="73"/>
      <c r="V1317" s="73"/>
      <c r="W1317" s="73"/>
      <c r="X1317" s="73"/>
      <c r="Y1317" s="73"/>
      <c r="Z1317" s="73"/>
      <c r="AA1317" s="75"/>
      <c r="AB1317" s="75"/>
      <c r="AC1317" s="55"/>
      <c r="AD1317" s="89"/>
      <c r="AE1317" s="89"/>
      <c r="AF1317" s="89"/>
      <c r="AG1317" s="91"/>
      <c r="AH1317" s="48"/>
      <c r="AI1317" s="39"/>
      <c r="AK1317" s="41"/>
    </row>
    <row r="1318" spans="1:37" ht="27.75">
      <c r="A1318" s="32" t="s">
        <v>1999</v>
      </c>
      <c r="B1318" s="94" t="s">
        <v>104</v>
      </c>
      <c r="C1318" s="95" t="s">
        <v>679</v>
      </c>
      <c r="D1318" s="88"/>
      <c r="E1318" s="73"/>
      <c r="F1318" s="73"/>
      <c r="G1318" s="73"/>
      <c r="H1318" s="73"/>
      <c r="I1318" s="73"/>
      <c r="J1318" s="73"/>
      <c r="K1318" s="73"/>
      <c r="L1318" s="73"/>
      <c r="M1318" s="73"/>
      <c r="N1318" s="73"/>
      <c r="O1318" s="73"/>
      <c r="P1318" s="73"/>
      <c r="Q1318" s="73"/>
      <c r="R1318" s="73"/>
      <c r="S1318" s="73"/>
      <c r="T1318" s="73"/>
      <c r="U1318" s="73"/>
      <c r="V1318" s="73"/>
      <c r="W1318" s="73"/>
      <c r="X1318" s="73"/>
      <c r="Y1318" s="73"/>
      <c r="Z1318" s="73"/>
      <c r="AA1318" s="75"/>
      <c r="AB1318" s="75"/>
      <c r="AC1318" s="55"/>
      <c r="AD1318" s="89"/>
      <c r="AE1318" s="89"/>
      <c r="AF1318" s="89"/>
      <c r="AG1318" s="91"/>
      <c r="AH1318" s="48"/>
      <c r="AI1318" s="39"/>
      <c r="AK1318" s="41"/>
    </row>
    <row r="1319" spans="1:37" ht="21">
      <c r="A1319" s="32" t="s">
        <v>2000</v>
      </c>
      <c r="B1319" s="92" t="s">
        <v>643</v>
      </c>
      <c r="C1319" s="93" t="s">
        <v>644</v>
      </c>
      <c r="D1319" s="88" t="s">
        <v>38</v>
      </c>
      <c r="E1319" s="73"/>
      <c r="F1319" s="73"/>
      <c r="G1319" s="73"/>
      <c r="H1319" s="73"/>
      <c r="I1319" s="73"/>
      <c r="J1319" s="73"/>
      <c r="K1319" s="73"/>
      <c r="L1319" s="73"/>
      <c r="M1319" s="73"/>
      <c r="N1319" s="73"/>
      <c r="O1319" s="73"/>
      <c r="P1319" s="73"/>
      <c r="Q1319" s="73"/>
      <c r="R1319" s="73"/>
      <c r="S1319" s="73"/>
      <c r="T1319" s="73"/>
      <c r="U1319" s="73"/>
      <c r="V1319" s="73"/>
      <c r="W1319" s="73"/>
      <c r="X1319" s="73"/>
      <c r="Y1319" s="73"/>
      <c r="Z1319" s="73"/>
      <c r="AA1319" s="75"/>
      <c r="AB1319" s="75"/>
      <c r="AC1319" s="55"/>
      <c r="AD1319" s="89"/>
      <c r="AE1319" s="89"/>
      <c r="AF1319" s="89"/>
      <c r="AG1319" s="57"/>
      <c r="AH1319" s="58"/>
      <c r="AI1319" s="39"/>
      <c r="AK1319" s="41"/>
    </row>
    <row r="1320" spans="1:37" ht="21">
      <c r="A1320" s="32" t="s">
        <v>2001</v>
      </c>
      <c r="B1320" s="92" t="s">
        <v>645</v>
      </c>
      <c r="C1320" s="93" t="s">
        <v>646</v>
      </c>
      <c r="D1320" s="88" t="s">
        <v>38</v>
      </c>
      <c r="E1320" s="73"/>
      <c r="F1320" s="73"/>
      <c r="G1320" s="73"/>
      <c r="H1320" s="73"/>
      <c r="I1320" s="73"/>
      <c r="J1320" s="73"/>
      <c r="K1320" s="73"/>
      <c r="L1320" s="73"/>
      <c r="M1320" s="73"/>
      <c r="N1320" s="73"/>
      <c r="O1320" s="73"/>
      <c r="P1320" s="73"/>
      <c r="Q1320" s="73"/>
      <c r="R1320" s="73"/>
      <c r="S1320" s="73"/>
      <c r="T1320" s="73"/>
      <c r="U1320" s="73"/>
      <c r="V1320" s="73"/>
      <c r="W1320" s="73"/>
      <c r="X1320" s="73"/>
      <c r="Y1320" s="73"/>
      <c r="Z1320" s="73"/>
      <c r="AA1320" s="75"/>
      <c r="AB1320" s="75"/>
      <c r="AC1320" s="55"/>
      <c r="AD1320" s="89"/>
      <c r="AE1320" s="89"/>
      <c r="AF1320" s="89"/>
      <c r="AG1320" s="57"/>
      <c r="AH1320" s="58"/>
      <c r="AI1320" s="39"/>
      <c r="AK1320" s="41"/>
    </row>
    <row r="1321" spans="1:37" ht="21">
      <c r="A1321" s="32" t="s">
        <v>2002</v>
      </c>
      <c r="B1321" s="111" t="s">
        <v>647</v>
      </c>
      <c r="C1321" s="93" t="s">
        <v>648</v>
      </c>
      <c r="D1321" s="88" t="s">
        <v>38</v>
      </c>
      <c r="E1321" s="73"/>
      <c r="F1321" s="73"/>
      <c r="G1321" s="73"/>
      <c r="H1321" s="73"/>
      <c r="I1321" s="73"/>
      <c r="J1321" s="73"/>
      <c r="K1321" s="73"/>
      <c r="L1321" s="73"/>
      <c r="M1321" s="73"/>
      <c r="N1321" s="73"/>
      <c r="O1321" s="73"/>
      <c r="P1321" s="73"/>
      <c r="Q1321" s="73"/>
      <c r="R1321" s="73"/>
      <c r="S1321" s="73"/>
      <c r="T1321" s="73"/>
      <c r="U1321" s="73"/>
      <c r="V1321" s="73"/>
      <c r="W1321" s="73"/>
      <c r="X1321" s="73"/>
      <c r="Y1321" s="73"/>
      <c r="Z1321" s="73"/>
      <c r="AA1321" s="75"/>
      <c r="AB1321" s="75"/>
      <c r="AC1321" s="55"/>
      <c r="AD1321" s="89"/>
      <c r="AE1321" s="89"/>
      <c r="AF1321" s="89"/>
      <c r="AG1321" s="57"/>
      <c r="AH1321" s="58"/>
      <c r="AI1321" s="39"/>
      <c r="AK1321" s="41"/>
    </row>
    <row r="1322" spans="1:37" ht="21">
      <c r="A1322" s="32" t="s">
        <v>2003</v>
      </c>
      <c r="B1322" s="94" t="s">
        <v>479</v>
      </c>
      <c r="C1322" s="95" t="s">
        <v>682</v>
      </c>
      <c r="D1322" s="88"/>
      <c r="E1322" s="73"/>
      <c r="F1322" s="73"/>
      <c r="G1322" s="73"/>
      <c r="H1322" s="73"/>
      <c r="I1322" s="73"/>
      <c r="J1322" s="73"/>
      <c r="K1322" s="73"/>
      <c r="L1322" s="73"/>
      <c r="M1322" s="73"/>
      <c r="N1322" s="73"/>
      <c r="O1322" s="73"/>
      <c r="P1322" s="73"/>
      <c r="Q1322" s="73"/>
      <c r="R1322" s="73"/>
      <c r="S1322" s="73"/>
      <c r="T1322" s="73"/>
      <c r="U1322" s="73"/>
      <c r="V1322" s="73"/>
      <c r="W1322" s="73"/>
      <c r="X1322" s="73"/>
      <c r="Y1322" s="73"/>
      <c r="Z1322" s="73"/>
      <c r="AA1322" s="75"/>
      <c r="AB1322" s="75"/>
      <c r="AC1322" s="55"/>
      <c r="AD1322" s="89"/>
      <c r="AE1322" s="89"/>
      <c r="AF1322" s="89"/>
      <c r="AG1322" s="91"/>
      <c r="AH1322" s="48"/>
      <c r="AI1322" s="39"/>
      <c r="AK1322" s="41"/>
    </row>
    <row r="1323" spans="1:37" ht="27.75">
      <c r="A1323" s="32" t="s">
        <v>2004</v>
      </c>
      <c r="B1323" s="94" t="s">
        <v>104</v>
      </c>
      <c r="C1323" s="95" t="s">
        <v>679</v>
      </c>
      <c r="D1323" s="88"/>
      <c r="E1323" s="73"/>
      <c r="F1323" s="73"/>
      <c r="G1323" s="73"/>
      <c r="H1323" s="73"/>
      <c r="I1323" s="73"/>
      <c r="J1323" s="73"/>
      <c r="K1323" s="73"/>
      <c r="L1323" s="73"/>
      <c r="M1323" s="73"/>
      <c r="N1323" s="73"/>
      <c r="O1323" s="73"/>
      <c r="P1323" s="73"/>
      <c r="Q1323" s="73"/>
      <c r="R1323" s="73"/>
      <c r="S1323" s="73"/>
      <c r="T1323" s="73"/>
      <c r="U1323" s="73"/>
      <c r="V1323" s="73"/>
      <c r="W1323" s="73"/>
      <c r="X1323" s="73"/>
      <c r="Y1323" s="73"/>
      <c r="Z1323" s="73"/>
      <c r="AA1323" s="75"/>
      <c r="AB1323" s="75"/>
      <c r="AC1323" s="55"/>
      <c r="AD1323" s="89"/>
      <c r="AE1323" s="89"/>
      <c r="AF1323" s="89"/>
      <c r="AG1323" s="91"/>
      <c r="AH1323" s="48"/>
      <c r="AI1323" s="39"/>
      <c r="AK1323" s="41"/>
    </row>
    <row r="1324" spans="1:37" ht="21">
      <c r="A1324" s="32" t="s">
        <v>2005</v>
      </c>
      <c r="B1324" s="92" t="s">
        <v>643</v>
      </c>
      <c r="C1324" s="93" t="s">
        <v>644</v>
      </c>
      <c r="D1324" s="88" t="s">
        <v>38</v>
      </c>
      <c r="E1324" s="73"/>
      <c r="F1324" s="73"/>
      <c r="G1324" s="73"/>
      <c r="H1324" s="73"/>
      <c r="I1324" s="73"/>
      <c r="J1324" s="73"/>
      <c r="K1324" s="73"/>
      <c r="L1324" s="73"/>
      <c r="M1324" s="73"/>
      <c r="N1324" s="73"/>
      <c r="O1324" s="73"/>
      <c r="P1324" s="73"/>
      <c r="Q1324" s="73"/>
      <c r="R1324" s="73"/>
      <c r="S1324" s="73"/>
      <c r="T1324" s="73"/>
      <c r="U1324" s="73"/>
      <c r="V1324" s="73"/>
      <c r="W1324" s="73"/>
      <c r="X1324" s="73"/>
      <c r="Y1324" s="73"/>
      <c r="Z1324" s="73"/>
      <c r="AA1324" s="75"/>
      <c r="AB1324" s="75"/>
      <c r="AC1324" s="55"/>
      <c r="AD1324" s="89"/>
      <c r="AE1324" s="89"/>
      <c r="AF1324" s="89"/>
      <c r="AG1324" s="57"/>
      <c r="AH1324" s="58"/>
      <c r="AI1324" s="39"/>
      <c r="AK1324" s="41"/>
    </row>
    <row r="1325" spans="1:37" ht="21">
      <c r="A1325" s="32" t="s">
        <v>2006</v>
      </c>
      <c r="B1325" s="92" t="s">
        <v>645</v>
      </c>
      <c r="C1325" s="93" t="s">
        <v>646</v>
      </c>
      <c r="D1325" s="88" t="s">
        <v>38</v>
      </c>
      <c r="E1325" s="73"/>
      <c r="F1325" s="73"/>
      <c r="G1325" s="73"/>
      <c r="H1325" s="73"/>
      <c r="I1325" s="73"/>
      <c r="J1325" s="73"/>
      <c r="K1325" s="73"/>
      <c r="L1325" s="73"/>
      <c r="M1325" s="73"/>
      <c r="N1325" s="73"/>
      <c r="O1325" s="73"/>
      <c r="P1325" s="73"/>
      <c r="Q1325" s="73"/>
      <c r="R1325" s="73"/>
      <c r="S1325" s="73"/>
      <c r="T1325" s="73"/>
      <c r="U1325" s="73"/>
      <c r="V1325" s="73"/>
      <c r="W1325" s="73"/>
      <c r="X1325" s="73"/>
      <c r="Y1325" s="73"/>
      <c r="Z1325" s="73"/>
      <c r="AA1325" s="75"/>
      <c r="AB1325" s="75"/>
      <c r="AC1325" s="55"/>
      <c r="AD1325" s="89"/>
      <c r="AE1325" s="89"/>
      <c r="AF1325" s="89"/>
      <c r="AG1325" s="57"/>
      <c r="AH1325" s="58"/>
      <c r="AI1325" s="39"/>
      <c r="AK1325" s="41"/>
    </row>
    <row r="1326" spans="1:37" ht="21">
      <c r="A1326" s="32" t="s">
        <v>2007</v>
      </c>
      <c r="B1326" s="111" t="s">
        <v>647</v>
      </c>
      <c r="C1326" s="93" t="s">
        <v>648</v>
      </c>
      <c r="D1326" s="88" t="s">
        <v>38</v>
      </c>
      <c r="E1326" s="73"/>
      <c r="F1326" s="73"/>
      <c r="G1326" s="73"/>
      <c r="H1326" s="73"/>
      <c r="I1326" s="73"/>
      <c r="J1326" s="73"/>
      <c r="K1326" s="73"/>
      <c r="L1326" s="73"/>
      <c r="M1326" s="73"/>
      <c r="N1326" s="73"/>
      <c r="O1326" s="73"/>
      <c r="P1326" s="73"/>
      <c r="Q1326" s="73"/>
      <c r="R1326" s="73"/>
      <c r="S1326" s="73"/>
      <c r="T1326" s="73"/>
      <c r="U1326" s="73"/>
      <c r="V1326" s="73"/>
      <c r="W1326" s="73"/>
      <c r="X1326" s="73"/>
      <c r="Y1326" s="73"/>
      <c r="Z1326" s="73"/>
      <c r="AA1326" s="75"/>
      <c r="AB1326" s="75"/>
      <c r="AC1326" s="55"/>
      <c r="AD1326" s="89"/>
      <c r="AE1326" s="89"/>
      <c r="AF1326" s="89"/>
      <c r="AG1326" s="57"/>
      <c r="AH1326" s="58"/>
      <c r="AI1326" s="39"/>
      <c r="AK1326" s="41"/>
    </row>
    <row r="1327" spans="1:37" ht="27.75">
      <c r="A1327" s="32" t="s">
        <v>2008</v>
      </c>
      <c r="B1327" s="86">
        <v>14.02</v>
      </c>
      <c r="C1327" s="87" t="s">
        <v>683</v>
      </c>
      <c r="D1327" s="88" t="s">
        <v>13</v>
      </c>
      <c r="E1327" s="73"/>
      <c r="F1327" s="73"/>
      <c r="G1327" s="73"/>
      <c r="H1327" s="73"/>
      <c r="I1327" s="73"/>
      <c r="J1327" s="73"/>
      <c r="K1327" s="73"/>
      <c r="L1327" s="73"/>
      <c r="M1327" s="73"/>
      <c r="N1327" s="73"/>
      <c r="O1327" s="73"/>
      <c r="P1327" s="73"/>
      <c r="Q1327" s="73"/>
      <c r="R1327" s="73"/>
      <c r="S1327" s="73"/>
      <c r="T1327" s="73"/>
      <c r="U1327" s="73"/>
      <c r="V1327" s="73"/>
      <c r="W1327" s="73"/>
      <c r="X1327" s="73"/>
      <c r="Y1327" s="73"/>
      <c r="Z1327" s="73"/>
      <c r="AA1327" s="75"/>
      <c r="AB1327" s="75"/>
      <c r="AC1327" s="55"/>
      <c r="AD1327" s="89"/>
      <c r="AE1327" s="89"/>
      <c r="AF1327" s="89"/>
      <c r="AG1327" s="57"/>
      <c r="AH1327" s="58"/>
      <c r="AI1327" s="39"/>
      <c r="AK1327" s="41"/>
    </row>
    <row r="1328" spans="1:37" ht="27.75">
      <c r="A1328" s="32" t="s">
        <v>2009</v>
      </c>
      <c r="B1328" s="86">
        <v>14.03</v>
      </c>
      <c r="C1328" s="87" t="s">
        <v>684</v>
      </c>
      <c r="D1328" s="88" t="s">
        <v>13</v>
      </c>
      <c r="E1328" s="73"/>
      <c r="F1328" s="73"/>
      <c r="G1328" s="73"/>
      <c r="H1328" s="73"/>
      <c r="I1328" s="73"/>
      <c r="J1328" s="73"/>
      <c r="K1328" s="73"/>
      <c r="L1328" s="73"/>
      <c r="M1328" s="73"/>
      <c r="N1328" s="73"/>
      <c r="O1328" s="73"/>
      <c r="P1328" s="73"/>
      <c r="Q1328" s="73"/>
      <c r="R1328" s="73"/>
      <c r="S1328" s="73"/>
      <c r="T1328" s="73"/>
      <c r="U1328" s="73"/>
      <c r="V1328" s="73"/>
      <c r="W1328" s="73"/>
      <c r="X1328" s="73"/>
      <c r="Y1328" s="73"/>
      <c r="Z1328" s="73"/>
      <c r="AA1328" s="75"/>
      <c r="AB1328" s="75"/>
      <c r="AC1328" s="55"/>
      <c r="AD1328" s="89"/>
      <c r="AE1328" s="89"/>
      <c r="AF1328" s="89"/>
      <c r="AG1328" s="57"/>
      <c r="AH1328" s="58"/>
      <c r="AI1328" s="39"/>
      <c r="AK1328" s="41"/>
    </row>
    <row r="1329" spans="1:37" ht="27.75">
      <c r="A1329" s="32" t="s">
        <v>2010</v>
      </c>
      <c r="B1329" s="86">
        <v>14.04</v>
      </c>
      <c r="C1329" s="87" t="s">
        <v>419</v>
      </c>
      <c r="D1329" s="88" t="s">
        <v>38</v>
      </c>
      <c r="E1329" s="73"/>
      <c r="F1329" s="73"/>
      <c r="G1329" s="73"/>
      <c r="H1329" s="73"/>
      <c r="I1329" s="73"/>
      <c r="J1329" s="73"/>
      <c r="K1329" s="73"/>
      <c r="L1329" s="73"/>
      <c r="M1329" s="73"/>
      <c r="N1329" s="73"/>
      <c r="O1329" s="73"/>
      <c r="P1329" s="73"/>
      <c r="Q1329" s="73"/>
      <c r="R1329" s="73"/>
      <c r="S1329" s="73"/>
      <c r="T1329" s="73"/>
      <c r="U1329" s="73"/>
      <c r="V1329" s="73"/>
      <c r="W1329" s="73"/>
      <c r="X1329" s="73"/>
      <c r="Y1329" s="73"/>
      <c r="Z1329" s="73"/>
      <c r="AA1329" s="75"/>
      <c r="AB1329" s="75"/>
      <c r="AC1329" s="55"/>
      <c r="AD1329" s="89"/>
      <c r="AE1329" s="89"/>
      <c r="AF1329" s="89"/>
      <c r="AG1329" s="57"/>
      <c r="AH1329" s="58"/>
      <c r="AI1329" s="39"/>
      <c r="AK1329" s="41"/>
    </row>
    <row r="1330" spans="1:37" ht="91.5">
      <c r="A1330" s="32" t="s">
        <v>1921</v>
      </c>
      <c r="B1330" s="86">
        <v>14.05</v>
      </c>
      <c r="C1330" s="87" t="s">
        <v>2612</v>
      </c>
      <c r="D1330" s="88" t="s">
        <v>77</v>
      </c>
      <c r="E1330" s="73"/>
      <c r="F1330" s="73"/>
      <c r="G1330" s="73"/>
      <c r="H1330" s="73"/>
      <c r="I1330" s="73"/>
      <c r="J1330" s="73"/>
      <c r="K1330" s="73"/>
      <c r="L1330" s="73"/>
      <c r="M1330" s="73"/>
      <c r="N1330" s="73"/>
      <c r="O1330" s="73"/>
      <c r="P1330" s="73"/>
      <c r="Q1330" s="73"/>
      <c r="R1330" s="73"/>
      <c r="S1330" s="73"/>
      <c r="T1330" s="73"/>
      <c r="U1330" s="73"/>
      <c r="V1330" s="73"/>
      <c r="W1330" s="73"/>
      <c r="X1330" s="73"/>
      <c r="Y1330" s="73"/>
      <c r="Z1330" s="73"/>
      <c r="AA1330" s="75"/>
      <c r="AB1330" s="75"/>
      <c r="AC1330" s="55"/>
      <c r="AD1330" s="89"/>
      <c r="AE1330" s="89"/>
      <c r="AF1330" s="89"/>
      <c r="AG1330" s="57"/>
      <c r="AH1330" s="58"/>
      <c r="AI1330" s="39"/>
      <c r="AK1330" s="41"/>
    </row>
    <row r="1331" spans="1:37" ht="53.25">
      <c r="A1331" s="32" t="s">
        <v>1920</v>
      </c>
      <c r="B1331" s="86">
        <v>14.06</v>
      </c>
      <c r="C1331" s="87" t="s">
        <v>685</v>
      </c>
      <c r="D1331" s="88" t="s">
        <v>81</v>
      </c>
      <c r="E1331" s="73"/>
      <c r="F1331" s="73"/>
      <c r="G1331" s="73"/>
      <c r="H1331" s="73"/>
      <c r="I1331" s="73"/>
      <c r="J1331" s="73"/>
      <c r="K1331" s="73"/>
      <c r="L1331" s="73"/>
      <c r="M1331" s="73"/>
      <c r="N1331" s="73"/>
      <c r="O1331" s="73"/>
      <c r="P1331" s="73"/>
      <c r="Q1331" s="73"/>
      <c r="R1331" s="73"/>
      <c r="S1331" s="73"/>
      <c r="T1331" s="73"/>
      <c r="U1331" s="73"/>
      <c r="V1331" s="73"/>
      <c r="W1331" s="73"/>
      <c r="X1331" s="73"/>
      <c r="Y1331" s="73"/>
      <c r="Z1331" s="73"/>
      <c r="AA1331" s="75"/>
      <c r="AB1331" s="75"/>
      <c r="AC1331" s="55"/>
      <c r="AD1331" s="89"/>
      <c r="AE1331" s="89"/>
      <c r="AF1331" s="89"/>
      <c r="AG1331" s="57"/>
      <c r="AH1331" s="58"/>
      <c r="AI1331" s="39"/>
      <c r="AK1331" s="41"/>
    </row>
    <row r="1332" spans="1:37" ht="53.25">
      <c r="A1332" s="32" t="s">
        <v>2011</v>
      </c>
      <c r="B1332" s="86">
        <v>14.07</v>
      </c>
      <c r="C1332" s="87" t="s">
        <v>686</v>
      </c>
      <c r="D1332" s="88" t="s">
        <v>81</v>
      </c>
      <c r="E1332" s="73"/>
      <c r="F1332" s="73"/>
      <c r="G1332" s="73"/>
      <c r="H1332" s="73"/>
      <c r="I1332" s="73"/>
      <c r="J1332" s="73"/>
      <c r="K1332" s="73"/>
      <c r="L1332" s="73"/>
      <c r="M1332" s="73"/>
      <c r="N1332" s="73"/>
      <c r="O1332" s="73"/>
      <c r="P1332" s="73"/>
      <c r="Q1332" s="73"/>
      <c r="R1332" s="73"/>
      <c r="S1332" s="73"/>
      <c r="T1332" s="73"/>
      <c r="U1332" s="73"/>
      <c r="V1332" s="73"/>
      <c r="W1332" s="73"/>
      <c r="X1332" s="73"/>
      <c r="Y1332" s="73"/>
      <c r="Z1332" s="73"/>
      <c r="AA1332" s="75"/>
      <c r="AB1332" s="75"/>
      <c r="AC1332" s="55"/>
      <c r="AD1332" s="89"/>
      <c r="AE1332" s="89"/>
      <c r="AF1332" s="89"/>
      <c r="AG1332" s="57"/>
      <c r="AH1332" s="58"/>
      <c r="AI1332" s="39"/>
      <c r="AK1332" s="41"/>
    </row>
    <row r="1333" spans="1:37" ht="21">
      <c r="A1333" s="32" t="s">
        <v>2012</v>
      </c>
      <c r="B1333" s="86">
        <v>14.08</v>
      </c>
      <c r="C1333" s="87" t="s">
        <v>687</v>
      </c>
      <c r="D1333" s="88" t="s">
        <v>81</v>
      </c>
      <c r="E1333" s="73"/>
      <c r="F1333" s="73"/>
      <c r="G1333" s="73"/>
      <c r="H1333" s="73"/>
      <c r="I1333" s="73"/>
      <c r="J1333" s="73"/>
      <c r="K1333" s="73"/>
      <c r="L1333" s="73"/>
      <c r="M1333" s="73"/>
      <c r="N1333" s="73"/>
      <c r="O1333" s="73"/>
      <c r="P1333" s="73"/>
      <c r="Q1333" s="73"/>
      <c r="R1333" s="73"/>
      <c r="S1333" s="73"/>
      <c r="T1333" s="73"/>
      <c r="U1333" s="73"/>
      <c r="V1333" s="73"/>
      <c r="W1333" s="73"/>
      <c r="X1333" s="73"/>
      <c r="Y1333" s="73"/>
      <c r="Z1333" s="73"/>
      <c r="AA1333" s="75"/>
      <c r="AB1333" s="75"/>
      <c r="AC1333" s="55"/>
      <c r="AD1333" s="89"/>
      <c r="AE1333" s="89"/>
      <c r="AF1333" s="89"/>
      <c r="AG1333" s="57"/>
      <c r="AH1333" s="58"/>
      <c r="AI1333" s="39"/>
      <c r="AK1333" s="41"/>
    </row>
    <row r="1334" spans="1:37" ht="21">
      <c r="A1334" s="32" t="s">
        <v>2013</v>
      </c>
      <c r="B1334" s="86">
        <v>14.09</v>
      </c>
      <c r="C1334" s="87" t="s">
        <v>418</v>
      </c>
      <c r="D1334" s="88" t="s">
        <v>33</v>
      </c>
      <c r="E1334" s="73"/>
      <c r="F1334" s="73"/>
      <c r="G1334" s="73"/>
      <c r="H1334" s="73"/>
      <c r="I1334" s="73"/>
      <c r="J1334" s="73"/>
      <c r="K1334" s="73"/>
      <c r="L1334" s="73"/>
      <c r="M1334" s="73"/>
      <c r="N1334" s="73"/>
      <c r="O1334" s="73"/>
      <c r="P1334" s="73"/>
      <c r="Q1334" s="73"/>
      <c r="R1334" s="73"/>
      <c r="S1334" s="73"/>
      <c r="T1334" s="73"/>
      <c r="U1334" s="73"/>
      <c r="V1334" s="73"/>
      <c r="W1334" s="73"/>
      <c r="X1334" s="73"/>
      <c r="Y1334" s="73"/>
      <c r="Z1334" s="73"/>
      <c r="AA1334" s="75"/>
      <c r="AB1334" s="75"/>
      <c r="AC1334" s="55"/>
      <c r="AD1334" s="89"/>
      <c r="AE1334" s="89"/>
      <c r="AF1334" s="89"/>
      <c r="AG1334" s="57"/>
      <c r="AH1334" s="58"/>
      <c r="AI1334" s="39"/>
      <c r="AK1334" s="41"/>
    </row>
    <row r="1335" spans="1:37" ht="27.75">
      <c r="A1335" s="32" t="s">
        <v>688</v>
      </c>
      <c r="B1335" s="86" t="s">
        <v>688</v>
      </c>
      <c r="C1335" s="87" t="s">
        <v>416</v>
      </c>
      <c r="D1335" s="88" t="s">
        <v>38</v>
      </c>
      <c r="E1335" s="73"/>
      <c r="F1335" s="73"/>
      <c r="G1335" s="73"/>
      <c r="H1335" s="73"/>
      <c r="I1335" s="73"/>
      <c r="J1335" s="73"/>
      <c r="K1335" s="73"/>
      <c r="L1335" s="73"/>
      <c r="M1335" s="73"/>
      <c r="N1335" s="73"/>
      <c r="O1335" s="73"/>
      <c r="P1335" s="73"/>
      <c r="Q1335" s="73"/>
      <c r="R1335" s="73"/>
      <c r="S1335" s="73"/>
      <c r="T1335" s="73"/>
      <c r="U1335" s="73"/>
      <c r="V1335" s="73"/>
      <c r="W1335" s="73"/>
      <c r="X1335" s="73"/>
      <c r="Y1335" s="73"/>
      <c r="Z1335" s="73"/>
      <c r="AA1335" s="75"/>
      <c r="AB1335" s="75"/>
      <c r="AC1335" s="55"/>
      <c r="AD1335" s="89"/>
      <c r="AE1335" s="89"/>
      <c r="AF1335" s="89"/>
      <c r="AG1335" s="91"/>
      <c r="AH1335" s="48"/>
      <c r="AI1335" s="39"/>
      <c r="AK1335" s="41"/>
    </row>
    <row r="1336" spans="1:37" ht="21">
      <c r="A1336" s="32" t="s">
        <v>1401</v>
      </c>
      <c r="B1336" s="92" t="s">
        <v>104</v>
      </c>
      <c r="C1336" s="93" t="s">
        <v>402</v>
      </c>
      <c r="D1336" s="88" t="s">
        <v>38</v>
      </c>
      <c r="E1336" s="73"/>
      <c r="F1336" s="73"/>
      <c r="G1336" s="73"/>
      <c r="H1336" s="73"/>
      <c r="I1336" s="73"/>
      <c r="J1336" s="73"/>
      <c r="K1336" s="73"/>
      <c r="L1336" s="73"/>
      <c r="M1336" s="73"/>
      <c r="N1336" s="73"/>
      <c r="O1336" s="73"/>
      <c r="P1336" s="73"/>
      <c r="Q1336" s="73"/>
      <c r="R1336" s="73"/>
      <c r="S1336" s="73"/>
      <c r="T1336" s="73"/>
      <c r="U1336" s="73"/>
      <c r="V1336" s="73"/>
      <c r="W1336" s="73"/>
      <c r="X1336" s="73"/>
      <c r="Y1336" s="73"/>
      <c r="Z1336" s="73"/>
      <c r="AA1336" s="75"/>
      <c r="AB1336" s="75"/>
      <c r="AC1336" s="55"/>
      <c r="AD1336" s="89"/>
      <c r="AE1336" s="89"/>
      <c r="AF1336" s="89"/>
      <c r="AG1336" s="57"/>
      <c r="AH1336" s="58"/>
      <c r="AI1336" s="39"/>
      <c r="AK1336" s="41"/>
    </row>
    <row r="1337" spans="1:37" ht="21">
      <c r="A1337" s="32" t="s">
        <v>1402</v>
      </c>
      <c r="B1337" s="92" t="s">
        <v>24</v>
      </c>
      <c r="C1337" s="93" t="s">
        <v>404</v>
      </c>
      <c r="D1337" s="88" t="s">
        <v>38</v>
      </c>
      <c r="E1337" s="73"/>
      <c r="F1337" s="73"/>
      <c r="G1337" s="73"/>
      <c r="H1337" s="73"/>
      <c r="I1337" s="73"/>
      <c r="J1337" s="73"/>
      <c r="K1337" s="73"/>
      <c r="L1337" s="73"/>
      <c r="M1337" s="73"/>
      <c r="N1337" s="73"/>
      <c r="O1337" s="73"/>
      <c r="P1337" s="73"/>
      <c r="Q1337" s="73"/>
      <c r="R1337" s="73"/>
      <c r="S1337" s="73"/>
      <c r="T1337" s="73"/>
      <c r="U1337" s="73"/>
      <c r="V1337" s="73"/>
      <c r="W1337" s="73"/>
      <c r="X1337" s="73"/>
      <c r="Y1337" s="73"/>
      <c r="Z1337" s="73"/>
      <c r="AA1337" s="75"/>
      <c r="AB1337" s="75"/>
      <c r="AC1337" s="55"/>
      <c r="AD1337" s="89"/>
      <c r="AE1337" s="89"/>
      <c r="AF1337" s="89"/>
      <c r="AG1337" s="57"/>
      <c r="AH1337" s="58"/>
      <c r="AI1337" s="39"/>
      <c r="AK1337" s="41"/>
    </row>
    <row r="1338" spans="1:37" ht="27.75">
      <c r="A1338" s="32" t="s">
        <v>689</v>
      </c>
      <c r="B1338" s="86" t="s">
        <v>689</v>
      </c>
      <c r="C1338" s="87" t="s">
        <v>417</v>
      </c>
      <c r="D1338" s="88" t="s">
        <v>38</v>
      </c>
      <c r="E1338" s="73"/>
      <c r="F1338" s="73"/>
      <c r="G1338" s="73"/>
      <c r="H1338" s="73"/>
      <c r="I1338" s="73"/>
      <c r="J1338" s="73"/>
      <c r="K1338" s="73"/>
      <c r="L1338" s="73"/>
      <c r="M1338" s="73"/>
      <c r="N1338" s="73"/>
      <c r="O1338" s="73"/>
      <c r="P1338" s="73"/>
      <c r="Q1338" s="73"/>
      <c r="R1338" s="73"/>
      <c r="S1338" s="73"/>
      <c r="T1338" s="73"/>
      <c r="U1338" s="73"/>
      <c r="V1338" s="73"/>
      <c r="W1338" s="73"/>
      <c r="X1338" s="73"/>
      <c r="Y1338" s="73"/>
      <c r="Z1338" s="73"/>
      <c r="AA1338" s="75"/>
      <c r="AB1338" s="75"/>
      <c r="AC1338" s="55"/>
      <c r="AD1338" s="89"/>
      <c r="AE1338" s="89"/>
      <c r="AF1338" s="89"/>
      <c r="AG1338" s="57"/>
      <c r="AH1338" s="58"/>
      <c r="AI1338" s="39"/>
      <c r="AK1338" s="41"/>
    </row>
    <row r="1339" spans="1:37" ht="27.75">
      <c r="A1339" s="32" t="s">
        <v>690</v>
      </c>
      <c r="B1339" s="86" t="s">
        <v>690</v>
      </c>
      <c r="C1339" s="87" t="s">
        <v>2613</v>
      </c>
      <c r="D1339" s="88" t="s">
        <v>13</v>
      </c>
      <c r="E1339" s="73"/>
      <c r="F1339" s="73"/>
      <c r="G1339" s="73"/>
      <c r="H1339" s="73"/>
      <c r="I1339" s="73"/>
      <c r="J1339" s="73"/>
      <c r="K1339" s="73"/>
      <c r="L1339" s="73"/>
      <c r="M1339" s="73"/>
      <c r="N1339" s="73"/>
      <c r="O1339" s="73"/>
      <c r="P1339" s="73"/>
      <c r="Q1339" s="73"/>
      <c r="R1339" s="73"/>
      <c r="S1339" s="73"/>
      <c r="T1339" s="73"/>
      <c r="U1339" s="73"/>
      <c r="V1339" s="73"/>
      <c r="W1339" s="73"/>
      <c r="X1339" s="73"/>
      <c r="Y1339" s="73"/>
      <c r="Z1339" s="73"/>
      <c r="AA1339" s="75"/>
      <c r="AB1339" s="75"/>
      <c r="AC1339" s="55"/>
      <c r="AD1339" s="89"/>
      <c r="AE1339" s="89"/>
      <c r="AF1339" s="89"/>
      <c r="AG1339" s="57"/>
      <c r="AH1339" s="58"/>
      <c r="AI1339" s="39"/>
      <c r="AK1339" s="41"/>
    </row>
    <row r="1340" spans="1:37" ht="27.75">
      <c r="A1340" s="32" t="s">
        <v>691</v>
      </c>
      <c r="B1340" s="86" t="s">
        <v>691</v>
      </c>
      <c r="C1340" s="87" t="s">
        <v>2614</v>
      </c>
      <c r="D1340" s="88" t="s">
        <v>38</v>
      </c>
      <c r="E1340" s="73"/>
      <c r="F1340" s="73"/>
      <c r="G1340" s="73"/>
      <c r="H1340" s="73"/>
      <c r="I1340" s="73"/>
      <c r="J1340" s="73"/>
      <c r="K1340" s="73"/>
      <c r="L1340" s="73"/>
      <c r="M1340" s="73"/>
      <c r="N1340" s="73"/>
      <c r="O1340" s="73"/>
      <c r="P1340" s="73"/>
      <c r="Q1340" s="73"/>
      <c r="R1340" s="73"/>
      <c r="S1340" s="73"/>
      <c r="T1340" s="73"/>
      <c r="U1340" s="73"/>
      <c r="V1340" s="73"/>
      <c r="W1340" s="73"/>
      <c r="X1340" s="73"/>
      <c r="Y1340" s="73"/>
      <c r="Z1340" s="73"/>
      <c r="AA1340" s="75"/>
      <c r="AB1340" s="75"/>
      <c r="AC1340" s="55"/>
      <c r="AD1340" s="89"/>
      <c r="AE1340" s="89"/>
      <c r="AF1340" s="89"/>
      <c r="AG1340" s="57"/>
      <c r="AH1340" s="58"/>
      <c r="AI1340" s="39"/>
      <c r="AK1340" s="41"/>
    </row>
    <row r="1341" spans="1:37" ht="21">
      <c r="A1341" s="32" t="s">
        <v>692</v>
      </c>
      <c r="B1341" s="86" t="s">
        <v>692</v>
      </c>
      <c r="C1341" s="87" t="s">
        <v>693</v>
      </c>
      <c r="D1341" s="88" t="s">
        <v>81</v>
      </c>
      <c r="E1341" s="73"/>
      <c r="F1341" s="73"/>
      <c r="G1341" s="73"/>
      <c r="H1341" s="73"/>
      <c r="I1341" s="73"/>
      <c r="J1341" s="73"/>
      <c r="K1341" s="73"/>
      <c r="L1341" s="73"/>
      <c r="M1341" s="73"/>
      <c r="N1341" s="73"/>
      <c r="O1341" s="73"/>
      <c r="P1341" s="73"/>
      <c r="Q1341" s="73"/>
      <c r="R1341" s="73"/>
      <c r="S1341" s="73"/>
      <c r="T1341" s="73"/>
      <c r="U1341" s="73"/>
      <c r="V1341" s="73"/>
      <c r="W1341" s="73"/>
      <c r="X1341" s="73"/>
      <c r="Y1341" s="73"/>
      <c r="Z1341" s="73"/>
      <c r="AA1341" s="75"/>
      <c r="AB1341" s="75"/>
      <c r="AC1341" s="55"/>
      <c r="AD1341" s="89"/>
      <c r="AE1341" s="89"/>
      <c r="AF1341" s="89"/>
      <c r="AG1341" s="57"/>
      <c r="AH1341" s="58"/>
      <c r="AI1341" s="39"/>
      <c r="AK1341" s="41"/>
    </row>
    <row r="1342" spans="1:37" ht="129.75">
      <c r="A1342" s="32" t="s">
        <v>694</v>
      </c>
      <c r="B1342" s="86" t="s">
        <v>694</v>
      </c>
      <c r="C1342" s="145" t="s">
        <v>2675</v>
      </c>
      <c r="E1342" s="73"/>
      <c r="F1342" s="73"/>
      <c r="G1342" s="73"/>
      <c r="H1342" s="73"/>
      <c r="I1342" s="73"/>
      <c r="J1342" s="73"/>
      <c r="K1342" s="73"/>
      <c r="L1342" s="73"/>
      <c r="M1342" s="73"/>
      <c r="N1342" s="73"/>
      <c r="O1342" s="73"/>
      <c r="P1342" s="73"/>
      <c r="Q1342" s="73"/>
      <c r="R1342" s="73"/>
      <c r="S1342" s="73"/>
      <c r="T1342" s="73"/>
      <c r="U1342" s="73"/>
      <c r="V1342" s="73"/>
      <c r="W1342" s="73"/>
      <c r="X1342" s="73"/>
      <c r="Y1342" s="73"/>
      <c r="Z1342" s="73"/>
      <c r="AA1342" s="75"/>
      <c r="AB1342" s="75"/>
      <c r="AC1342" s="55"/>
      <c r="AD1342" s="89"/>
      <c r="AE1342" s="89"/>
      <c r="AF1342" s="89"/>
      <c r="AG1342" s="48"/>
      <c r="AH1342" s="48"/>
      <c r="AI1342" s="48"/>
      <c r="AJ1342" s="48"/>
      <c r="AK1342" s="48"/>
    </row>
    <row r="1343" spans="1:37" ht="40.5">
      <c r="A1343" s="32" t="s">
        <v>2170</v>
      </c>
      <c r="B1343" s="48" t="s">
        <v>14</v>
      </c>
      <c r="C1343" s="145" t="s">
        <v>2167</v>
      </c>
      <c r="D1343" s="61" t="s">
        <v>2090</v>
      </c>
      <c r="E1343" s="73"/>
      <c r="F1343" s="73"/>
      <c r="G1343" s="73"/>
      <c r="H1343" s="73"/>
      <c r="I1343" s="73"/>
      <c r="J1343" s="73"/>
      <c r="K1343" s="73"/>
      <c r="L1343" s="73"/>
      <c r="M1343" s="73"/>
      <c r="N1343" s="73"/>
      <c r="O1343" s="73"/>
      <c r="P1343" s="73"/>
      <c r="Q1343" s="73"/>
      <c r="R1343" s="73"/>
      <c r="S1343" s="73"/>
      <c r="T1343" s="73"/>
      <c r="U1343" s="73"/>
      <c r="V1343" s="73"/>
      <c r="W1343" s="73"/>
      <c r="X1343" s="73"/>
      <c r="Y1343" s="73"/>
      <c r="Z1343" s="73"/>
      <c r="AA1343" s="75"/>
      <c r="AB1343" s="75"/>
      <c r="AC1343" s="55"/>
      <c r="AD1343" s="89"/>
      <c r="AE1343" s="89"/>
      <c r="AF1343" s="89"/>
      <c r="AG1343" s="57"/>
      <c r="AH1343" s="58"/>
      <c r="AI1343" s="39"/>
      <c r="AK1343" s="41"/>
    </row>
    <row r="1344" spans="1:37" ht="40.5">
      <c r="A1344" s="32" t="s">
        <v>2171</v>
      </c>
      <c r="B1344" s="48" t="s">
        <v>15</v>
      </c>
      <c r="C1344" s="145" t="s">
        <v>2168</v>
      </c>
      <c r="D1344" s="61" t="s">
        <v>2090</v>
      </c>
      <c r="E1344" s="73"/>
      <c r="F1344" s="73"/>
      <c r="G1344" s="73"/>
      <c r="H1344" s="73"/>
      <c r="I1344" s="73"/>
      <c r="J1344" s="73"/>
      <c r="K1344" s="73"/>
      <c r="L1344" s="73"/>
      <c r="M1344" s="73"/>
      <c r="N1344" s="73"/>
      <c r="O1344" s="73"/>
      <c r="P1344" s="73"/>
      <c r="Q1344" s="73"/>
      <c r="R1344" s="73"/>
      <c r="S1344" s="73"/>
      <c r="T1344" s="73"/>
      <c r="U1344" s="73"/>
      <c r="V1344" s="73"/>
      <c r="W1344" s="73"/>
      <c r="X1344" s="73"/>
      <c r="Y1344" s="73"/>
      <c r="Z1344" s="73"/>
      <c r="AA1344" s="75"/>
      <c r="AB1344" s="75"/>
      <c r="AC1344" s="55"/>
      <c r="AD1344" s="89"/>
      <c r="AE1344" s="89"/>
      <c r="AF1344" s="89"/>
      <c r="AG1344" s="57"/>
      <c r="AH1344" s="58"/>
      <c r="AI1344" s="39"/>
      <c r="AK1344" s="41"/>
    </row>
    <row r="1345" spans="1:37" ht="40.5">
      <c r="A1345" s="32" t="s">
        <v>2172</v>
      </c>
      <c r="B1345" s="48" t="s">
        <v>40</v>
      </c>
      <c r="C1345" s="145" t="s">
        <v>2169</v>
      </c>
      <c r="D1345" s="61" t="s">
        <v>2090</v>
      </c>
      <c r="E1345" s="73"/>
      <c r="F1345" s="73"/>
      <c r="G1345" s="73"/>
      <c r="H1345" s="73"/>
      <c r="I1345" s="73"/>
      <c r="J1345" s="73"/>
      <c r="K1345" s="73"/>
      <c r="L1345" s="73"/>
      <c r="M1345" s="73"/>
      <c r="N1345" s="73"/>
      <c r="O1345" s="73"/>
      <c r="P1345" s="73"/>
      <c r="Q1345" s="73"/>
      <c r="R1345" s="73"/>
      <c r="S1345" s="73"/>
      <c r="T1345" s="73"/>
      <c r="U1345" s="73"/>
      <c r="V1345" s="73"/>
      <c r="W1345" s="73"/>
      <c r="X1345" s="73"/>
      <c r="Y1345" s="73"/>
      <c r="Z1345" s="73"/>
      <c r="AA1345" s="75"/>
      <c r="AB1345" s="75"/>
      <c r="AC1345" s="55"/>
      <c r="AD1345" s="89"/>
      <c r="AE1345" s="89"/>
      <c r="AF1345" s="89"/>
      <c r="AG1345" s="57"/>
      <c r="AH1345" s="58"/>
      <c r="AI1345" s="39"/>
      <c r="AK1345" s="41"/>
    </row>
    <row r="1346" spans="1:37" ht="40.5">
      <c r="A1346" s="32" t="s">
        <v>695</v>
      </c>
      <c r="B1346" s="86" t="s">
        <v>695</v>
      </c>
      <c r="C1346" s="87" t="s">
        <v>2615</v>
      </c>
      <c r="D1346" s="88" t="s">
        <v>8</v>
      </c>
      <c r="E1346" s="73"/>
      <c r="F1346" s="73"/>
      <c r="G1346" s="73"/>
      <c r="H1346" s="73"/>
      <c r="I1346" s="73"/>
      <c r="J1346" s="73"/>
      <c r="K1346" s="73"/>
      <c r="L1346" s="73"/>
      <c r="M1346" s="73"/>
      <c r="N1346" s="73"/>
      <c r="O1346" s="73"/>
      <c r="P1346" s="73"/>
      <c r="Q1346" s="73"/>
      <c r="R1346" s="73"/>
      <c r="S1346" s="73"/>
      <c r="T1346" s="73"/>
      <c r="U1346" s="73"/>
      <c r="V1346" s="73"/>
      <c r="W1346" s="73"/>
      <c r="X1346" s="73"/>
      <c r="Y1346" s="73"/>
      <c r="Z1346" s="73"/>
      <c r="AA1346" s="75"/>
      <c r="AB1346" s="75"/>
      <c r="AC1346" s="55"/>
      <c r="AD1346" s="89"/>
      <c r="AE1346" s="89"/>
      <c r="AF1346" s="89"/>
      <c r="AG1346" s="57"/>
      <c r="AH1346" s="58"/>
      <c r="AI1346" s="39"/>
      <c r="AK1346" s="41"/>
    </row>
    <row r="1347" spans="1:37" ht="21">
      <c r="A1347" s="32" t="s">
        <v>1403</v>
      </c>
      <c r="B1347" s="86">
        <v>14.17</v>
      </c>
      <c r="C1347" s="87" t="s">
        <v>421</v>
      </c>
      <c r="D1347" s="88"/>
      <c r="E1347" s="73"/>
      <c r="F1347" s="73"/>
      <c r="G1347" s="73"/>
      <c r="H1347" s="73"/>
      <c r="I1347" s="73"/>
      <c r="J1347" s="73"/>
      <c r="K1347" s="73"/>
      <c r="L1347" s="73"/>
      <c r="M1347" s="73"/>
      <c r="N1347" s="73"/>
      <c r="O1347" s="73"/>
      <c r="P1347" s="73"/>
      <c r="Q1347" s="73"/>
      <c r="R1347" s="73"/>
      <c r="S1347" s="73"/>
      <c r="T1347" s="73"/>
      <c r="U1347" s="73"/>
      <c r="V1347" s="73"/>
      <c r="W1347" s="73"/>
      <c r="X1347" s="73"/>
      <c r="Y1347" s="73"/>
      <c r="Z1347" s="73"/>
      <c r="AA1347" s="75"/>
      <c r="AB1347" s="75"/>
      <c r="AC1347" s="55"/>
      <c r="AD1347" s="89"/>
      <c r="AE1347" s="89"/>
      <c r="AF1347" s="89"/>
      <c r="AG1347" s="91"/>
      <c r="AH1347" s="48"/>
      <c r="AI1347" s="39"/>
      <c r="AK1347" s="41"/>
    </row>
    <row r="1348" spans="1:37" ht="27.75">
      <c r="A1348" s="32" t="s">
        <v>1404</v>
      </c>
      <c r="B1348" s="92" t="s">
        <v>104</v>
      </c>
      <c r="C1348" s="93" t="s">
        <v>422</v>
      </c>
      <c r="D1348" s="88" t="s">
        <v>81</v>
      </c>
      <c r="E1348" s="73"/>
      <c r="F1348" s="73"/>
      <c r="G1348" s="73"/>
      <c r="H1348" s="73"/>
      <c r="I1348" s="73"/>
      <c r="J1348" s="73"/>
      <c r="K1348" s="73"/>
      <c r="L1348" s="73"/>
      <c r="M1348" s="73"/>
      <c r="N1348" s="73"/>
      <c r="O1348" s="73"/>
      <c r="P1348" s="73"/>
      <c r="Q1348" s="73"/>
      <c r="R1348" s="73"/>
      <c r="S1348" s="73"/>
      <c r="T1348" s="73"/>
      <c r="U1348" s="73"/>
      <c r="V1348" s="73"/>
      <c r="W1348" s="73"/>
      <c r="X1348" s="73"/>
      <c r="Y1348" s="73"/>
      <c r="Z1348" s="73"/>
      <c r="AA1348" s="75"/>
      <c r="AB1348" s="75"/>
      <c r="AC1348" s="55"/>
      <c r="AD1348" s="89"/>
      <c r="AE1348" s="89"/>
      <c r="AF1348" s="89"/>
      <c r="AG1348" s="57"/>
      <c r="AH1348" s="58"/>
      <c r="AI1348" s="39"/>
      <c r="AK1348" s="41"/>
    </row>
    <row r="1349" spans="1:37" ht="27.75">
      <c r="A1349" s="32" t="s">
        <v>1405</v>
      </c>
      <c r="B1349" s="92" t="s">
        <v>24</v>
      </c>
      <c r="C1349" s="93" t="s">
        <v>423</v>
      </c>
      <c r="D1349" s="88" t="s">
        <v>81</v>
      </c>
      <c r="E1349" s="73"/>
      <c r="F1349" s="73"/>
      <c r="G1349" s="73"/>
      <c r="H1349" s="73"/>
      <c r="I1349" s="73"/>
      <c r="J1349" s="73"/>
      <c r="K1349" s="73"/>
      <c r="L1349" s="73"/>
      <c r="M1349" s="73"/>
      <c r="N1349" s="73"/>
      <c r="O1349" s="73"/>
      <c r="P1349" s="73"/>
      <c r="Q1349" s="73"/>
      <c r="R1349" s="73"/>
      <c r="S1349" s="73"/>
      <c r="T1349" s="73"/>
      <c r="U1349" s="73"/>
      <c r="V1349" s="73"/>
      <c r="W1349" s="73"/>
      <c r="X1349" s="73"/>
      <c r="Y1349" s="73"/>
      <c r="Z1349" s="73"/>
      <c r="AA1349" s="75"/>
      <c r="AB1349" s="75"/>
      <c r="AC1349" s="55"/>
      <c r="AD1349" s="89"/>
      <c r="AE1349" s="89"/>
      <c r="AF1349" s="89"/>
      <c r="AG1349" s="57"/>
      <c r="AH1349" s="58"/>
      <c r="AI1349" s="39"/>
      <c r="AK1349" s="41"/>
    </row>
    <row r="1350" spans="1:37" ht="40.5">
      <c r="A1350" s="32" t="s">
        <v>1406</v>
      </c>
      <c r="B1350" s="92" t="s">
        <v>25</v>
      </c>
      <c r="C1350" s="93" t="s">
        <v>696</v>
      </c>
      <c r="D1350" s="88" t="s">
        <v>81</v>
      </c>
      <c r="E1350" s="73"/>
      <c r="F1350" s="73"/>
      <c r="G1350" s="73"/>
      <c r="H1350" s="73"/>
      <c r="I1350" s="73"/>
      <c r="J1350" s="73"/>
      <c r="K1350" s="73"/>
      <c r="L1350" s="73"/>
      <c r="M1350" s="73"/>
      <c r="N1350" s="73"/>
      <c r="O1350" s="73"/>
      <c r="P1350" s="73"/>
      <c r="Q1350" s="73"/>
      <c r="R1350" s="73"/>
      <c r="S1350" s="73"/>
      <c r="T1350" s="73"/>
      <c r="U1350" s="73"/>
      <c r="V1350" s="73"/>
      <c r="W1350" s="73"/>
      <c r="X1350" s="73"/>
      <c r="Y1350" s="73"/>
      <c r="Z1350" s="73"/>
      <c r="AA1350" s="75"/>
      <c r="AB1350" s="75"/>
      <c r="AC1350" s="55"/>
      <c r="AD1350" s="89"/>
      <c r="AE1350" s="89"/>
      <c r="AF1350" s="89"/>
      <c r="AG1350" s="57"/>
      <c r="AH1350" s="58"/>
      <c r="AI1350" s="39"/>
      <c r="AK1350" s="41"/>
    </row>
    <row r="1351" spans="1:37" ht="27.75">
      <c r="A1351" s="32" t="s">
        <v>1407</v>
      </c>
      <c r="B1351" s="92" t="s">
        <v>60</v>
      </c>
      <c r="C1351" s="93" t="s">
        <v>697</v>
      </c>
      <c r="D1351" s="88" t="s">
        <v>81</v>
      </c>
      <c r="E1351" s="73"/>
      <c r="F1351" s="73"/>
      <c r="G1351" s="73"/>
      <c r="H1351" s="73"/>
      <c r="I1351" s="73"/>
      <c r="J1351" s="73"/>
      <c r="K1351" s="73"/>
      <c r="L1351" s="73"/>
      <c r="M1351" s="73"/>
      <c r="N1351" s="73"/>
      <c r="O1351" s="73"/>
      <c r="P1351" s="73"/>
      <c r="Q1351" s="73"/>
      <c r="R1351" s="73"/>
      <c r="S1351" s="73"/>
      <c r="T1351" s="73"/>
      <c r="U1351" s="73"/>
      <c r="V1351" s="73"/>
      <c r="W1351" s="73"/>
      <c r="X1351" s="73"/>
      <c r="Y1351" s="73"/>
      <c r="Z1351" s="73"/>
      <c r="AA1351" s="75"/>
      <c r="AB1351" s="75"/>
      <c r="AC1351" s="55"/>
      <c r="AD1351" s="89"/>
      <c r="AE1351" s="89"/>
      <c r="AF1351" s="89"/>
      <c r="AG1351" s="57"/>
      <c r="AH1351" s="58"/>
      <c r="AI1351" s="39"/>
      <c r="AK1351" s="41"/>
    </row>
    <row r="1352" spans="1:37" ht="78.75">
      <c r="A1352" s="32" t="s">
        <v>1408</v>
      </c>
      <c r="B1352" s="86">
        <v>14.18</v>
      </c>
      <c r="C1352" s="87" t="s">
        <v>2616</v>
      </c>
      <c r="D1352" s="88" t="s">
        <v>81</v>
      </c>
      <c r="E1352" s="73"/>
      <c r="F1352" s="73"/>
      <c r="G1352" s="73"/>
      <c r="H1352" s="73"/>
      <c r="I1352" s="73"/>
      <c r="J1352" s="73"/>
      <c r="K1352" s="73"/>
      <c r="L1352" s="73"/>
      <c r="M1352" s="73"/>
      <c r="N1352" s="73"/>
      <c r="O1352" s="73"/>
      <c r="P1352" s="73"/>
      <c r="Q1352" s="73"/>
      <c r="R1352" s="73"/>
      <c r="S1352" s="73"/>
      <c r="T1352" s="73"/>
      <c r="U1352" s="73"/>
      <c r="V1352" s="73"/>
      <c r="W1352" s="73"/>
      <c r="X1352" s="73"/>
      <c r="Y1352" s="73"/>
      <c r="Z1352" s="73"/>
      <c r="AA1352" s="75"/>
      <c r="AB1352" s="75"/>
      <c r="AC1352" s="55"/>
      <c r="AD1352" s="89"/>
      <c r="AE1352" s="89"/>
      <c r="AF1352" s="89"/>
      <c r="AG1352" s="57"/>
      <c r="AH1352" s="58"/>
      <c r="AI1352" s="39"/>
      <c r="AK1352" s="41"/>
    </row>
    <row r="1353" spans="1:37" ht="78.75">
      <c r="A1353" s="32" t="s">
        <v>1409</v>
      </c>
      <c r="B1353" s="86">
        <v>14.19</v>
      </c>
      <c r="C1353" s="87" t="s">
        <v>2617</v>
      </c>
      <c r="D1353" s="88" t="s">
        <v>81</v>
      </c>
      <c r="E1353" s="73"/>
      <c r="F1353" s="73"/>
      <c r="G1353" s="73"/>
      <c r="H1353" s="73"/>
      <c r="I1353" s="73"/>
      <c r="J1353" s="73"/>
      <c r="K1353" s="73"/>
      <c r="L1353" s="73"/>
      <c r="M1353" s="73"/>
      <c r="N1353" s="73"/>
      <c r="O1353" s="73"/>
      <c r="P1353" s="73"/>
      <c r="Q1353" s="73"/>
      <c r="R1353" s="73"/>
      <c r="S1353" s="73"/>
      <c r="T1353" s="73"/>
      <c r="U1353" s="73"/>
      <c r="V1353" s="73"/>
      <c r="W1353" s="73"/>
      <c r="X1353" s="73"/>
      <c r="Y1353" s="73"/>
      <c r="Z1353" s="73"/>
      <c r="AA1353" s="75"/>
      <c r="AB1353" s="75"/>
      <c r="AC1353" s="55"/>
      <c r="AD1353" s="89"/>
      <c r="AE1353" s="89"/>
      <c r="AF1353" s="89"/>
      <c r="AG1353" s="57"/>
      <c r="AH1353" s="58"/>
      <c r="AI1353" s="39"/>
      <c r="AK1353" s="41"/>
    </row>
    <row r="1354" spans="1:37" ht="66">
      <c r="A1354" s="32" t="s">
        <v>1410</v>
      </c>
      <c r="B1354" s="101">
        <v>14.2</v>
      </c>
      <c r="C1354" s="87" t="s">
        <v>2618</v>
      </c>
      <c r="D1354" s="88" t="s">
        <v>81</v>
      </c>
      <c r="E1354" s="73"/>
      <c r="F1354" s="73"/>
      <c r="G1354" s="73"/>
      <c r="H1354" s="73"/>
      <c r="I1354" s="73"/>
      <c r="J1354" s="73"/>
      <c r="K1354" s="73"/>
      <c r="L1354" s="73"/>
      <c r="M1354" s="73"/>
      <c r="N1354" s="73"/>
      <c r="O1354" s="73"/>
      <c r="P1354" s="73"/>
      <c r="Q1354" s="73"/>
      <c r="R1354" s="73"/>
      <c r="S1354" s="73"/>
      <c r="T1354" s="73"/>
      <c r="U1354" s="73"/>
      <c r="V1354" s="73"/>
      <c r="W1354" s="73"/>
      <c r="X1354" s="73"/>
      <c r="Y1354" s="73"/>
      <c r="Z1354" s="73"/>
      <c r="AA1354" s="75"/>
      <c r="AB1354" s="75"/>
      <c r="AC1354" s="55"/>
      <c r="AD1354" s="89"/>
      <c r="AE1354" s="89"/>
      <c r="AF1354" s="89"/>
      <c r="AG1354" s="57"/>
      <c r="AH1354" s="58"/>
      <c r="AI1354" s="39"/>
      <c r="AK1354" s="41"/>
    </row>
    <row r="1355" spans="1:37" ht="53.25">
      <c r="A1355" s="32" t="s">
        <v>1411</v>
      </c>
      <c r="B1355" s="86">
        <v>14.21</v>
      </c>
      <c r="C1355" s="87" t="s">
        <v>2619</v>
      </c>
      <c r="D1355" s="88" t="s">
        <v>81</v>
      </c>
      <c r="E1355" s="73"/>
      <c r="F1355" s="73"/>
      <c r="G1355" s="73"/>
      <c r="H1355" s="73"/>
      <c r="I1355" s="73"/>
      <c r="J1355" s="73"/>
      <c r="K1355" s="73"/>
      <c r="L1355" s="73"/>
      <c r="M1355" s="73"/>
      <c r="N1355" s="73"/>
      <c r="O1355" s="73"/>
      <c r="P1355" s="73"/>
      <c r="Q1355" s="73"/>
      <c r="R1355" s="73"/>
      <c r="S1355" s="73"/>
      <c r="T1355" s="73"/>
      <c r="U1355" s="73"/>
      <c r="V1355" s="73"/>
      <c r="W1355" s="73"/>
      <c r="X1355" s="73"/>
      <c r="Y1355" s="73"/>
      <c r="Z1355" s="73"/>
      <c r="AA1355" s="75"/>
      <c r="AB1355" s="75"/>
      <c r="AC1355" s="55"/>
      <c r="AD1355" s="89"/>
      <c r="AE1355" s="89"/>
      <c r="AF1355" s="89"/>
      <c r="AG1355" s="57"/>
      <c r="AH1355" s="58"/>
      <c r="AI1355" s="39"/>
      <c r="AK1355" s="41"/>
    </row>
    <row r="1356" spans="1:37" ht="53.25">
      <c r="A1356" s="32" t="s">
        <v>1412</v>
      </c>
      <c r="B1356" s="86">
        <v>14.22</v>
      </c>
      <c r="C1356" s="87" t="s">
        <v>2620</v>
      </c>
      <c r="D1356" s="88" t="s">
        <v>81</v>
      </c>
      <c r="E1356" s="73"/>
      <c r="F1356" s="73"/>
      <c r="G1356" s="73"/>
      <c r="H1356" s="73"/>
      <c r="I1356" s="73"/>
      <c r="J1356" s="73"/>
      <c r="K1356" s="73"/>
      <c r="L1356" s="73"/>
      <c r="M1356" s="73"/>
      <c r="N1356" s="73"/>
      <c r="O1356" s="73"/>
      <c r="P1356" s="73"/>
      <c r="Q1356" s="73"/>
      <c r="R1356" s="73"/>
      <c r="S1356" s="73"/>
      <c r="T1356" s="73"/>
      <c r="U1356" s="73"/>
      <c r="V1356" s="73"/>
      <c r="W1356" s="73"/>
      <c r="X1356" s="73"/>
      <c r="Y1356" s="73"/>
      <c r="Z1356" s="73"/>
      <c r="AA1356" s="75"/>
      <c r="AB1356" s="75"/>
      <c r="AC1356" s="55"/>
      <c r="AD1356" s="89"/>
      <c r="AE1356" s="89"/>
      <c r="AF1356" s="89"/>
      <c r="AG1356" s="57"/>
      <c r="AH1356" s="58"/>
      <c r="AI1356" s="39"/>
      <c r="AK1356" s="41"/>
    </row>
    <row r="1357" spans="1:37" ht="53.25">
      <c r="A1357" s="32" t="s">
        <v>1413</v>
      </c>
      <c r="B1357" s="86">
        <v>14.23</v>
      </c>
      <c r="C1357" s="87" t="s">
        <v>2621</v>
      </c>
      <c r="D1357" s="88" t="s">
        <v>81</v>
      </c>
      <c r="E1357" s="73"/>
      <c r="F1357" s="73"/>
      <c r="G1357" s="73"/>
      <c r="H1357" s="73"/>
      <c r="I1357" s="73"/>
      <c r="J1357" s="73"/>
      <c r="K1357" s="73"/>
      <c r="L1357" s="73"/>
      <c r="M1357" s="73"/>
      <c r="N1357" s="73"/>
      <c r="O1357" s="73"/>
      <c r="P1357" s="73"/>
      <c r="Q1357" s="73"/>
      <c r="R1357" s="73"/>
      <c r="S1357" s="73"/>
      <c r="T1357" s="73"/>
      <c r="U1357" s="73"/>
      <c r="V1357" s="73"/>
      <c r="W1357" s="73"/>
      <c r="X1357" s="73"/>
      <c r="Y1357" s="73"/>
      <c r="Z1357" s="73"/>
      <c r="AA1357" s="75"/>
      <c r="AB1357" s="75"/>
      <c r="AC1357" s="55"/>
      <c r="AD1357" s="89"/>
      <c r="AE1357" s="89"/>
      <c r="AF1357" s="89"/>
      <c r="AG1357" s="57"/>
      <c r="AH1357" s="58"/>
      <c r="AI1357" s="39"/>
      <c r="AK1357" s="41"/>
    </row>
    <row r="1358" spans="1:37" ht="34.5" customHeight="1">
      <c r="A1358" s="32" t="s">
        <v>1414</v>
      </c>
      <c r="B1358" s="86">
        <v>14.24</v>
      </c>
      <c r="C1358" s="87" t="s">
        <v>2622</v>
      </c>
      <c r="D1358" s="88" t="s">
        <v>841</v>
      </c>
      <c r="E1358" s="73"/>
      <c r="F1358" s="73"/>
      <c r="G1358" s="73"/>
      <c r="H1358" s="73"/>
      <c r="I1358" s="73"/>
      <c r="J1358" s="73"/>
      <c r="K1358" s="73"/>
      <c r="L1358" s="73"/>
      <c r="M1358" s="73"/>
      <c r="N1358" s="73"/>
      <c r="O1358" s="73"/>
      <c r="P1358" s="73"/>
      <c r="Q1358" s="73"/>
      <c r="R1358" s="73"/>
      <c r="S1358" s="73"/>
      <c r="T1358" s="73"/>
      <c r="U1358" s="73"/>
      <c r="V1358" s="73"/>
      <c r="W1358" s="73"/>
      <c r="X1358" s="73"/>
      <c r="Y1358" s="73"/>
      <c r="Z1358" s="73"/>
      <c r="AA1358" s="75"/>
      <c r="AB1358" s="75"/>
      <c r="AC1358" s="55"/>
      <c r="AD1358" s="89"/>
      <c r="AE1358" s="89"/>
      <c r="AF1358" s="89"/>
      <c r="AG1358" s="57"/>
      <c r="AH1358" s="58"/>
      <c r="AI1358" s="39"/>
      <c r="AK1358" s="41"/>
    </row>
    <row r="1359" spans="1:37" ht="144" customHeight="1">
      <c r="A1359" s="32" t="s">
        <v>1740</v>
      </c>
      <c r="B1359" s="86">
        <v>14.25</v>
      </c>
      <c r="C1359" s="87" t="s">
        <v>2623</v>
      </c>
      <c r="D1359" s="88" t="s">
        <v>204</v>
      </c>
      <c r="E1359" s="73"/>
      <c r="F1359" s="73"/>
      <c r="G1359" s="73"/>
      <c r="H1359" s="73"/>
      <c r="I1359" s="73"/>
      <c r="J1359" s="73"/>
      <c r="K1359" s="73"/>
      <c r="L1359" s="73"/>
      <c r="M1359" s="73"/>
      <c r="N1359" s="73"/>
      <c r="O1359" s="73"/>
      <c r="P1359" s="73"/>
      <c r="Q1359" s="73"/>
      <c r="R1359" s="73"/>
      <c r="S1359" s="73"/>
      <c r="T1359" s="73"/>
      <c r="U1359" s="73"/>
      <c r="V1359" s="73"/>
      <c r="W1359" s="73"/>
      <c r="X1359" s="73"/>
      <c r="Y1359" s="73"/>
      <c r="Z1359" s="73"/>
      <c r="AA1359" s="75"/>
      <c r="AB1359" s="75"/>
      <c r="AC1359" s="55"/>
      <c r="AD1359" s="89"/>
      <c r="AE1359" s="89"/>
      <c r="AF1359" s="89"/>
      <c r="AG1359" s="57"/>
      <c r="AH1359" s="58"/>
      <c r="AI1359" s="39"/>
      <c r="AK1359" s="41"/>
    </row>
    <row r="1360" spans="1:37" ht="34.5" customHeight="1">
      <c r="A1360" s="32" t="s">
        <v>1741</v>
      </c>
      <c r="B1360" s="86">
        <v>14.26</v>
      </c>
      <c r="C1360" s="87" t="s">
        <v>2624</v>
      </c>
      <c r="D1360" s="88" t="s">
        <v>13</v>
      </c>
      <c r="E1360" s="73"/>
      <c r="F1360" s="73"/>
      <c r="G1360" s="73"/>
      <c r="H1360" s="73"/>
      <c r="I1360" s="73"/>
      <c r="J1360" s="73"/>
      <c r="K1360" s="73"/>
      <c r="L1360" s="73"/>
      <c r="M1360" s="73"/>
      <c r="N1360" s="73"/>
      <c r="O1360" s="73"/>
      <c r="P1360" s="73"/>
      <c r="Q1360" s="73"/>
      <c r="R1360" s="73"/>
      <c r="S1360" s="73"/>
      <c r="T1360" s="73"/>
      <c r="U1360" s="73"/>
      <c r="V1360" s="73"/>
      <c r="W1360" s="73"/>
      <c r="X1360" s="73"/>
      <c r="Y1360" s="73"/>
      <c r="Z1360" s="73"/>
      <c r="AA1360" s="75"/>
      <c r="AB1360" s="75"/>
      <c r="AC1360" s="55"/>
      <c r="AD1360" s="89"/>
      <c r="AE1360" s="89"/>
      <c r="AF1360" s="89"/>
      <c r="AG1360" s="57"/>
      <c r="AH1360" s="58"/>
      <c r="AI1360" s="39"/>
      <c r="AK1360" s="41"/>
    </row>
    <row r="1361" spans="1:38" ht="21">
      <c r="A1361" s="32" t="s">
        <v>1495</v>
      </c>
      <c r="B1361" s="80"/>
      <c r="C1361" s="33" t="s">
        <v>1646</v>
      </c>
      <c r="D1361" s="80"/>
      <c r="E1361" s="81"/>
      <c r="F1361" s="81"/>
      <c r="G1361" s="81"/>
      <c r="H1361" s="81"/>
      <c r="I1361" s="81"/>
      <c r="J1361" s="81"/>
      <c r="K1361" s="81"/>
      <c r="L1361" s="81"/>
      <c r="M1361" s="81"/>
      <c r="N1361" s="81"/>
      <c r="O1361" s="81"/>
      <c r="P1361" s="81"/>
      <c r="Q1361" s="81"/>
      <c r="R1361" s="81"/>
      <c r="S1361" s="81"/>
      <c r="T1361" s="81"/>
      <c r="U1361" s="81"/>
      <c r="V1361" s="81"/>
      <c r="W1361" s="81"/>
      <c r="X1361" s="81"/>
      <c r="Y1361" s="81"/>
      <c r="Z1361" s="81"/>
      <c r="AA1361" s="83"/>
      <c r="AB1361" s="83"/>
      <c r="AC1361" s="55"/>
      <c r="AD1361" s="89"/>
      <c r="AE1361" s="89"/>
      <c r="AF1361" s="89"/>
      <c r="AG1361" s="91"/>
      <c r="AH1361" s="48"/>
      <c r="AI1361" s="39"/>
      <c r="AK1361" s="41"/>
      <c r="AL1361" s="85"/>
    </row>
    <row r="1362" spans="1:38" ht="40.5">
      <c r="A1362" s="32" t="s">
        <v>1647</v>
      </c>
      <c r="B1362" s="126">
        <v>15.01</v>
      </c>
      <c r="C1362" s="60" t="s">
        <v>2549</v>
      </c>
      <c r="D1362" s="52"/>
      <c r="E1362" s="73"/>
      <c r="F1362" s="73"/>
      <c r="G1362" s="73"/>
      <c r="H1362" s="73"/>
      <c r="I1362" s="73"/>
      <c r="J1362" s="73"/>
      <c r="K1362" s="73"/>
      <c r="L1362" s="73"/>
      <c r="M1362" s="73"/>
      <c r="N1362" s="73"/>
      <c r="O1362" s="73"/>
      <c r="P1362" s="73"/>
      <c r="Q1362" s="73"/>
      <c r="R1362" s="73"/>
      <c r="S1362" s="73"/>
      <c r="T1362" s="73"/>
      <c r="U1362" s="73"/>
      <c r="V1362" s="73"/>
      <c r="W1362" s="73"/>
      <c r="X1362" s="73"/>
      <c r="Y1362" s="73"/>
      <c r="Z1362" s="73"/>
      <c r="AA1362" s="75"/>
      <c r="AB1362" s="75"/>
      <c r="AC1362" s="55"/>
      <c r="AD1362" s="89"/>
      <c r="AE1362" s="89"/>
      <c r="AF1362" s="89"/>
      <c r="AG1362" s="91"/>
      <c r="AH1362" s="48"/>
      <c r="AI1362" s="39"/>
      <c r="AK1362" s="41"/>
    </row>
    <row r="1363" spans="1:38" ht="21">
      <c r="A1363" s="32" t="s">
        <v>1648</v>
      </c>
      <c r="B1363" s="147" t="s">
        <v>35</v>
      </c>
      <c r="C1363" s="63" t="s">
        <v>105</v>
      </c>
      <c r="D1363" s="52"/>
      <c r="E1363" s="73"/>
      <c r="F1363" s="73"/>
      <c r="G1363" s="73"/>
      <c r="H1363" s="73"/>
      <c r="I1363" s="73"/>
      <c r="J1363" s="73"/>
      <c r="K1363" s="73"/>
      <c r="L1363" s="73"/>
      <c r="M1363" s="73"/>
      <c r="N1363" s="73"/>
      <c r="O1363" s="73"/>
      <c r="P1363" s="73"/>
      <c r="Q1363" s="73"/>
      <c r="R1363" s="73"/>
      <c r="S1363" s="73"/>
      <c r="T1363" s="73"/>
      <c r="U1363" s="73"/>
      <c r="V1363" s="73"/>
      <c r="W1363" s="73"/>
      <c r="X1363" s="73"/>
      <c r="Y1363" s="73"/>
      <c r="Z1363" s="73"/>
      <c r="AA1363" s="75"/>
      <c r="AB1363" s="75"/>
      <c r="AC1363" s="55"/>
      <c r="AD1363" s="89"/>
      <c r="AE1363" s="89"/>
      <c r="AF1363" s="89"/>
      <c r="AG1363" s="91"/>
      <c r="AH1363" s="48"/>
      <c r="AI1363" s="39"/>
      <c r="AK1363" s="41"/>
    </row>
    <row r="1364" spans="1:38" ht="21">
      <c r="A1364" s="32" t="s">
        <v>1649</v>
      </c>
      <c r="B1364" s="147" t="s">
        <v>14</v>
      </c>
      <c r="C1364" s="63" t="s">
        <v>128</v>
      </c>
      <c r="D1364" s="52"/>
      <c r="E1364" s="73"/>
      <c r="F1364" s="73"/>
      <c r="G1364" s="73"/>
      <c r="H1364" s="73"/>
      <c r="I1364" s="73"/>
      <c r="J1364" s="73"/>
      <c r="K1364" s="73"/>
      <c r="L1364" s="73"/>
      <c r="M1364" s="73"/>
      <c r="N1364" s="73"/>
      <c r="O1364" s="73"/>
      <c r="P1364" s="73"/>
      <c r="Q1364" s="73"/>
      <c r="R1364" s="73"/>
      <c r="S1364" s="73"/>
      <c r="T1364" s="73"/>
      <c r="U1364" s="73"/>
      <c r="V1364" s="73"/>
      <c r="W1364" s="73"/>
      <c r="X1364" s="73"/>
      <c r="Y1364" s="73"/>
      <c r="Z1364" s="73"/>
      <c r="AA1364" s="75"/>
      <c r="AB1364" s="75"/>
      <c r="AC1364" s="55"/>
      <c r="AD1364" s="89"/>
      <c r="AE1364" s="89"/>
      <c r="AF1364" s="89"/>
      <c r="AG1364" s="91"/>
      <c r="AH1364" s="48"/>
      <c r="AI1364" s="39"/>
      <c r="AK1364" s="41"/>
    </row>
    <row r="1365" spans="1:38" ht="21">
      <c r="A1365" s="32" t="s">
        <v>1650</v>
      </c>
      <c r="B1365" s="148" t="s">
        <v>104</v>
      </c>
      <c r="C1365" s="51" t="s">
        <v>374</v>
      </c>
      <c r="D1365" s="52" t="s">
        <v>38</v>
      </c>
      <c r="E1365" s="73"/>
      <c r="F1365" s="73"/>
      <c r="G1365" s="73"/>
      <c r="H1365" s="73"/>
      <c r="I1365" s="73"/>
      <c r="J1365" s="73"/>
      <c r="K1365" s="73"/>
      <c r="L1365" s="73"/>
      <c r="M1365" s="73"/>
      <c r="N1365" s="73"/>
      <c r="O1365" s="73"/>
      <c r="P1365" s="73"/>
      <c r="Q1365" s="73"/>
      <c r="R1365" s="73"/>
      <c r="S1365" s="73"/>
      <c r="T1365" s="73"/>
      <c r="U1365" s="73"/>
      <c r="V1365" s="73"/>
      <c r="W1365" s="73"/>
      <c r="X1365" s="73"/>
      <c r="Y1365" s="73"/>
      <c r="Z1365" s="73"/>
      <c r="AA1365" s="75"/>
      <c r="AB1365" s="75"/>
      <c r="AC1365" s="55"/>
      <c r="AD1365" s="89"/>
      <c r="AE1365" s="89"/>
      <c r="AF1365" s="89"/>
      <c r="AG1365" s="57"/>
      <c r="AH1365" s="58"/>
      <c r="AI1365" s="39"/>
      <c r="AK1365" s="41"/>
    </row>
    <row r="1366" spans="1:38" ht="21">
      <c r="A1366" s="32" t="s">
        <v>1651</v>
      </c>
      <c r="B1366" s="148" t="s">
        <v>24</v>
      </c>
      <c r="C1366" s="51" t="s">
        <v>375</v>
      </c>
      <c r="D1366" s="52" t="s">
        <v>38</v>
      </c>
      <c r="E1366" s="73"/>
      <c r="F1366" s="73"/>
      <c r="G1366" s="73"/>
      <c r="H1366" s="73"/>
      <c r="I1366" s="73"/>
      <c r="J1366" s="73"/>
      <c r="K1366" s="73"/>
      <c r="L1366" s="73"/>
      <c r="M1366" s="73"/>
      <c r="N1366" s="73"/>
      <c r="O1366" s="73"/>
      <c r="P1366" s="73"/>
      <c r="Q1366" s="73"/>
      <c r="R1366" s="73"/>
      <c r="S1366" s="73"/>
      <c r="T1366" s="73"/>
      <c r="U1366" s="73"/>
      <c r="V1366" s="73"/>
      <c r="W1366" s="73"/>
      <c r="X1366" s="73"/>
      <c r="Y1366" s="73"/>
      <c r="Z1366" s="73"/>
      <c r="AA1366" s="75"/>
      <c r="AB1366" s="75"/>
      <c r="AC1366" s="55"/>
      <c r="AD1366" s="89"/>
      <c r="AE1366" s="89"/>
      <c r="AF1366" s="89"/>
      <c r="AG1366" s="57"/>
      <c r="AH1366" s="58"/>
      <c r="AI1366" s="39"/>
      <c r="AK1366" s="41"/>
    </row>
    <row r="1367" spans="1:38" ht="21">
      <c r="A1367" s="32" t="s">
        <v>1652</v>
      </c>
      <c r="B1367" s="148" t="s">
        <v>25</v>
      </c>
      <c r="C1367" s="51" t="s">
        <v>376</v>
      </c>
      <c r="D1367" s="52" t="s">
        <v>38</v>
      </c>
      <c r="E1367" s="73"/>
      <c r="F1367" s="73"/>
      <c r="G1367" s="73"/>
      <c r="H1367" s="73"/>
      <c r="I1367" s="73"/>
      <c r="J1367" s="73"/>
      <c r="K1367" s="73"/>
      <c r="L1367" s="73"/>
      <c r="M1367" s="73"/>
      <c r="N1367" s="73"/>
      <c r="O1367" s="73"/>
      <c r="P1367" s="73"/>
      <c r="Q1367" s="73"/>
      <c r="R1367" s="73"/>
      <c r="S1367" s="73"/>
      <c r="T1367" s="73"/>
      <c r="U1367" s="73"/>
      <c r="V1367" s="73"/>
      <c r="W1367" s="73"/>
      <c r="X1367" s="73"/>
      <c r="Y1367" s="73"/>
      <c r="Z1367" s="73"/>
      <c r="AA1367" s="75"/>
      <c r="AB1367" s="75"/>
      <c r="AC1367" s="55"/>
      <c r="AD1367" s="89"/>
      <c r="AE1367" s="89"/>
      <c r="AF1367" s="89"/>
      <c r="AG1367" s="57"/>
      <c r="AH1367" s="58"/>
      <c r="AI1367" s="39"/>
      <c r="AK1367" s="41"/>
    </row>
    <row r="1368" spans="1:38" ht="21">
      <c r="A1368" s="32" t="s">
        <v>1653</v>
      </c>
      <c r="B1368" s="147" t="s">
        <v>15</v>
      </c>
      <c r="C1368" s="63" t="s">
        <v>112</v>
      </c>
      <c r="D1368" s="52"/>
      <c r="E1368" s="73"/>
      <c r="F1368" s="73"/>
      <c r="G1368" s="73"/>
      <c r="H1368" s="73"/>
      <c r="I1368" s="73"/>
      <c r="J1368" s="73"/>
      <c r="K1368" s="73"/>
      <c r="L1368" s="73"/>
      <c r="M1368" s="73"/>
      <c r="N1368" s="73"/>
      <c r="O1368" s="73"/>
      <c r="P1368" s="73"/>
      <c r="Q1368" s="73"/>
      <c r="R1368" s="73"/>
      <c r="S1368" s="73"/>
      <c r="T1368" s="73"/>
      <c r="U1368" s="73"/>
      <c r="V1368" s="73"/>
      <c r="W1368" s="73"/>
      <c r="X1368" s="73"/>
      <c r="Y1368" s="73"/>
      <c r="Z1368" s="73"/>
      <c r="AA1368" s="75"/>
      <c r="AB1368" s="75"/>
      <c r="AC1368" s="55"/>
      <c r="AD1368" s="89"/>
      <c r="AE1368" s="89"/>
      <c r="AF1368" s="89"/>
      <c r="AG1368" s="91"/>
      <c r="AH1368" s="48"/>
      <c r="AI1368" s="39"/>
      <c r="AK1368" s="41"/>
    </row>
    <row r="1369" spans="1:38" ht="21">
      <c r="A1369" s="32" t="s">
        <v>1654</v>
      </c>
      <c r="B1369" s="148" t="s">
        <v>104</v>
      </c>
      <c r="C1369" s="51" t="s">
        <v>377</v>
      </c>
      <c r="D1369" s="52" t="s">
        <v>38</v>
      </c>
      <c r="E1369" s="73"/>
      <c r="F1369" s="73"/>
      <c r="G1369" s="73"/>
      <c r="H1369" s="73"/>
      <c r="I1369" s="73"/>
      <c r="J1369" s="73"/>
      <c r="K1369" s="73"/>
      <c r="L1369" s="73"/>
      <c r="M1369" s="73"/>
      <c r="N1369" s="73"/>
      <c r="O1369" s="73"/>
      <c r="P1369" s="73"/>
      <c r="Q1369" s="73"/>
      <c r="R1369" s="73"/>
      <c r="S1369" s="73"/>
      <c r="T1369" s="73"/>
      <c r="U1369" s="73"/>
      <c r="V1369" s="73"/>
      <c r="W1369" s="73"/>
      <c r="X1369" s="73"/>
      <c r="Y1369" s="73"/>
      <c r="Z1369" s="73"/>
      <c r="AA1369" s="75"/>
      <c r="AB1369" s="75"/>
      <c r="AC1369" s="55"/>
      <c r="AD1369" s="89"/>
      <c r="AE1369" s="89"/>
      <c r="AF1369" s="89"/>
      <c r="AG1369" s="57"/>
      <c r="AH1369" s="58"/>
      <c r="AI1369" s="39"/>
      <c r="AK1369" s="41"/>
    </row>
    <row r="1370" spans="1:38" ht="21">
      <c r="A1370" s="32" t="s">
        <v>1655</v>
      </c>
      <c r="B1370" s="148" t="s">
        <v>24</v>
      </c>
      <c r="C1370" s="51" t="s">
        <v>378</v>
      </c>
      <c r="D1370" s="52" t="s">
        <v>38</v>
      </c>
      <c r="E1370" s="73"/>
      <c r="F1370" s="73"/>
      <c r="G1370" s="73"/>
      <c r="H1370" s="73"/>
      <c r="I1370" s="73"/>
      <c r="J1370" s="73"/>
      <c r="K1370" s="73"/>
      <c r="L1370" s="73"/>
      <c r="M1370" s="73"/>
      <c r="N1370" s="73"/>
      <c r="O1370" s="73"/>
      <c r="P1370" s="73"/>
      <c r="Q1370" s="73"/>
      <c r="R1370" s="73"/>
      <c r="S1370" s="73"/>
      <c r="T1370" s="73"/>
      <c r="U1370" s="73"/>
      <c r="V1370" s="73"/>
      <c r="W1370" s="73"/>
      <c r="X1370" s="73"/>
      <c r="Y1370" s="73"/>
      <c r="Z1370" s="73"/>
      <c r="AA1370" s="75"/>
      <c r="AB1370" s="75"/>
      <c r="AC1370" s="55"/>
      <c r="AD1370" s="89"/>
      <c r="AE1370" s="89"/>
      <c r="AF1370" s="89"/>
      <c r="AG1370" s="57"/>
      <c r="AH1370" s="58"/>
      <c r="AI1370" s="39"/>
      <c r="AK1370" s="41"/>
    </row>
    <row r="1371" spans="1:38" ht="21">
      <c r="A1371" s="32" t="s">
        <v>1656</v>
      </c>
      <c r="B1371" s="148" t="s">
        <v>25</v>
      </c>
      <c r="C1371" s="51" t="s">
        <v>379</v>
      </c>
      <c r="D1371" s="52" t="s">
        <v>38</v>
      </c>
      <c r="E1371" s="73"/>
      <c r="F1371" s="73"/>
      <c r="G1371" s="73"/>
      <c r="H1371" s="73"/>
      <c r="I1371" s="73"/>
      <c r="J1371" s="73"/>
      <c r="K1371" s="73"/>
      <c r="L1371" s="73"/>
      <c r="M1371" s="73"/>
      <c r="N1371" s="73"/>
      <c r="O1371" s="73"/>
      <c r="P1371" s="73"/>
      <c r="Q1371" s="73"/>
      <c r="R1371" s="73"/>
      <c r="S1371" s="73"/>
      <c r="T1371" s="73"/>
      <c r="U1371" s="73"/>
      <c r="V1371" s="73"/>
      <c r="W1371" s="73"/>
      <c r="X1371" s="73"/>
      <c r="Y1371" s="73"/>
      <c r="Z1371" s="73"/>
      <c r="AA1371" s="75"/>
      <c r="AB1371" s="75"/>
      <c r="AC1371" s="55"/>
      <c r="AD1371" s="89"/>
      <c r="AE1371" s="89"/>
      <c r="AF1371" s="89"/>
      <c r="AG1371" s="57"/>
      <c r="AH1371" s="58"/>
      <c r="AI1371" s="39"/>
      <c r="AK1371" s="41"/>
    </row>
    <row r="1372" spans="1:38" ht="21">
      <c r="A1372" s="32" t="s">
        <v>1657</v>
      </c>
      <c r="B1372" s="147" t="s">
        <v>42</v>
      </c>
      <c r="C1372" s="63" t="s">
        <v>380</v>
      </c>
      <c r="D1372" s="52"/>
      <c r="E1372" s="73"/>
      <c r="F1372" s="73"/>
      <c r="G1372" s="73"/>
      <c r="H1372" s="73"/>
      <c r="I1372" s="73"/>
      <c r="J1372" s="73"/>
      <c r="K1372" s="73"/>
      <c r="L1372" s="73"/>
      <c r="M1372" s="73"/>
      <c r="N1372" s="73"/>
      <c r="O1372" s="73"/>
      <c r="P1372" s="73"/>
      <c r="Q1372" s="73"/>
      <c r="R1372" s="73"/>
      <c r="S1372" s="73"/>
      <c r="T1372" s="73"/>
      <c r="U1372" s="73"/>
      <c r="V1372" s="73"/>
      <c r="W1372" s="73"/>
      <c r="X1372" s="73"/>
      <c r="Y1372" s="73"/>
      <c r="Z1372" s="73"/>
      <c r="AA1372" s="75"/>
      <c r="AB1372" s="75"/>
      <c r="AC1372" s="55"/>
      <c r="AD1372" s="89"/>
      <c r="AE1372" s="89"/>
      <c r="AF1372" s="89"/>
      <c r="AG1372" s="91"/>
      <c r="AH1372" s="48"/>
      <c r="AI1372" s="39"/>
      <c r="AK1372" s="41"/>
    </row>
    <row r="1373" spans="1:38" ht="21">
      <c r="A1373" s="32" t="s">
        <v>1658</v>
      </c>
      <c r="B1373" s="147" t="s">
        <v>14</v>
      </c>
      <c r="C1373" s="63" t="s">
        <v>128</v>
      </c>
      <c r="D1373" s="52"/>
      <c r="E1373" s="73"/>
      <c r="F1373" s="73"/>
      <c r="G1373" s="73"/>
      <c r="H1373" s="73"/>
      <c r="I1373" s="73"/>
      <c r="J1373" s="73"/>
      <c r="K1373" s="73"/>
      <c r="L1373" s="73"/>
      <c r="M1373" s="73"/>
      <c r="N1373" s="73"/>
      <c r="O1373" s="73"/>
      <c r="P1373" s="73"/>
      <c r="Q1373" s="73"/>
      <c r="R1373" s="73"/>
      <c r="S1373" s="73"/>
      <c r="T1373" s="73"/>
      <c r="U1373" s="73"/>
      <c r="V1373" s="73"/>
      <c r="W1373" s="73"/>
      <c r="X1373" s="73"/>
      <c r="Y1373" s="73"/>
      <c r="Z1373" s="73"/>
      <c r="AA1373" s="75"/>
      <c r="AB1373" s="75"/>
      <c r="AC1373" s="55"/>
      <c r="AD1373" s="89"/>
      <c r="AE1373" s="89"/>
      <c r="AF1373" s="89"/>
      <c r="AG1373" s="91"/>
      <c r="AH1373" s="48"/>
      <c r="AI1373" s="39"/>
      <c r="AK1373" s="41"/>
    </row>
    <row r="1374" spans="1:38" ht="21">
      <c r="A1374" s="32" t="s">
        <v>1659</v>
      </c>
      <c r="B1374" s="148" t="s">
        <v>104</v>
      </c>
      <c r="C1374" s="51" t="s">
        <v>381</v>
      </c>
      <c r="D1374" s="52" t="s">
        <v>38</v>
      </c>
      <c r="E1374" s="73"/>
      <c r="F1374" s="73"/>
      <c r="G1374" s="73"/>
      <c r="H1374" s="73"/>
      <c r="I1374" s="73"/>
      <c r="J1374" s="73"/>
      <c r="K1374" s="73"/>
      <c r="L1374" s="73"/>
      <c r="M1374" s="73"/>
      <c r="N1374" s="73"/>
      <c r="O1374" s="73"/>
      <c r="P1374" s="73"/>
      <c r="Q1374" s="73"/>
      <c r="R1374" s="73"/>
      <c r="S1374" s="73"/>
      <c r="T1374" s="73"/>
      <c r="U1374" s="73"/>
      <c r="V1374" s="73"/>
      <c r="W1374" s="73"/>
      <c r="X1374" s="73"/>
      <c r="Y1374" s="73"/>
      <c r="Z1374" s="73"/>
      <c r="AA1374" s="75"/>
      <c r="AB1374" s="75"/>
      <c r="AC1374" s="55"/>
      <c r="AD1374" s="89"/>
      <c r="AE1374" s="89"/>
      <c r="AF1374" s="89"/>
      <c r="AG1374" s="57"/>
      <c r="AH1374" s="58"/>
      <c r="AI1374" s="39"/>
      <c r="AK1374" s="41"/>
    </row>
    <row r="1375" spans="1:38" ht="21">
      <c r="A1375" s="32" t="s">
        <v>1660</v>
      </c>
      <c r="B1375" s="147" t="s">
        <v>15</v>
      </c>
      <c r="C1375" s="63" t="s">
        <v>112</v>
      </c>
      <c r="D1375" s="52" t="s">
        <v>38</v>
      </c>
      <c r="E1375" s="73"/>
      <c r="F1375" s="73"/>
      <c r="G1375" s="73"/>
      <c r="H1375" s="73"/>
      <c r="I1375" s="73"/>
      <c r="J1375" s="73"/>
      <c r="K1375" s="73"/>
      <c r="L1375" s="73"/>
      <c r="M1375" s="73"/>
      <c r="N1375" s="73"/>
      <c r="O1375" s="73"/>
      <c r="P1375" s="73"/>
      <c r="Q1375" s="73"/>
      <c r="R1375" s="73"/>
      <c r="S1375" s="73"/>
      <c r="T1375" s="73"/>
      <c r="U1375" s="73"/>
      <c r="V1375" s="73"/>
      <c r="W1375" s="73"/>
      <c r="X1375" s="73"/>
      <c r="Y1375" s="73"/>
      <c r="Z1375" s="73"/>
      <c r="AA1375" s="75"/>
      <c r="AB1375" s="75"/>
      <c r="AC1375" s="55"/>
      <c r="AD1375" s="89"/>
      <c r="AE1375" s="89"/>
      <c r="AF1375" s="89"/>
      <c r="AG1375" s="57"/>
      <c r="AH1375" s="58"/>
      <c r="AI1375" s="39"/>
      <c r="AK1375" s="41"/>
    </row>
    <row r="1376" spans="1:38" ht="21">
      <c r="A1376" s="32" t="s">
        <v>1661</v>
      </c>
      <c r="B1376" s="147" t="s">
        <v>382</v>
      </c>
      <c r="C1376" s="63" t="s">
        <v>110</v>
      </c>
      <c r="D1376" s="52"/>
      <c r="E1376" s="73"/>
      <c r="F1376" s="73"/>
      <c r="G1376" s="73"/>
      <c r="H1376" s="73"/>
      <c r="I1376" s="73"/>
      <c r="J1376" s="73"/>
      <c r="K1376" s="73"/>
      <c r="L1376" s="73"/>
      <c r="M1376" s="73"/>
      <c r="N1376" s="73"/>
      <c r="O1376" s="73"/>
      <c r="P1376" s="73"/>
      <c r="Q1376" s="73"/>
      <c r="R1376" s="73"/>
      <c r="S1376" s="73"/>
      <c r="T1376" s="73"/>
      <c r="U1376" s="73"/>
      <c r="V1376" s="73"/>
      <c r="W1376" s="73"/>
      <c r="X1376" s="73"/>
      <c r="Y1376" s="73"/>
      <c r="Z1376" s="73"/>
      <c r="AA1376" s="75"/>
      <c r="AB1376" s="75"/>
      <c r="AC1376" s="55"/>
      <c r="AD1376" s="89"/>
      <c r="AE1376" s="89"/>
      <c r="AF1376" s="89"/>
      <c r="AG1376" s="91"/>
      <c r="AH1376" s="48"/>
      <c r="AI1376" s="39"/>
      <c r="AK1376" s="41"/>
    </row>
    <row r="1377" spans="1:37" ht="21">
      <c r="A1377" s="32" t="s">
        <v>1662</v>
      </c>
      <c r="B1377" s="148" t="s">
        <v>14</v>
      </c>
      <c r="C1377" s="51" t="s">
        <v>128</v>
      </c>
      <c r="D1377" s="52" t="s">
        <v>38</v>
      </c>
      <c r="E1377" s="73"/>
      <c r="F1377" s="73"/>
      <c r="G1377" s="73"/>
      <c r="H1377" s="73"/>
      <c r="I1377" s="73"/>
      <c r="J1377" s="73"/>
      <c r="K1377" s="73"/>
      <c r="L1377" s="73"/>
      <c r="M1377" s="73"/>
      <c r="N1377" s="73"/>
      <c r="O1377" s="73"/>
      <c r="P1377" s="73"/>
      <c r="Q1377" s="73"/>
      <c r="R1377" s="73"/>
      <c r="S1377" s="73"/>
      <c r="T1377" s="73"/>
      <c r="U1377" s="73"/>
      <c r="V1377" s="73"/>
      <c r="W1377" s="73"/>
      <c r="X1377" s="73"/>
      <c r="Y1377" s="73"/>
      <c r="Z1377" s="73"/>
      <c r="AA1377" s="75"/>
      <c r="AB1377" s="75"/>
      <c r="AC1377" s="55"/>
      <c r="AD1377" s="89"/>
      <c r="AE1377" s="89"/>
      <c r="AF1377" s="89"/>
      <c r="AG1377" s="57"/>
      <c r="AH1377" s="58"/>
      <c r="AI1377" s="39"/>
      <c r="AK1377" s="41"/>
    </row>
    <row r="1378" spans="1:37" ht="21">
      <c r="A1378" s="32" t="s">
        <v>1663</v>
      </c>
      <c r="B1378" s="148" t="s">
        <v>15</v>
      </c>
      <c r="C1378" s="51" t="s">
        <v>112</v>
      </c>
      <c r="D1378" s="52" t="s">
        <v>38</v>
      </c>
      <c r="E1378" s="73"/>
      <c r="F1378" s="73"/>
      <c r="G1378" s="73"/>
      <c r="H1378" s="73"/>
      <c r="I1378" s="73"/>
      <c r="J1378" s="73"/>
      <c r="K1378" s="73"/>
      <c r="L1378" s="73"/>
      <c r="M1378" s="73"/>
      <c r="N1378" s="73"/>
      <c r="O1378" s="73"/>
      <c r="P1378" s="73"/>
      <c r="Q1378" s="73"/>
      <c r="R1378" s="73"/>
      <c r="S1378" s="73"/>
      <c r="T1378" s="73"/>
      <c r="U1378" s="73"/>
      <c r="V1378" s="73"/>
      <c r="W1378" s="73"/>
      <c r="X1378" s="73"/>
      <c r="Y1378" s="73"/>
      <c r="Z1378" s="73"/>
      <c r="AA1378" s="75"/>
      <c r="AB1378" s="75"/>
      <c r="AC1378" s="55"/>
      <c r="AD1378" s="89"/>
      <c r="AE1378" s="89"/>
      <c r="AF1378" s="89"/>
      <c r="AG1378" s="57"/>
      <c r="AH1378" s="58"/>
      <c r="AI1378" s="39"/>
      <c r="AK1378" s="41"/>
    </row>
    <row r="1379" spans="1:37" ht="21">
      <c r="A1379" s="32" t="s">
        <v>1664</v>
      </c>
      <c r="B1379" s="147" t="s">
        <v>383</v>
      </c>
      <c r="C1379" s="63" t="s">
        <v>111</v>
      </c>
      <c r="D1379" s="52"/>
      <c r="E1379" s="73"/>
      <c r="F1379" s="73"/>
      <c r="G1379" s="73"/>
      <c r="H1379" s="73"/>
      <c r="I1379" s="73"/>
      <c r="J1379" s="73"/>
      <c r="K1379" s="73"/>
      <c r="L1379" s="73"/>
      <c r="M1379" s="73"/>
      <c r="N1379" s="73"/>
      <c r="O1379" s="73"/>
      <c r="P1379" s="73"/>
      <c r="Q1379" s="73"/>
      <c r="R1379" s="73"/>
      <c r="S1379" s="73"/>
      <c r="T1379" s="73"/>
      <c r="U1379" s="73"/>
      <c r="V1379" s="73"/>
      <c r="W1379" s="73"/>
      <c r="X1379" s="73"/>
      <c r="Y1379" s="73"/>
      <c r="Z1379" s="73"/>
      <c r="AA1379" s="75"/>
      <c r="AB1379" s="75"/>
      <c r="AC1379" s="55"/>
      <c r="AD1379" s="89"/>
      <c r="AE1379" s="89"/>
      <c r="AF1379" s="89"/>
      <c r="AG1379" s="91"/>
      <c r="AH1379" s="48"/>
      <c r="AI1379" s="39"/>
      <c r="AK1379" s="41"/>
    </row>
    <row r="1380" spans="1:37" ht="21">
      <c r="A1380" s="32" t="s">
        <v>1665</v>
      </c>
      <c r="B1380" s="148" t="s">
        <v>14</v>
      </c>
      <c r="C1380" s="51" t="s">
        <v>112</v>
      </c>
      <c r="D1380" s="52" t="s">
        <v>38</v>
      </c>
      <c r="E1380" s="73"/>
      <c r="F1380" s="73"/>
      <c r="G1380" s="73"/>
      <c r="H1380" s="73"/>
      <c r="I1380" s="73"/>
      <c r="J1380" s="73"/>
      <c r="K1380" s="73"/>
      <c r="L1380" s="73"/>
      <c r="M1380" s="73"/>
      <c r="N1380" s="73"/>
      <c r="O1380" s="73"/>
      <c r="P1380" s="73"/>
      <c r="Q1380" s="73"/>
      <c r="R1380" s="73"/>
      <c r="S1380" s="73"/>
      <c r="T1380" s="73"/>
      <c r="U1380" s="73"/>
      <c r="V1380" s="73"/>
      <c r="W1380" s="73"/>
      <c r="X1380" s="73"/>
      <c r="Y1380" s="73"/>
      <c r="Z1380" s="73"/>
      <c r="AA1380" s="75"/>
      <c r="AB1380" s="75"/>
      <c r="AC1380" s="55"/>
      <c r="AD1380" s="89"/>
      <c r="AE1380" s="89"/>
      <c r="AF1380" s="89"/>
      <c r="AG1380" s="57"/>
      <c r="AH1380" s="58"/>
      <c r="AI1380" s="39"/>
      <c r="AK1380" s="41"/>
    </row>
    <row r="1381" spans="1:37" ht="21">
      <c r="A1381" s="32" t="s">
        <v>1666</v>
      </c>
      <c r="B1381" s="147" t="s">
        <v>384</v>
      </c>
      <c r="C1381" s="63" t="s">
        <v>113</v>
      </c>
      <c r="D1381" s="52"/>
      <c r="E1381" s="73"/>
      <c r="F1381" s="73"/>
      <c r="G1381" s="73"/>
      <c r="H1381" s="73"/>
      <c r="I1381" s="73"/>
      <c r="J1381" s="73"/>
      <c r="K1381" s="73"/>
      <c r="L1381" s="73"/>
      <c r="M1381" s="73"/>
      <c r="N1381" s="73"/>
      <c r="O1381" s="73"/>
      <c r="P1381" s="73"/>
      <c r="Q1381" s="73"/>
      <c r="R1381" s="73"/>
      <c r="S1381" s="73"/>
      <c r="T1381" s="73"/>
      <c r="U1381" s="73"/>
      <c r="V1381" s="73"/>
      <c r="W1381" s="73"/>
      <c r="X1381" s="73"/>
      <c r="Y1381" s="73"/>
      <c r="Z1381" s="73"/>
      <c r="AA1381" s="75"/>
      <c r="AB1381" s="75"/>
      <c r="AC1381" s="55"/>
      <c r="AD1381" s="89"/>
      <c r="AE1381" s="89"/>
      <c r="AF1381" s="89"/>
      <c r="AG1381" s="91"/>
      <c r="AH1381" s="48"/>
      <c r="AI1381" s="39"/>
      <c r="AK1381" s="41"/>
    </row>
    <row r="1382" spans="1:37" ht="21">
      <c r="A1382" s="32" t="s">
        <v>1667</v>
      </c>
      <c r="B1382" s="147" t="s">
        <v>104</v>
      </c>
      <c r="C1382" s="63" t="s">
        <v>374</v>
      </c>
      <c r="D1382" s="52"/>
      <c r="E1382" s="73"/>
      <c r="F1382" s="73"/>
      <c r="G1382" s="73"/>
      <c r="H1382" s="73"/>
      <c r="I1382" s="73"/>
      <c r="J1382" s="73"/>
      <c r="K1382" s="73"/>
      <c r="L1382" s="73"/>
      <c r="M1382" s="73"/>
      <c r="N1382" s="73"/>
      <c r="O1382" s="73"/>
      <c r="P1382" s="73"/>
      <c r="Q1382" s="73"/>
      <c r="R1382" s="73"/>
      <c r="S1382" s="73"/>
      <c r="T1382" s="73"/>
      <c r="U1382" s="73"/>
      <c r="V1382" s="73"/>
      <c r="W1382" s="73"/>
      <c r="X1382" s="73"/>
      <c r="Y1382" s="73"/>
      <c r="Z1382" s="73"/>
      <c r="AA1382" s="75"/>
      <c r="AB1382" s="75"/>
      <c r="AC1382" s="55"/>
      <c r="AD1382" s="89"/>
      <c r="AE1382" s="89"/>
      <c r="AF1382" s="89"/>
      <c r="AG1382" s="91"/>
      <c r="AH1382" s="48"/>
      <c r="AI1382" s="39"/>
      <c r="AK1382" s="41"/>
    </row>
    <row r="1383" spans="1:37" ht="21">
      <c r="A1383" s="32" t="s">
        <v>1668</v>
      </c>
      <c r="B1383" s="148" t="s">
        <v>14</v>
      </c>
      <c r="C1383" s="51" t="s">
        <v>385</v>
      </c>
      <c r="D1383" s="52" t="s">
        <v>38</v>
      </c>
      <c r="E1383" s="73"/>
      <c r="F1383" s="73"/>
      <c r="G1383" s="73"/>
      <c r="H1383" s="73"/>
      <c r="I1383" s="73"/>
      <c r="J1383" s="73"/>
      <c r="K1383" s="73"/>
      <c r="L1383" s="73"/>
      <c r="M1383" s="73"/>
      <c r="N1383" s="73"/>
      <c r="O1383" s="73"/>
      <c r="P1383" s="73"/>
      <c r="Q1383" s="73"/>
      <c r="R1383" s="73"/>
      <c r="S1383" s="73"/>
      <c r="T1383" s="73"/>
      <c r="U1383" s="73"/>
      <c r="V1383" s="73"/>
      <c r="W1383" s="73"/>
      <c r="X1383" s="73"/>
      <c r="Y1383" s="73"/>
      <c r="Z1383" s="73"/>
      <c r="AA1383" s="75"/>
      <c r="AB1383" s="75"/>
      <c r="AC1383" s="55"/>
      <c r="AD1383" s="89"/>
      <c r="AE1383" s="89"/>
      <c r="AF1383" s="89"/>
      <c r="AG1383" s="57"/>
      <c r="AH1383" s="58"/>
      <c r="AI1383" s="39"/>
      <c r="AK1383" s="41"/>
    </row>
    <row r="1384" spans="1:37" ht="21">
      <c r="A1384" s="32" t="s">
        <v>1669</v>
      </c>
      <c r="B1384" s="148" t="s">
        <v>15</v>
      </c>
      <c r="C1384" s="51" t="s">
        <v>112</v>
      </c>
      <c r="D1384" s="52" t="s">
        <v>38</v>
      </c>
      <c r="E1384" s="73"/>
      <c r="F1384" s="73"/>
      <c r="G1384" s="73"/>
      <c r="H1384" s="73"/>
      <c r="I1384" s="73"/>
      <c r="J1384" s="73"/>
      <c r="K1384" s="73"/>
      <c r="L1384" s="73"/>
      <c r="M1384" s="73"/>
      <c r="N1384" s="73"/>
      <c r="O1384" s="73"/>
      <c r="P1384" s="73"/>
      <c r="Q1384" s="73"/>
      <c r="R1384" s="73"/>
      <c r="S1384" s="73"/>
      <c r="T1384" s="73"/>
      <c r="U1384" s="73"/>
      <c r="V1384" s="73"/>
      <c r="W1384" s="73"/>
      <c r="X1384" s="73"/>
      <c r="Y1384" s="73"/>
      <c r="Z1384" s="73"/>
      <c r="AA1384" s="75"/>
      <c r="AB1384" s="75"/>
      <c r="AC1384" s="55"/>
      <c r="AD1384" s="89"/>
      <c r="AE1384" s="89"/>
      <c r="AF1384" s="89"/>
      <c r="AG1384" s="57"/>
      <c r="AH1384" s="58"/>
      <c r="AI1384" s="39"/>
      <c r="AK1384" s="41"/>
    </row>
    <row r="1385" spans="1:37" ht="21">
      <c r="A1385" s="32" t="s">
        <v>1670</v>
      </c>
      <c r="B1385" s="147" t="s">
        <v>386</v>
      </c>
      <c r="C1385" s="63" t="s">
        <v>387</v>
      </c>
      <c r="D1385" s="52" t="s">
        <v>38</v>
      </c>
      <c r="E1385" s="73"/>
      <c r="F1385" s="73"/>
      <c r="G1385" s="73"/>
      <c r="H1385" s="73"/>
      <c r="I1385" s="73"/>
      <c r="J1385" s="73"/>
      <c r="K1385" s="73"/>
      <c r="L1385" s="73"/>
      <c r="M1385" s="73"/>
      <c r="N1385" s="73"/>
      <c r="O1385" s="73"/>
      <c r="P1385" s="73"/>
      <c r="Q1385" s="73"/>
      <c r="R1385" s="73"/>
      <c r="S1385" s="73"/>
      <c r="T1385" s="73"/>
      <c r="U1385" s="73"/>
      <c r="V1385" s="73"/>
      <c r="W1385" s="73"/>
      <c r="X1385" s="73"/>
      <c r="Y1385" s="73"/>
      <c r="Z1385" s="73"/>
      <c r="AA1385" s="75"/>
      <c r="AB1385" s="75"/>
      <c r="AC1385" s="55"/>
      <c r="AD1385" s="89"/>
      <c r="AE1385" s="89"/>
      <c r="AF1385" s="89"/>
      <c r="AG1385" s="57"/>
      <c r="AH1385" s="58"/>
      <c r="AI1385" s="39"/>
      <c r="AK1385" s="41"/>
    </row>
    <row r="1386" spans="1:37" ht="27.75">
      <c r="A1386" s="32" t="s">
        <v>1671</v>
      </c>
      <c r="B1386" s="126">
        <v>15.02</v>
      </c>
      <c r="C1386" s="60" t="s">
        <v>1633</v>
      </c>
      <c r="D1386" s="52" t="s">
        <v>38</v>
      </c>
      <c r="E1386" s="73"/>
      <c r="F1386" s="73"/>
      <c r="G1386" s="73"/>
      <c r="H1386" s="73"/>
      <c r="I1386" s="73"/>
      <c r="J1386" s="73"/>
      <c r="K1386" s="73"/>
      <c r="L1386" s="73"/>
      <c r="M1386" s="73"/>
      <c r="N1386" s="73"/>
      <c r="O1386" s="73"/>
      <c r="P1386" s="73"/>
      <c r="Q1386" s="73"/>
      <c r="R1386" s="73"/>
      <c r="S1386" s="73"/>
      <c r="T1386" s="73"/>
      <c r="U1386" s="73"/>
      <c r="V1386" s="73"/>
      <c r="W1386" s="73"/>
      <c r="X1386" s="73"/>
      <c r="Y1386" s="73"/>
      <c r="Z1386" s="73"/>
      <c r="AA1386" s="75"/>
      <c r="AB1386" s="75"/>
      <c r="AC1386" s="55"/>
      <c r="AD1386" s="89"/>
      <c r="AE1386" s="89"/>
      <c r="AF1386" s="89"/>
      <c r="AG1386" s="57"/>
      <c r="AH1386" s="58"/>
      <c r="AI1386" s="39"/>
      <c r="AK1386" s="41"/>
    </row>
    <row r="1387" spans="1:37" ht="21">
      <c r="A1387" s="32" t="s">
        <v>1672</v>
      </c>
      <c r="B1387" s="126">
        <v>15.03</v>
      </c>
      <c r="C1387" s="60" t="s">
        <v>468</v>
      </c>
      <c r="D1387" s="52" t="s">
        <v>38</v>
      </c>
      <c r="E1387" s="73"/>
      <c r="F1387" s="73"/>
      <c r="G1387" s="73"/>
      <c r="H1387" s="73"/>
      <c r="I1387" s="73"/>
      <c r="J1387" s="73"/>
      <c r="K1387" s="73"/>
      <c r="L1387" s="73"/>
      <c r="M1387" s="73"/>
      <c r="N1387" s="73"/>
      <c r="O1387" s="73"/>
      <c r="P1387" s="73"/>
      <c r="Q1387" s="73"/>
      <c r="R1387" s="73"/>
      <c r="S1387" s="73"/>
      <c r="T1387" s="73"/>
      <c r="U1387" s="73"/>
      <c r="V1387" s="73"/>
      <c r="W1387" s="73"/>
      <c r="X1387" s="73"/>
      <c r="Y1387" s="73"/>
      <c r="Z1387" s="73"/>
      <c r="AA1387" s="75"/>
      <c r="AB1387" s="75"/>
      <c r="AC1387" s="55"/>
      <c r="AD1387" s="89"/>
      <c r="AE1387" s="89"/>
      <c r="AF1387" s="89"/>
      <c r="AG1387" s="57"/>
      <c r="AH1387" s="58"/>
      <c r="AI1387" s="39"/>
      <c r="AK1387" s="41"/>
    </row>
    <row r="1388" spans="1:37" ht="27.75">
      <c r="A1388" s="32" t="s">
        <v>1673</v>
      </c>
      <c r="B1388" s="126">
        <v>15.04</v>
      </c>
      <c r="C1388" s="60" t="s">
        <v>1634</v>
      </c>
      <c r="D1388" s="52" t="s">
        <v>38</v>
      </c>
      <c r="E1388" s="73"/>
      <c r="F1388" s="73"/>
      <c r="G1388" s="73"/>
      <c r="H1388" s="73"/>
      <c r="I1388" s="73"/>
      <c r="J1388" s="73"/>
      <c r="K1388" s="73"/>
      <c r="L1388" s="73"/>
      <c r="M1388" s="73"/>
      <c r="N1388" s="73"/>
      <c r="O1388" s="73"/>
      <c r="P1388" s="73"/>
      <c r="Q1388" s="73"/>
      <c r="R1388" s="73"/>
      <c r="S1388" s="73"/>
      <c r="T1388" s="73"/>
      <c r="U1388" s="73"/>
      <c r="V1388" s="73"/>
      <c r="W1388" s="73"/>
      <c r="X1388" s="73"/>
      <c r="Y1388" s="73"/>
      <c r="Z1388" s="73"/>
      <c r="AA1388" s="75"/>
      <c r="AB1388" s="75"/>
      <c r="AC1388" s="55"/>
      <c r="AD1388" s="89"/>
      <c r="AE1388" s="89"/>
      <c r="AF1388" s="89"/>
      <c r="AG1388" s="57"/>
      <c r="AH1388" s="58"/>
      <c r="AI1388" s="39"/>
      <c r="AK1388" s="41"/>
    </row>
    <row r="1389" spans="1:37" ht="21">
      <c r="A1389" s="32" t="s">
        <v>1674</v>
      </c>
      <c r="B1389" s="126">
        <v>15.05</v>
      </c>
      <c r="C1389" s="60" t="s">
        <v>388</v>
      </c>
      <c r="D1389" s="52"/>
      <c r="E1389" s="73"/>
      <c r="F1389" s="73"/>
      <c r="G1389" s="73"/>
      <c r="H1389" s="73"/>
      <c r="I1389" s="73"/>
      <c r="J1389" s="73"/>
      <c r="K1389" s="73"/>
      <c r="L1389" s="73"/>
      <c r="M1389" s="73"/>
      <c r="N1389" s="73"/>
      <c r="O1389" s="73"/>
      <c r="P1389" s="73"/>
      <c r="Q1389" s="73"/>
      <c r="R1389" s="73"/>
      <c r="S1389" s="73"/>
      <c r="T1389" s="73"/>
      <c r="U1389" s="73"/>
      <c r="V1389" s="73"/>
      <c r="W1389" s="73"/>
      <c r="X1389" s="73"/>
      <c r="Y1389" s="73"/>
      <c r="Z1389" s="73"/>
      <c r="AA1389" s="75"/>
      <c r="AB1389" s="75"/>
      <c r="AC1389" s="55"/>
      <c r="AD1389" s="89"/>
      <c r="AE1389" s="89"/>
      <c r="AF1389" s="89"/>
      <c r="AG1389" s="91"/>
      <c r="AH1389" s="48"/>
      <c r="AI1389" s="39"/>
      <c r="AK1389" s="41"/>
    </row>
    <row r="1390" spans="1:37" ht="21">
      <c r="A1390" s="32" t="s">
        <v>1675</v>
      </c>
      <c r="B1390" s="148" t="s">
        <v>14</v>
      </c>
      <c r="C1390" s="51" t="s">
        <v>389</v>
      </c>
      <c r="D1390" s="52" t="s">
        <v>38</v>
      </c>
      <c r="E1390" s="73"/>
      <c r="F1390" s="73"/>
      <c r="G1390" s="73"/>
      <c r="H1390" s="73"/>
      <c r="I1390" s="73"/>
      <c r="J1390" s="73"/>
      <c r="K1390" s="73"/>
      <c r="L1390" s="73"/>
      <c r="M1390" s="73"/>
      <c r="N1390" s="73"/>
      <c r="O1390" s="73"/>
      <c r="P1390" s="73"/>
      <c r="Q1390" s="73"/>
      <c r="R1390" s="73"/>
      <c r="S1390" s="73"/>
      <c r="T1390" s="73"/>
      <c r="U1390" s="73"/>
      <c r="V1390" s="73"/>
      <c r="W1390" s="73"/>
      <c r="X1390" s="73"/>
      <c r="Y1390" s="73"/>
      <c r="Z1390" s="73"/>
      <c r="AA1390" s="75"/>
      <c r="AB1390" s="75"/>
      <c r="AC1390" s="55"/>
      <c r="AD1390" s="89"/>
      <c r="AE1390" s="89"/>
      <c r="AF1390" s="89"/>
      <c r="AG1390" s="57"/>
      <c r="AH1390" s="58"/>
      <c r="AI1390" s="39"/>
      <c r="AK1390" s="41"/>
    </row>
    <row r="1391" spans="1:37" ht="21">
      <c r="A1391" s="32" t="s">
        <v>1676</v>
      </c>
      <c r="B1391" s="148" t="s">
        <v>15</v>
      </c>
      <c r="C1391" s="51" t="s">
        <v>390</v>
      </c>
      <c r="D1391" s="52" t="s">
        <v>38</v>
      </c>
      <c r="E1391" s="73"/>
      <c r="F1391" s="73"/>
      <c r="G1391" s="73"/>
      <c r="H1391" s="73"/>
      <c r="I1391" s="73"/>
      <c r="J1391" s="73"/>
      <c r="K1391" s="73"/>
      <c r="L1391" s="73"/>
      <c r="M1391" s="73"/>
      <c r="N1391" s="73"/>
      <c r="O1391" s="73"/>
      <c r="P1391" s="73"/>
      <c r="Q1391" s="73"/>
      <c r="R1391" s="73"/>
      <c r="S1391" s="73"/>
      <c r="T1391" s="73"/>
      <c r="U1391" s="73"/>
      <c r="V1391" s="73"/>
      <c r="W1391" s="73"/>
      <c r="X1391" s="73"/>
      <c r="Y1391" s="73"/>
      <c r="Z1391" s="73"/>
      <c r="AA1391" s="75"/>
      <c r="AB1391" s="75"/>
      <c r="AC1391" s="55"/>
      <c r="AD1391" s="89"/>
      <c r="AE1391" s="89"/>
      <c r="AF1391" s="89"/>
      <c r="AG1391" s="57"/>
      <c r="AH1391" s="58"/>
      <c r="AI1391" s="39"/>
      <c r="AK1391" s="41"/>
    </row>
    <row r="1392" spans="1:37" ht="21">
      <c r="A1392" s="32" t="s">
        <v>1677</v>
      </c>
      <c r="B1392" s="148" t="s">
        <v>40</v>
      </c>
      <c r="C1392" s="51" t="s">
        <v>391</v>
      </c>
      <c r="D1392" s="52" t="s">
        <v>38</v>
      </c>
      <c r="E1392" s="73"/>
      <c r="F1392" s="73"/>
      <c r="G1392" s="73"/>
      <c r="H1392" s="73"/>
      <c r="I1392" s="73"/>
      <c r="J1392" s="73"/>
      <c r="K1392" s="73"/>
      <c r="L1392" s="73"/>
      <c r="M1392" s="73"/>
      <c r="N1392" s="73"/>
      <c r="O1392" s="73"/>
      <c r="P1392" s="73"/>
      <c r="Q1392" s="73"/>
      <c r="R1392" s="73"/>
      <c r="S1392" s="73"/>
      <c r="T1392" s="73"/>
      <c r="U1392" s="73"/>
      <c r="V1392" s="73"/>
      <c r="W1392" s="73"/>
      <c r="X1392" s="73"/>
      <c r="Y1392" s="73"/>
      <c r="Z1392" s="73"/>
      <c r="AA1392" s="75"/>
      <c r="AB1392" s="75"/>
      <c r="AC1392" s="55"/>
      <c r="AD1392" s="89"/>
      <c r="AE1392" s="89"/>
      <c r="AF1392" s="89"/>
      <c r="AG1392" s="57"/>
      <c r="AH1392" s="58"/>
      <c r="AI1392" s="39"/>
      <c r="AK1392" s="41"/>
    </row>
    <row r="1393" spans="1:37" ht="21">
      <c r="A1393" s="32" t="s">
        <v>1678</v>
      </c>
      <c r="B1393" s="148" t="s">
        <v>48</v>
      </c>
      <c r="C1393" s="51" t="s">
        <v>392</v>
      </c>
      <c r="D1393" s="52" t="s">
        <v>38</v>
      </c>
      <c r="E1393" s="73"/>
      <c r="F1393" s="73"/>
      <c r="G1393" s="73"/>
      <c r="H1393" s="73"/>
      <c r="I1393" s="73"/>
      <c r="J1393" s="73"/>
      <c r="K1393" s="73"/>
      <c r="L1393" s="73"/>
      <c r="M1393" s="73"/>
      <c r="N1393" s="73"/>
      <c r="O1393" s="73"/>
      <c r="P1393" s="73"/>
      <c r="Q1393" s="73"/>
      <c r="R1393" s="73"/>
      <c r="S1393" s="73"/>
      <c r="T1393" s="73"/>
      <c r="U1393" s="73"/>
      <c r="V1393" s="73"/>
      <c r="W1393" s="73"/>
      <c r="X1393" s="73"/>
      <c r="Y1393" s="73"/>
      <c r="Z1393" s="73"/>
      <c r="AA1393" s="75"/>
      <c r="AB1393" s="75"/>
      <c r="AC1393" s="55"/>
      <c r="AD1393" s="89"/>
      <c r="AE1393" s="89"/>
      <c r="AF1393" s="89"/>
      <c r="AG1393" s="57"/>
      <c r="AH1393" s="58"/>
      <c r="AI1393" s="39"/>
      <c r="AK1393" s="41"/>
    </row>
    <row r="1394" spans="1:37" ht="27.75">
      <c r="A1394" s="32" t="s">
        <v>1679</v>
      </c>
      <c r="B1394" s="126">
        <v>15.06</v>
      </c>
      <c r="C1394" s="60" t="s">
        <v>1635</v>
      </c>
      <c r="D1394" s="52"/>
      <c r="E1394" s="73"/>
      <c r="F1394" s="73"/>
      <c r="G1394" s="73"/>
      <c r="H1394" s="73"/>
      <c r="I1394" s="73"/>
      <c r="J1394" s="73"/>
      <c r="K1394" s="73"/>
      <c r="L1394" s="73"/>
      <c r="M1394" s="73"/>
      <c r="N1394" s="73"/>
      <c r="O1394" s="73"/>
      <c r="P1394" s="73"/>
      <c r="Q1394" s="73"/>
      <c r="R1394" s="73"/>
      <c r="S1394" s="73"/>
      <c r="T1394" s="73"/>
      <c r="U1394" s="73"/>
      <c r="V1394" s="73"/>
      <c r="W1394" s="73"/>
      <c r="X1394" s="73"/>
      <c r="Y1394" s="73"/>
      <c r="Z1394" s="73"/>
      <c r="AA1394" s="75"/>
      <c r="AB1394" s="75"/>
      <c r="AC1394" s="55"/>
      <c r="AD1394" s="89"/>
      <c r="AE1394" s="89"/>
      <c r="AF1394" s="89"/>
      <c r="AG1394" s="91"/>
      <c r="AH1394" s="48"/>
      <c r="AI1394" s="39"/>
      <c r="AK1394" s="41"/>
    </row>
    <row r="1395" spans="1:37" ht="21">
      <c r="A1395" s="32" t="s">
        <v>1675</v>
      </c>
      <c r="B1395" s="148" t="s">
        <v>14</v>
      </c>
      <c r="C1395" s="51" t="s">
        <v>394</v>
      </c>
      <c r="D1395" s="52" t="s">
        <v>38</v>
      </c>
      <c r="E1395" s="73"/>
      <c r="F1395" s="73"/>
      <c r="G1395" s="73"/>
      <c r="H1395" s="73"/>
      <c r="I1395" s="73"/>
      <c r="J1395" s="73"/>
      <c r="K1395" s="73"/>
      <c r="L1395" s="73"/>
      <c r="M1395" s="73"/>
      <c r="N1395" s="73"/>
      <c r="O1395" s="73"/>
      <c r="P1395" s="73"/>
      <c r="Q1395" s="73"/>
      <c r="R1395" s="73"/>
      <c r="S1395" s="73"/>
      <c r="T1395" s="73"/>
      <c r="U1395" s="73"/>
      <c r="V1395" s="73"/>
      <c r="W1395" s="73"/>
      <c r="X1395" s="73"/>
      <c r="Y1395" s="73"/>
      <c r="Z1395" s="73"/>
      <c r="AA1395" s="75"/>
      <c r="AB1395" s="75"/>
      <c r="AC1395" s="55"/>
      <c r="AD1395" s="89"/>
      <c r="AE1395" s="89"/>
      <c r="AF1395" s="89"/>
      <c r="AG1395" s="57"/>
      <c r="AH1395" s="58"/>
      <c r="AI1395" s="39"/>
      <c r="AK1395" s="41"/>
    </row>
    <row r="1396" spans="1:37" ht="21">
      <c r="A1396" s="32" t="s">
        <v>1676</v>
      </c>
      <c r="B1396" s="148" t="s">
        <v>15</v>
      </c>
      <c r="C1396" s="51" t="s">
        <v>394</v>
      </c>
      <c r="D1396" s="52" t="s">
        <v>38</v>
      </c>
      <c r="E1396" s="73"/>
      <c r="F1396" s="73"/>
      <c r="G1396" s="73"/>
      <c r="H1396" s="73"/>
      <c r="I1396" s="73"/>
      <c r="J1396" s="73"/>
      <c r="K1396" s="73"/>
      <c r="L1396" s="73"/>
      <c r="M1396" s="73"/>
      <c r="N1396" s="73"/>
      <c r="O1396" s="73"/>
      <c r="P1396" s="73"/>
      <c r="Q1396" s="73"/>
      <c r="R1396" s="73"/>
      <c r="S1396" s="73"/>
      <c r="T1396" s="73"/>
      <c r="U1396" s="73"/>
      <c r="V1396" s="73"/>
      <c r="W1396" s="73"/>
      <c r="X1396" s="73"/>
      <c r="Y1396" s="73"/>
      <c r="Z1396" s="73"/>
      <c r="AA1396" s="75"/>
      <c r="AB1396" s="75"/>
      <c r="AC1396" s="55"/>
      <c r="AD1396" s="89"/>
      <c r="AE1396" s="89"/>
      <c r="AF1396" s="89"/>
      <c r="AG1396" s="57"/>
      <c r="AH1396" s="58"/>
      <c r="AI1396" s="39"/>
      <c r="AK1396" s="41"/>
    </row>
    <row r="1397" spans="1:37" ht="27.75">
      <c r="A1397" s="32" t="s">
        <v>1680</v>
      </c>
      <c r="B1397" s="127">
        <v>15.07</v>
      </c>
      <c r="C1397" s="60" t="s">
        <v>1636</v>
      </c>
      <c r="D1397" s="52" t="s">
        <v>38</v>
      </c>
      <c r="E1397" s="73"/>
      <c r="F1397" s="73"/>
      <c r="G1397" s="73"/>
      <c r="H1397" s="73"/>
      <c r="I1397" s="73"/>
      <c r="J1397" s="73"/>
      <c r="K1397" s="73"/>
      <c r="L1397" s="73"/>
      <c r="M1397" s="73"/>
      <c r="N1397" s="73"/>
      <c r="O1397" s="73"/>
      <c r="P1397" s="73"/>
      <c r="Q1397" s="73"/>
      <c r="R1397" s="73"/>
      <c r="S1397" s="73"/>
      <c r="T1397" s="73"/>
      <c r="U1397" s="73"/>
      <c r="V1397" s="73"/>
      <c r="W1397" s="73"/>
      <c r="X1397" s="73"/>
      <c r="Y1397" s="73"/>
      <c r="Z1397" s="73"/>
      <c r="AA1397" s="75"/>
      <c r="AB1397" s="75"/>
      <c r="AC1397" s="55"/>
      <c r="AD1397" s="89"/>
      <c r="AE1397" s="89"/>
      <c r="AF1397" s="89"/>
      <c r="AG1397" s="57"/>
      <c r="AH1397" s="58"/>
      <c r="AI1397" s="39"/>
      <c r="AK1397" s="41"/>
    </row>
    <row r="1398" spans="1:37" ht="21">
      <c r="A1398" s="32" t="s">
        <v>1680</v>
      </c>
      <c r="B1398" s="127">
        <v>15.08</v>
      </c>
      <c r="C1398" s="60" t="s">
        <v>1637</v>
      </c>
      <c r="D1398" s="52" t="s">
        <v>8</v>
      </c>
      <c r="E1398" s="73"/>
      <c r="F1398" s="73"/>
      <c r="G1398" s="73"/>
      <c r="H1398" s="73"/>
      <c r="I1398" s="73"/>
      <c r="J1398" s="73"/>
      <c r="K1398" s="73"/>
      <c r="L1398" s="73"/>
      <c r="M1398" s="73"/>
      <c r="N1398" s="73"/>
      <c r="O1398" s="73"/>
      <c r="P1398" s="73"/>
      <c r="Q1398" s="73"/>
      <c r="R1398" s="73"/>
      <c r="S1398" s="73"/>
      <c r="T1398" s="73"/>
      <c r="U1398" s="73"/>
      <c r="V1398" s="73"/>
      <c r="W1398" s="73"/>
      <c r="X1398" s="73"/>
      <c r="Y1398" s="73"/>
      <c r="Z1398" s="73"/>
      <c r="AA1398" s="75"/>
      <c r="AB1398" s="75"/>
      <c r="AC1398" s="55"/>
      <c r="AD1398" s="89"/>
      <c r="AE1398" s="89"/>
      <c r="AF1398" s="89"/>
      <c r="AG1398" s="57"/>
      <c r="AH1398" s="58"/>
      <c r="AI1398" s="39"/>
      <c r="AK1398" s="41"/>
    </row>
    <row r="1399" spans="1:37" ht="21">
      <c r="A1399" s="32" t="s">
        <v>1681</v>
      </c>
      <c r="B1399" s="59">
        <v>15.09</v>
      </c>
      <c r="C1399" s="52" t="s">
        <v>1638</v>
      </c>
      <c r="D1399" s="52" t="s">
        <v>8</v>
      </c>
      <c r="E1399" s="73"/>
      <c r="F1399" s="73"/>
      <c r="G1399" s="73"/>
      <c r="H1399" s="73"/>
      <c r="I1399" s="73"/>
      <c r="J1399" s="73"/>
      <c r="K1399" s="73"/>
      <c r="L1399" s="73"/>
      <c r="M1399" s="73"/>
      <c r="N1399" s="73"/>
      <c r="O1399" s="73"/>
      <c r="P1399" s="73"/>
      <c r="Q1399" s="73"/>
      <c r="R1399" s="73"/>
      <c r="S1399" s="73"/>
      <c r="T1399" s="73"/>
      <c r="U1399" s="73"/>
      <c r="V1399" s="73"/>
      <c r="W1399" s="73"/>
      <c r="X1399" s="73"/>
      <c r="Y1399" s="73"/>
      <c r="Z1399" s="73"/>
      <c r="AA1399" s="75"/>
      <c r="AB1399" s="75"/>
      <c r="AC1399" s="55"/>
      <c r="AD1399" s="89"/>
      <c r="AE1399" s="89"/>
      <c r="AF1399" s="89"/>
      <c r="AG1399" s="57"/>
      <c r="AH1399" s="58"/>
      <c r="AI1399" s="39"/>
      <c r="AK1399" s="41"/>
    </row>
    <row r="1400" spans="1:37" ht="27.75">
      <c r="A1400" s="32" t="s">
        <v>1682</v>
      </c>
      <c r="B1400" s="126">
        <v>15.1</v>
      </c>
      <c r="C1400" s="149" t="s">
        <v>393</v>
      </c>
      <c r="D1400" s="88"/>
      <c r="E1400" s="73"/>
      <c r="F1400" s="73"/>
      <c r="G1400" s="73"/>
      <c r="H1400" s="73"/>
      <c r="I1400" s="73"/>
      <c r="J1400" s="73"/>
      <c r="K1400" s="73"/>
      <c r="L1400" s="73"/>
      <c r="M1400" s="73"/>
      <c r="N1400" s="73"/>
      <c r="O1400" s="73"/>
      <c r="P1400" s="73"/>
      <c r="Q1400" s="73"/>
      <c r="R1400" s="73"/>
      <c r="S1400" s="73"/>
      <c r="T1400" s="73"/>
      <c r="U1400" s="73"/>
      <c r="V1400" s="73"/>
      <c r="W1400" s="73"/>
      <c r="X1400" s="73"/>
      <c r="Y1400" s="73"/>
      <c r="Z1400" s="73"/>
      <c r="AA1400" s="75"/>
      <c r="AB1400" s="75"/>
      <c r="AC1400" s="55"/>
      <c r="AD1400" s="89"/>
      <c r="AE1400" s="89"/>
      <c r="AF1400" s="89"/>
      <c r="AG1400" s="57"/>
      <c r="AH1400" s="58"/>
      <c r="AI1400" s="39"/>
      <c r="AK1400" s="41"/>
    </row>
    <row r="1401" spans="1:37" ht="21">
      <c r="A1401" s="32" t="s">
        <v>1737</v>
      </c>
      <c r="B1401" s="92" t="s">
        <v>14</v>
      </c>
      <c r="C1401" s="93" t="s">
        <v>394</v>
      </c>
      <c r="D1401" s="88" t="s">
        <v>38</v>
      </c>
      <c r="E1401" s="73"/>
      <c r="F1401" s="73"/>
      <c r="G1401" s="73"/>
      <c r="H1401" s="73"/>
      <c r="I1401" s="73"/>
      <c r="J1401" s="73"/>
      <c r="K1401" s="73"/>
      <c r="L1401" s="73"/>
      <c r="M1401" s="73"/>
      <c r="N1401" s="73"/>
      <c r="O1401" s="73"/>
      <c r="P1401" s="73"/>
      <c r="Q1401" s="73"/>
      <c r="R1401" s="73"/>
      <c r="S1401" s="73"/>
      <c r="T1401" s="73"/>
      <c r="U1401" s="73"/>
      <c r="V1401" s="73"/>
      <c r="W1401" s="73"/>
      <c r="X1401" s="73"/>
      <c r="Y1401" s="73"/>
      <c r="Z1401" s="73"/>
      <c r="AA1401" s="75"/>
      <c r="AB1401" s="75"/>
      <c r="AC1401" s="55"/>
      <c r="AD1401" s="89"/>
      <c r="AE1401" s="89"/>
      <c r="AF1401" s="89"/>
      <c r="AG1401" s="91"/>
      <c r="AH1401" s="48"/>
      <c r="AI1401" s="39"/>
      <c r="AK1401" s="41"/>
    </row>
    <row r="1402" spans="1:37" ht="21">
      <c r="A1402" s="32" t="s">
        <v>1738</v>
      </c>
      <c r="B1402" s="92" t="s">
        <v>15</v>
      </c>
      <c r="C1402" s="93" t="s">
        <v>395</v>
      </c>
      <c r="D1402" s="88" t="s">
        <v>38</v>
      </c>
      <c r="E1402" s="73"/>
      <c r="F1402" s="73"/>
      <c r="G1402" s="73"/>
      <c r="H1402" s="73"/>
      <c r="I1402" s="73"/>
      <c r="J1402" s="73"/>
      <c r="K1402" s="73"/>
      <c r="L1402" s="73"/>
      <c r="M1402" s="73"/>
      <c r="N1402" s="73"/>
      <c r="O1402" s="73"/>
      <c r="P1402" s="73"/>
      <c r="Q1402" s="73"/>
      <c r="R1402" s="73"/>
      <c r="S1402" s="73"/>
      <c r="T1402" s="73"/>
      <c r="U1402" s="73"/>
      <c r="V1402" s="73"/>
      <c r="W1402" s="73"/>
      <c r="X1402" s="73"/>
      <c r="Y1402" s="73"/>
      <c r="Z1402" s="73"/>
      <c r="AA1402" s="75"/>
      <c r="AB1402" s="75"/>
      <c r="AC1402" s="55"/>
      <c r="AD1402" s="89"/>
      <c r="AE1402" s="89"/>
      <c r="AF1402" s="89"/>
      <c r="AG1402" s="57"/>
      <c r="AH1402" s="58"/>
      <c r="AI1402" s="39"/>
      <c r="AK1402" s="41"/>
    </row>
    <row r="1403" spans="1:37" ht="21">
      <c r="A1403" s="32" t="s">
        <v>1739</v>
      </c>
      <c r="B1403" s="92" t="s">
        <v>40</v>
      </c>
      <c r="C1403" s="93" t="s">
        <v>396</v>
      </c>
      <c r="D1403" s="88" t="s">
        <v>38</v>
      </c>
      <c r="E1403" s="73"/>
      <c r="F1403" s="73"/>
      <c r="G1403" s="73"/>
      <c r="H1403" s="73"/>
      <c r="I1403" s="73"/>
      <c r="J1403" s="73"/>
      <c r="K1403" s="73"/>
      <c r="L1403" s="73"/>
      <c r="M1403" s="73"/>
      <c r="N1403" s="73"/>
      <c r="O1403" s="73"/>
      <c r="P1403" s="73"/>
      <c r="Q1403" s="73"/>
      <c r="R1403" s="73"/>
      <c r="S1403" s="73"/>
      <c r="T1403" s="73"/>
      <c r="U1403" s="73"/>
      <c r="V1403" s="73"/>
      <c r="W1403" s="73"/>
      <c r="X1403" s="73"/>
      <c r="Y1403" s="73"/>
      <c r="Z1403" s="73"/>
      <c r="AA1403" s="75"/>
      <c r="AB1403" s="75"/>
      <c r="AC1403" s="55"/>
      <c r="AD1403" s="89"/>
      <c r="AE1403" s="89"/>
      <c r="AF1403" s="89"/>
      <c r="AG1403" s="57"/>
      <c r="AH1403" s="58"/>
      <c r="AI1403" s="39"/>
      <c r="AK1403" s="41"/>
    </row>
    <row r="1404" spans="1:37" ht="27.75">
      <c r="A1404" s="32" t="s">
        <v>1683</v>
      </c>
      <c r="B1404" s="126">
        <v>15.11</v>
      </c>
      <c r="C1404" s="60" t="s">
        <v>399</v>
      </c>
      <c r="D1404" s="88"/>
      <c r="E1404" s="73"/>
      <c r="F1404" s="73"/>
      <c r="G1404" s="73"/>
      <c r="H1404" s="73"/>
      <c r="I1404" s="73"/>
      <c r="J1404" s="73"/>
      <c r="K1404" s="73"/>
      <c r="L1404" s="73"/>
      <c r="M1404" s="73"/>
      <c r="N1404" s="73"/>
      <c r="O1404" s="73"/>
      <c r="P1404" s="73"/>
      <c r="Q1404" s="73"/>
      <c r="R1404" s="73"/>
      <c r="S1404" s="73"/>
      <c r="T1404" s="73"/>
      <c r="U1404" s="73"/>
      <c r="V1404" s="73"/>
      <c r="W1404" s="73"/>
      <c r="X1404" s="73"/>
      <c r="Y1404" s="73"/>
      <c r="Z1404" s="73"/>
      <c r="AA1404" s="75"/>
      <c r="AB1404" s="75"/>
      <c r="AC1404" s="55"/>
      <c r="AD1404" s="89"/>
      <c r="AE1404" s="89"/>
      <c r="AF1404" s="89"/>
      <c r="AG1404" s="91"/>
      <c r="AH1404" s="48"/>
      <c r="AK1404" s="41"/>
    </row>
    <row r="1405" spans="1:37" ht="21">
      <c r="A1405" s="32" t="s">
        <v>1684</v>
      </c>
      <c r="B1405" s="94" t="s">
        <v>14</v>
      </c>
      <c r="C1405" s="95" t="s">
        <v>400</v>
      </c>
      <c r="D1405" s="88"/>
      <c r="E1405" s="73"/>
      <c r="F1405" s="73"/>
      <c r="G1405" s="73"/>
      <c r="H1405" s="73"/>
      <c r="I1405" s="73"/>
      <c r="J1405" s="73"/>
      <c r="K1405" s="73"/>
      <c r="L1405" s="73"/>
      <c r="M1405" s="73"/>
      <c r="N1405" s="73"/>
      <c r="O1405" s="73"/>
      <c r="P1405" s="73"/>
      <c r="Q1405" s="73"/>
      <c r="R1405" s="73"/>
      <c r="S1405" s="73"/>
      <c r="T1405" s="73"/>
      <c r="U1405" s="73"/>
      <c r="V1405" s="73"/>
      <c r="W1405" s="73"/>
      <c r="X1405" s="73"/>
      <c r="Y1405" s="73"/>
      <c r="Z1405" s="73"/>
      <c r="AA1405" s="75"/>
      <c r="AB1405" s="75"/>
      <c r="AC1405" s="55"/>
      <c r="AD1405" s="89"/>
      <c r="AE1405" s="89"/>
      <c r="AF1405" s="89"/>
      <c r="AG1405" s="57"/>
      <c r="AH1405" s="58"/>
      <c r="AI1405" s="39"/>
      <c r="AK1405" s="41"/>
    </row>
    <row r="1406" spans="1:37" ht="21">
      <c r="A1406" s="32" t="s">
        <v>1685</v>
      </c>
      <c r="B1406" s="92" t="s">
        <v>401</v>
      </c>
      <c r="C1406" s="93" t="s">
        <v>402</v>
      </c>
      <c r="D1406" s="88" t="s">
        <v>38</v>
      </c>
      <c r="E1406" s="73"/>
      <c r="F1406" s="73"/>
      <c r="G1406" s="73"/>
      <c r="H1406" s="73"/>
      <c r="I1406" s="73"/>
      <c r="J1406" s="73"/>
      <c r="K1406" s="73"/>
      <c r="L1406" s="73"/>
      <c r="M1406" s="73"/>
      <c r="N1406" s="73"/>
      <c r="O1406" s="73"/>
      <c r="P1406" s="73"/>
      <c r="Q1406" s="73"/>
      <c r="R1406" s="73"/>
      <c r="S1406" s="73"/>
      <c r="T1406" s="73"/>
      <c r="U1406" s="73"/>
      <c r="V1406" s="73"/>
      <c r="W1406" s="73"/>
      <c r="X1406" s="73"/>
      <c r="Y1406" s="73"/>
      <c r="Z1406" s="73"/>
      <c r="AA1406" s="75"/>
      <c r="AB1406" s="75"/>
      <c r="AC1406" s="55"/>
      <c r="AD1406" s="89"/>
      <c r="AE1406" s="89"/>
      <c r="AF1406" s="89"/>
      <c r="AG1406" s="57"/>
      <c r="AH1406" s="58"/>
      <c r="AI1406" s="39"/>
      <c r="AK1406" s="41"/>
    </row>
    <row r="1407" spans="1:37" ht="21">
      <c r="A1407" s="32" t="s">
        <v>1686</v>
      </c>
      <c r="B1407" s="92" t="s">
        <v>403</v>
      </c>
      <c r="C1407" s="93" t="s">
        <v>404</v>
      </c>
      <c r="D1407" s="88" t="s">
        <v>38</v>
      </c>
      <c r="E1407" s="73"/>
      <c r="F1407" s="73"/>
      <c r="G1407" s="73"/>
      <c r="H1407" s="73"/>
      <c r="I1407" s="73"/>
      <c r="J1407" s="73"/>
      <c r="K1407" s="73"/>
      <c r="L1407" s="73"/>
      <c r="M1407" s="73"/>
      <c r="N1407" s="73"/>
      <c r="O1407" s="73"/>
      <c r="P1407" s="73"/>
      <c r="Q1407" s="73"/>
      <c r="R1407" s="73"/>
      <c r="S1407" s="73"/>
      <c r="T1407" s="73"/>
      <c r="U1407" s="73"/>
      <c r="V1407" s="73"/>
      <c r="W1407" s="73"/>
      <c r="X1407" s="73"/>
      <c r="Y1407" s="73"/>
      <c r="Z1407" s="73"/>
      <c r="AA1407" s="75"/>
      <c r="AB1407" s="75"/>
      <c r="AC1407" s="55"/>
      <c r="AD1407" s="89"/>
      <c r="AE1407" s="89"/>
      <c r="AF1407" s="89"/>
      <c r="AG1407" s="57"/>
      <c r="AH1407" s="58"/>
      <c r="AI1407" s="39"/>
      <c r="AK1407" s="41"/>
    </row>
    <row r="1408" spans="1:37" ht="21">
      <c r="A1408" s="32" t="s">
        <v>1732</v>
      </c>
      <c r="B1408" s="94" t="s">
        <v>15</v>
      </c>
      <c r="C1408" s="95" t="s">
        <v>405</v>
      </c>
      <c r="D1408" s="88"/>
      <c r="E1408" s="73"/>
      <c r="F1408" s="73"/>
      <c r="G1408" s="73"/>
      <c r="H1408" s="73"/>
      <c r="I1408" s="73"/>
      <c r="J1408" s="73"/>
      <c r="K1408" s="73"/>
      <c r="L1408" s="73"/>
      <c r="M1408" s="73"/>
      <c r="N1408" s="73"/>
      <c r="O1408" s="73"/>
      <c r="P1408" s="73"/>
      <c r="Q1408" s="73"/>
      <c r="R1408" s="73"/>
      <c r="S1408" s="73"/>
      <c r="T1408" s="73"/>
      <c r="U1408" s="73"/>
      <c r="V1408" s="73"/>
      <c r="W1408" s="73"/>
      <c r="X1408" s="73"/>
      <c r="Y1408" s="73"/>
      <c r="Z1408" s="73"/>
      <c r="AA1408" s="75"/>
      <c r="AB1408" s="75"/>
      <c r="AC1408" s="55"/>
      <c r="AD1408" s="89"/>
      <c r="AE1408" s="89"/>
      <c r="AF1408" s="89"/>
      <c r="AG1408" s="57"/>
      <c r="AH1408" s="58"/>
      <c r="AI1408" s="39"/>
      <c r="AK1408" s="41"/>
    </row>
    <row r="1409" spans="1:37" ht="21">
      <c r="A1409" s="32" t="s">
        <v>1732</v>
      </c>
      <c r="B1409" s="92" t="s">
        <v>401</v>
      </c>
      <c r="C1409" s="93" t="s">
        <v>402</v>
      </c>
      <c r="D1409" s="88" t="s">
        <v>38</v>
      </c>
      <c r="E1409" s="73"/>
      <c r="F1409" s="73"/>
      <c r="G1409" s="73"/>
      <c r="H1409" s="73"/>
      <c r="I1409" s="73"/>
      <c r="J1409" s="73"/>
      <c r="K1409" s="73"/>
      <c r="L1409" s="73"/>
      <c r="M1409" s="73"/>
      <c r="N1409" s="73"/>
      <c r="O1409" s="73"/>
      <c r="P1409" s="73"/>
      <c r="Q1409" s="73"/>
      <c r="R1409" s="73"/>
      <c r="S1409" s="73"/>
      <c r="T1409" s="73"/>
      <c r="U1409" s="73"/>
      <c r="V1409" s="73"/>
      <c r="W1409" s="73"/>
      <c r="X1409" s="73"/>
      <c r="Y1409" s="73"/>
      <c r="Z1409" s="73"/>
      <c r="AA1409" s="75"/>
      <c r="AB1409" s="75"/>
      <c r="AC1409" s="55"/>
      <c r="AD1409" s="89"/>
      <c r="AE1409" s="89"/>
      <c r="AF1409" s="89"/>
      <c r="AG1409" s="57"/>
      <c r="AH1409" s="58"/>
      <c r="AI1409" s="39"/>
      <c r="AK1409" s="41"/>
    </row>
    <row r="1410" spans="1:37" ht="21">
      <c r="A1410" s="32" t="s">
        <v>1733</v>
      </c>
      <c r="B1410" s="92" t="s">
        <v>403</v>
      </c>
      <c r="C1410" s="93" t="s">
        <v>404</v>
      </c>
      <c r="D1410" s="88" t="s">
        <v>38</v>
      </c>
      <c r="E1410" s="73"/>
      <c r="F1410" s="73"/>
      <c r="G1410" s="73"/>
      <c r="H1410" s="73"/>
      <c r="I1410" s="73"/>
      <c r="J1410" s="73"/>
      <c r="K1410" s="73"/>
      <c r="L1410" s="73"/>
      <c r="M1410" s="73"/>
      <c r="N1410" s="73"/>
      <c r="O1410" s="73"/>
      <c r="P1410" s="73"/>
      <c r="Q1410" s="73"/>
      <c r="R1410" s="73"/>
      <c r="S1410" s="73"/>
      <c r="T1410" s="73"/>
      <c r="U1410" s="73"/>
      <c r="V1410" s="73"/>
      <c r="W1410" s="73"/>
      <c r="X1410" s="73"/>
      <c r="Y1410" s="73"/>
      <c r="Z1410" s="73"/>
      <c r="AA1410" s="75"/>
      <c r="AB1410" s="75"/>
      <c r="AC1410" s="55"/>
      <c r="AD1410" s="89"/>
      <c r="AE1410" s="89"/>
      <c r="AF1410" s="89"/>
      <c r="AG1410" s="57"/>
      <c r="AH1410" s="48"/>
      <c r="AI1410" s="39"/>
      <c r="AK1410" s="41"/>
    </row>
    <row r="1411" spans="1:37" ht="21">
      <c r="A1411" s="32" t="s">
        <v>1734</v>
      </c>
      <c r="B1411" s="94" t="s">
        <v>40</v>
      </c>
      <c r="C1411" s="95" t="s">
        <v>406</v>
      </c>
      <c r="D1411" s="88"/>
      <c r="E1411" s="73"/>
      <c r="F1411" s="73"/>
      <c r="G1411" s="73"/>
      <c r="H1411" s="73"/>
      <c r="I1411" s="73"/>
      <c r="J1411" s="73"/>
      <c r="K1411" s="73"/>
      <c r="L1411" s="73"/>
      <c r="M1411" s="73"/>
      <c r="N1411" s="73"/>
      <c r="O1411" s="73"/>
      <c r="P1411" s="73"/>
      <c r="Q1411" s="73"/>
      <c r="R1411" s="73"/>
      <c r="S1411" s="73"/>
      <c r="T1411" s="73"/>
      <c r="U1411" s="73"/>
      <c r="V1411" s="73"/>
      <c r="W1411" s="73"/>
      <c r="X1411" s="73"/>
      <c r="Y1411" s="73"/>
      <c r="Z1411" s="73"/>
      <c r="AA1411" s="75"/>
      <c r="AB1411" s="75"/>
      <c r="AC1411" s="55"/>
      <c r="AD1411" s="89"/>
      <c r="AE1411" s="89"/>
      <c r="AF1411" s="89"/>
      <c r="AG1411" s="57"/>
      <c r="AH1411" s="58"/>
      <c r="AI1411" s="39"/>
      <c r="AK1411" s="41"/>
    </row>
    <row r="1412" spans="1:37" ht="21">
      <c r="A1412" s="32" t="s">
        <v>1735</v>
      </c>
      <c r="B1412" s="92" t="s">
        <v>401</v>
      </c>
      <c r="C1412" s="93" t="s">
        <v>402</v>
      </c>
      <c r="D1412" s="88" t="s">
        <v>38</v>
      </c>
      <c r="E1412" s="73"/>
      <c r="F1412" s="73"/>
      <c r="G1412" s="73"/>
      <c r="H1412" s="73"/>
      <c r="I1412" s="73"/>
      <c r="J1412" s="73"/>
      <c r="K1412" s="73"/>
      <c r="L1412" s="73"/>
      <c r="M1412" s="73"/>
      <c r="N1412" s="73"/>
      <c r="O1412" s="73"/>
      <c r="P1412" s="73"/>
      <c r="Q1412" s="73"/>
      <c r="R1412" s="73"/>
      <c r="S1412" s="73"/>
      <c r="T1412" s="73"/>
      <c r="U1412" s="73"/>
      <c r="V1412" s="73"/>
      <c r="W1412" s="73"/>
      <c r="X1412" s="73"/>
      <c r="Y1412" s="73"/>
      <c r="Z1412" s="73"/>
      <c r="AA1412" s="75"/>
      <c r="AB1412" s="75"/>
      <c r="AC1412" s="55"/>
      <c r="AD1412" s="89"/>
      <c r="AE1412" s="89"/>
      <c r="AF1412" s="89"/>
      <c r="AG1412" s="57"/>
      <c r="AH1412" s="58"/>
      <c r="AI1412" s="39"/>
      <c r="AK1412" s="41"/>
    </row>
    <row r="1413" spans="1:37" ht="21">
      <c r="A1413" s="32" t="s">
        <v>1736</v>
      </c>
      <c r="B1413" s="92" t="s">
        <v>403</v>
      </c>
      <c r="C1413" s="93" t="s">
        <v>404</v>
      </c>
      <c r="D1413" s="88" t="s">
        <v>38</v>
      </c>
      <c r="E1413" s="73"/>
      <c r="F1413" s="73"/>
      <c r="G1413" s="73"/>
      <c r="H1413" s="73"/>
      <c r="I1413" s="73"/>
      <c r="J1413" s="73"/>
      <c r="K1413" s="73"/>
      <c r="L1413" s="73"/>
      <c r="M1413" s="73"/>
      <c r="N1413" s="73"/>
      <c r="O1413" s="73"/>
      <c r="P1413" s="73"/>
      <c r="Q1413" s="73"/>
      <c r="R1413" s="73"/>
      <c r="S1413" s="73"/>
      <c r="T1413" s="73"/>
      <c r="U1413" s="73"/>
      <c r="V1413" s="73"/>
      <c r="W1413" s="73"/>
      <c r="X1413" s="73"/>
      <c r="Y1413" s="73"/>
      <c r="Z1413" s="73"/>
      <c r="AA1413" s="75"/>
      <c r="AB1413" s="75"/>
      <c r="AC1413" s="55"/>
      <c r="AD1413" s="89"/>
      <c r="AE1413" s="89"/>
      <c r="AF1413" s="89"/>
      <c r="AG1413" s="57"/>
      <c r="AH1413" s="58"/>
      <c r="AI1413" s="39"/>
      <c r="AK1413" s="41"/>
    </row>
    <row r="1414" spans="1:37" ht="21">
      <c r="A1414" s="32" t="s">
        <v>1726</v>
      </c>
      <c r="B1414" s="94" t="s">
        <v>48</v>
      </c>
      <c r="C1414" s="95" t="s">
        <v>407</v>
      </c>
      <c r="D1414" s="88"/>
      <c r="E1414" s="73"/>
      <c r="F1414" s="73"/>
      <c r="G1414" s="73"/>
      <c r="H1414" s="73"/>
      <c r="I1414" s="73"/>
      <c r="J1414" s="73"/>
      <c r="K1414" s="73"/>
      <c r="L1414" s="73"/>
      <c r="M1414" s="73"/>
      <c r="N1414" s="73"/>
      <c r="O1414" s="73"/>
      <c r="P1414" s="73"/>
      <c r="Q1414" s="73"/>
      <c r="R1414" s="73"/>
      <c r="S1414" s="73"/>
      <c r="T1414" s="73"/>
      <c r="U1414" s="73"/>
      <c r="V1414" s="73"/>
      <c r="W1414" s="73"/>
      <c r="X1414" s="73"/>
      <c r="Y1414" s="73"/>
      <c r="Z1414" s="73"/>
      <c r="AA1414" s="75"/>
      <c r="AB1414" s="75"/>
      <c r="AC1414" s="55"/>
      <c r="AD1414" s="89"/>
      <c r="AE1414" s="89"/>
      <c r="AF1414" s="89"/>
      <c r="AG1414" s="57"/>
      <c r="AH1414" s="58"/>
      <c r="AI1414" s="39"/>
      <c r="AK1414" s="41"/>
    </row>
    <row r="1415" spans="1:37" ht="21">
      <c r="A1415" s="32" t="s">
        <v>1727</v>
      </c>
      <c r="B1415" s="92" t="s">
        <v>401</v>
      </c>
      <c r="C1415" s="93" t="s">
        <v>402</v>
      </c>
      <c r="D1415" s="88" t="s">
        <v>38</v>
      </c>
      <c r="E1415" s="73"/>
      <c r="F1415" s="73"/>
      <c r="G1415" s="73"/>
      <c r="H1415" s="73"/>
      <c r="I1415" s="73"/>
      <c r="J1415" s="73"/>
      <c r="K1415" s="73"/>
      <c r="L1415" s="73"/>
      <c r="M1415" s="73"/>
      <c r="N1415" s="73"/>
      <c r="O1415" s="73"/>
      <c r="P1415" s="73"/>
      <c r="Q1415" s="73"/>
      <c r="R1415" s="73"/>
      <c r="S1415" s="73"/>
      <c r="T1415" s="73"/>
      <c r="U1415" s="73"/>
      <c r="V1415" s="73"/>
      <c r="W1415" s="73"/>
      <c r="X1415" s="73"/>
      <c r="Y1415" s="73"/>
      <c r="Z1415" s="73"/>
      <c r="AA1415" s="75"/>
      <c r="AB1415" s="75"/>
      <c r="AC1415" s="55"/>
      <c r="AD1415" s="89"/>
      <c r="AE1415" s="89"/>
      <c r="AF1415" s="89"/>
      <c r="AG1415" s="57"/>
      <c r="AH1415" s="58"/>
      <c r="AI1415" s="39"/>
      <c r="AK1415" s="41"/>
    </row>
    <row r="1416" spans="1:37" ht="21">
      <c r="A1416" s="32" t="s">
        <v>1728</v>
      </c>
      <c r="B1416" s="92" t="s">
        <v>403</v>
      </c>
      <c r="C1416" s="93" t="s">
        <v>404</v>
      </c>
      <c r="D1416" s="88" t="s">
        <v>38</v>
      </c>
      <c r="E1416" s="73"/>
      <c r="F1416" s="73"/>
      <c r="G1416" s="73"/>
      <c r="H1416" s="73"/>
      <c r="I1416" s="73"/>
      <c r="J1416" s="73"/>
      <c r="K1416" s="73"/>
      <c r="L1416" s="73"/>
      <c r="M1416" s="73"/>
      <c r="N1416" s="73"/>
      <c r="O1416" s="73"/>
      <c r="P1416" s="73"/>
      <c r="Q1416" s="73"/>
      <c r="R1416" s="73"/>
      <c r="S1416" s="73"/>
      <c r="T1416" s="73"/>
      <c r="U1416" s="73"/>
      <c r="V1416" s="73"/>
      <c r="W1416" s="73"/>
      <c r="X1416" s="73"/>
      <c r="Y1416" s="73"/>
      <c r="Z1416" s="73"/>
      <c r="AA1416" s="75"/>
      <c r="AB1416" s="75"/>
      <c r="AC1416" s="55"/>
      <c r="AD1416" s="89"/>
      <c r="AE1416" s="89"/>
      <c r="AF1416" s="89"/>
      <c r="AG1416" s="57"/>
      <c r="AH1416" s="58"/>
      <c r="AI1416" s="39"/>
      <c r="AK1416" s="41"/>
    </row>
    <row r="1417" spans="1:37" ht="21">
      <c r="A1417" s="32" t="s">
        <v>1729</v>
      </c>
      <c r="B1417" s="94" t="s">
        <v>55</v>
      </c>
      <c r="C1417" s="95" t="s">
        <v>408</v>
      </c>
      <c r="D1417" s="88"/>
      <c r="E1417" s="73"/>
      <c r="F1417" s="73"/>
      <c r="G1417" s="73"/>
      <c r="H1417" s="73"/>
      <c r="I1417" s="73"/>
      <c r="J1417" s="73"/>
      <c r="K1417" s="73"/>
      <c r="L1417" s="73"/>
      <c r="M1417" s="73"/>
      <c r="N1417" s="73"/>
      <c r="O1417" s="73"/>
      <c r="P1417" s="73"/>
      <c r="Q1417" s="73"/>
      <c r="R1417" s="73"/>
      <c r="S1417" s="73"/>
      <c r="T1417" s="73"/>
      <c r="U1417" s="73"/>
      <c r="V1417" s="73"/>
      <c r="W1417" s="73"/>
      <c r="X1417" s="73"/>
      <c r="Y1417" s="73"/>
      <c r="Z1417" s="73"/>
      <c r="AA1417" s="75"/>
      <c r="AB1417" s="75"/>
      <c r="AC1417" s="55"/>
      <c r="AD1417" s="89"/>
      <c r="AE1417" s="89"/>
      <c r="AF1417" s="89"/>
      <c r="AG1417" s="57"/>
      <c r="AH1417" s="58"/>
      <c r="AI1417" s="39"/>
      <c r="AK1417" s="41"/>
    </row>
    <row r="1418" spans="1:37" ht="21">
      <c r="A1418" s="32" t="s">
        <v>1730</v>
      </c>
      <c r="B1418" s="92" t="s">
        <v>401</v>
      </c>
      <c r="C1418" s="93" t="s">
        <v>402</v>
      </c>
      <c r="D1418" s="88" t="s">
        <v>38</v>
      </c>
      <c r="E1418" s="73"/>
      <c r="F1418" s="73"/>
      <c r="G1418" s="73"/>
      <c r="H1418" s="73"/>
      <c r="I1418" s="73"/>
      <c r="J1418" s="73"/>
      <c r="K1418" s="73"/>
      <c r="L1418" s="73"/>
      <c r="M1418" s="73"/>
      <c r="N1418" s="73"/>
      <c r="O1418" s="73"/>
      <c r="P1418" s="73"/>
      <c r="Q1418" s="73"/>
      <c r="R1418" s="73"/>
      <c r="S1418" s="73"/>
      <c r="T1418" s="73"/>
      <c r="U1418" s="73"/>
      <c r="V1418" s="73"/>
      <c r="W1418" s="73"/>
      <c r="X1418" s="73"/>
      <c r="Y1418" s="73"/>
      <c r="Z1418" s="73"/>
      <c r="AA1418" s="75"/>
      <c r="AB1418" s="75"/>
      <c r="AC1418" s="55"/>
      <c r="AD1418" s="89"/>
      <c r="AE1418" s="89"/>
      <c r="AF1418" s="89"/>
      <c r="AG1418" s="57"/>
      <c r="AH1418" s="58"/>
      <c r="AI1418" s="39"/>
      <c r="AK1418" s="41"/>
    </row>
    <row r="1419" spans="1:37" ht="21">
      <c r="A1419" s="32" t="s">
        <v>1731</v>
      </c>
      <c r="B1419" s="92" t="s">
        <v>403</v>
      </c>
      <c r="C1419" s="93" t="s">
        <v>404</v>
      </c>
      <c r="D1419" s="88" t="s">
        <v>38</v>
      </c>
      <c r="E1419" s="73"/>
      <c r="F1419" s="73"/>
      <c r="G1419" s="73"/>
      <c r="H1419" s="73"/>
      <c r="I1419" s="73"/>
      <c r="J1419" s="73"/>
      <c r="K1419" s="73"/>
      <c r="L1419" s="73"/>
      <c r="M1419" s="73"/>
      <c r="N1419" s="73"/>
      <c r="O1419" s="73"/>
      <c r="P1419" s="73"/>
      <c r="Q1419" s="73"/>
      <c r="R1419" s="73"/>
      <c r="S1419" s="73"/>
      <c r="T1419" s="73"/>
      <c r="U1419" s="73"/>
      <c r="V1419" s="73"/>
      <c r="W1419" s="73"/>
      <c r="X1419" s="73"/>
      <c r="Y1419" s="73"/>
      <c r="Z1419" s="73"/>
      <c r="AA1419" s="75"/>
      <c r="AB1419" s="75"/>
      <c r="AC1419" s="55"/>
      <c r="AD1419" s="89"/>
      <c r="AE1419" s="89"/>
      <c r="AF1419" s="89"/>
      <c r="AG1419" s="57"/>
      <c r="AH1419" s="58"/>
      <c r="AI1419" s="39"/>
      <c r="AK1419" s="41"/>
    </row>
    <row r="1420" spans="1:37" ht="21">
      <c r="A1420" s="32" t="s">
        <v>1723</v>
      </c>
      <c r="B1420" s="94" t="s">
        <v>57</v>
      </c>
      <c r="C1420" s="95" t="s">
        <v>409</v>
      </c>
      <c r="D1420" s="88"/>
      <c r="E1420" s="73"/>
      <c r="F1420" s="73"/>
      <c r="G1420" s="73"/>
      <c r="H1420" s="73"/>
      <c r="I1420" s="73"/>
      <c r="J1420" s="73"/>
      <c r="K1420" s="73"/>
      <c r="L1420" s="73"/>
      <c r="M1420" s="73"/>
      <c r="N1420" s="73"/>
      <c r="O1420" s="73"/>
      <c r="P1420" s="73"/>
      <c r="Q1420" s="73"/>
      <c r="R1420" s="73"/>
      <c r="S1420" s="73"/>
      <c r="T1420" s="73"/>
      <c r="U1420" s="73"/>
      <c r="V1420" s="73"/>
      <c r="W1420" s="73"/>
      <c r="X1420" s="73"/>
      <c r="Y1420" s="73"/>
      <c r="Z1420" s="73"/>
      <c r="AA1420" s="75"/>
      <c r="AB1420" s="75"/>
      <c r="AC1420" s="55"/>
      <c r="AD1420" s="89"/>
      <c r="AE1420" s="89"/>
      <c r="AF1420" s="89"/>
      <c r="AG1420" s="57"/>
      <c r="AH1420" s="58"/>
      <c r="AI1420" s="39"/>
      <c r="AK1420" s="41"/>
    </row>
    <row r="1421" spans="1:37" ht="21">
      <c r="A1421" s="32" t="s">
        <v>1724</v>
      </c>
      <c r="B1421" s="92" t="s">
        <v>401</v>
      </c>
      <c r="C1421" s="93" t="s">
        <v>402</v>
      </c>
      <c r="D1421" s="88" t="s">
        <v>38</v>
      </c>
      <c r="E1421" s="73"/>
      <c r="F1421" s="73"/>
      <c r="G1421" s="73"/>
      <c r="H1421" s="73"/>
      <c r="I1421" s="73"/>
      <c r="J1421" s="73"/>
      <c r="K1421" s="73"/>
      <c r="L1421" s="73"/>
      <c r="M1421" s="73"/>
      <c r="N1421" s="73"/>
      <c r="O1421" s="73"/>
      <c r="P1421" s="73"/>
      <c r="Q1421" s="73"/>
      <c r="R1421" s="73"/>
      <c r="S1421" s="73"/>
      <c r="T1421" s="73"/>
      <c r="U1421" s="73"/>
      <c r="V1421" s="73"/>
      <c r="W1421" s="73"/>
      <c r="X1421" s="73"/>
      <c r="Y1421" s="73"/>
      <c r="Z1421" s="73"/>
      <c r="AA1421" s="75"/>
      <c r="AB1421" s="75"/>
      <c r="AC1421" s="55"/>
      <c r="AD1421" s="89"/>
      <c r="AE1421" s="89"/>
      <c r="AF1421" s="89"/>
      <c r="AG1421" s="57"/>
      <c r="AH1421" s="58"/>
      <c r="AI1421" s="39"/>
      <c r="AK1421" s="41"/>
    </row>
    <row r="1422" spans="1:37" ht="21">
      <c r="A1422" s="32" t="s">
        <v>1725</v>
      </c>
      <c r="B1422" s="92" t="s">
        <v>403</v>
      </c>
      <c r="C1422" s="93" t="s">
        <v>404</v>
      </c>
      <c r="D1422" s="88" t="s">
        <v>38</v>
      </c>
      <c r="E1422" s="73"/>
      <c r="F1422" s="73"/>
      <c r="G1422" s="73"/>
      <c r="H1422" s="73"/>
      <c r="I1422" s="73"/>
      <c r="J1422" s="73"/>
      <c r="K1422" s="73"/>
      <c r="L1422" s="73"/>
      <c r="M1422" s="73"/>
      <c r="N1422" s="73"/>
      <c r="O1422" s="73"/>
      <c r="P1422" s="73"/>
      <c r="Q1422" s="73"/>
      <c r="R1422" s="73"/>
      <c r="S1422" s="73"/>
      <c r="T1422" s="73"/>
      <c r="U1422" s="73"/>
      <c r="V1422" s="73"/>
      <c r="W1422" s="73"/>
      <c r="X1422" s="73"/>
      <c r="Y1422" s="73"/>
      <c r="Z1422" s="73"/>
      <c r="AA1422" s="75"/>
      <c r="AB1422" s="75"/>
      <c r="AC1422" s="55"/>
      <c r="AD1422" s="89"/>
      <c r="AE1422" s="89"/>
      <c r="AF1422" s="89"/>
      <c r="AG1422" s="57"/>
      <c r="AH1422" s="58"/>
      <c r="AI1422" s="39"/>
      <c r="AK1422" s="41"/>
    </row>
    <row r="1423" spans="1:37" ht="21">
      <c r="A1423" s="32" t="s">
        <v>1720</v>
      </c>
      <c r="B1423" s="94" t="s">
        <v>360</v>
      </c>
      <c r="C1423" s="95" t="s">
        <v>410</v>
      </c>
      <c r="D1423" s="88"/>
      <c r="E1423" s="73"/>
      <c r="F1423" s="73"/>
      <c r="G1423" s="73"/>
      <c r="H1423" s="73"/>
      <c r="I1423" s="73"/>
      <c r="J1423" s="73"/>
      <c r="K1423" s="73"/>
      <c r="L1423" s="73"/>
      <c r="M1423" s="73"/>
      <c r="N1423" s="73"/>
      <c r="O1423" s="73"/>
      <c r="P1423" s="73"/>
      <c r="Q1423" s="73"/>
      <c r="R1423" s="73"/>
      <c r="S1423" s="73"/>
      <c r="T1423" s="73"/>
      <c r="U1423" s="73"/>
      <c r="V1423" s="73"/>
      <c r="W1423" s="73"/>
      <c r="X1423" s="73"/>
      <c r="Y1423" s="73"/>
      <c r="Z1423" s="73"/>
      <c r="AA1423" s="75"/>
      <c r="AB1423" s="75"/>
      <c r="AC1423" s="55"/>
      <c r="AD1423" s="89"/>
      <c r="AE1423" s="89"/>
      <c r="AF1423" s="89"/>
      <c r="AG1423" s="91"/>
      <c r="AH1423" s="48"/>
      <c r="AI1423" s="39"/>
      <c r="AK1423" s="41"/>
    </row>
    <row r="1424" spans="1:37" ht="21">
      <c r="A1424" s="32" t="s">
        <v>1721</v>
      </c>
      <c r="B1424" s="92" t="s">
        <v>401</v>
      </c>
      <c r="C1424" s="93" t="s">
        <v>402</v>
      </c>
      <c r="D1424" s="88" t="s">
        <v>38</v>
      </c>
      <c r="E1424" s="73"/>
      <c r="F1424" s="73"/>
      <c r="G1424" s="73"/>
      <c r="H1424" s="73"/>
      <c r="I1424" s="73"/>
      <c r="J1424" s="73"/>
      <c r="K1424" s="73"/>
      <c r="L1424" s="73"/>
      <c r="M1424" s="73"/>
      <c r="N1424" s="73"/>
      <c r="O1424" s="73"/>
      <c r="P1424" s="73"/>
      <c r="Q1424" s="73"/>
      <c r="R1424" s="73"/>
      <c r="S1424" s="73"/>
      <c r="T1424" s="73"/>
      <c r="U1424" s="73"/>
      <c r="V1424" s="73"/>
      <c r="W1424" s="73"/>
      <c r="X1424" s="73"/>
      <c r="Y1424" s="73"/>
      <c r="Z1424" s="73"/>
      <c r="AA1424" s="75"/>
      <c r="AB1424" s="75"/>
      <c r="AC1424" s="55"/>
      <c r="AD1424" s="89"/>
      <c r="AE1424" s="89"/>
      <c r="AF1424" s="89"/>
      <c r="AG1424" s="57"/>
      <c r="AH1424" s="58"/>
      <c r="AI1424" s="39"/>
      <c r="AK1424" s="41"/>
    </row>
    <row r="1425" spans="1:37" ht="21">
      <c r="A1425" s="32" t="s">
        <v>1722</v>
      </c>
      <c r="B1425" s="92" t="s">
        <v>411</v>
      </c>
      <c r="C1425" s="93" t="s">
        <v>404</v>
      </c>
      <c r="D1425" s="88" t="s">
        <v>38</v>
      </c>
      <c r="E1425" s="73"/>
      <c r="F1425" s="73"/>
      <c r="G1425" s="73"/>
      <c r="H1425" s="73"/>
      <c r="I1425" s="73"/>
      <c r="J1425" s="73"/>
      <c r="K1425" s="73"/>
      <c r="L1425" s="73"/>
      <c r="M1425" s="73"/>
      <c r="N1425" s="73"/>
      <c r="O1425" s="73"/>
      <c r="P1425" s="73"/>
      <c r="Q1425" s="73"/>
      <c r="R1425" s="73"/>
      <c r="S1425" s="73"/>
      <c r="T1425" s="73"/>
      <c r="U1425" s="73"/>
      <c r="V1425" s="73"/>
      <c r="W1425" s="73"/>
      <c r="X1425" s="73"/>
      <c r="Y1425" s="73"/>
      <c r="Z1425" s="73"/>
      <c r="AA1425" s="75"/>
      <c r="AB1425" s="75"/>
      <c r="AC1425" s="55"/>
      <c r="AD1425" s="89"/>
      <c r="AE1425" s="89"/>
      <c r="AF1425" s="89"/>
      <c r="AG1425" s="57"/>
      <c r="AH1425" s="58"/>
      <c r="AI1425" s="39"/>
      <c r="AK1425" s="41"/>
    </row>
    <row r="1426" spans="1:37" ht="21">
      <c r="A1426" s="32" t="s">
        <v>1717</v>
      </c>
      <c r="B1426" s="94" t="s">
        <v>365</v>
      </c>
      <c r="C1426" s="95" t="s">
        <v>412</v>
      </c>
      <c r="D1426" s="88"/>
      <c r="E1426" s="73"/>
      <c r="F1426" s="73"/>
      <c r="G1426" s="73"/>
      <c r="H1426" s="73"/>
      <c r="I1426" s="73"/>
      <c r="J1426" s="73"/>
      <c r="K1426" s="73"/>
      <c r="L1426" s="73"/>
      <c r="M1426" s="73"/>
      <c r="N1426" s="73"/>
      <c r="O1426" s="73"/>
      <c r="P1426" s="73"/>
      <c r="Q1426" s="73"/>
      <c r="R1426" s="73"/>
      <c r="S1426" s="73"/>
      <c r="T1426" s="73"/>
      <c r="U1426" s="73"/>
      <c r="V1426" s="73"/>
      <c r="W1426" s="73"/>
      <c r="X1426" s="73"/>
      <c r="Y1426" s="73"/>
      <c r="Z1426" s="73"/>
      <c r="AA1426" s="75"/>
      <c r="AB1426" s="75"/>
      <c r="AC1426" s="55"/>
      <c r="AD1426" s="89"/>
      <c r="AE1426" s="89"/>
      <c r="AF1426" s="89"/>
      <c r="AG1426" s="57"/>
      <c r="AH1426" s="58"/>
      <c r="AI1426" s="39"/>
      <c r="AK1426" s="41"/>
    </row>
    <row r="1427" spans="1:37" ht="21">
      <c r="A1427" s="32" t="s">
        <v>1718</v>
      </c>
      <c r="B1427" s="92" t="s">
        <v>401</v>
      </c>
      <c r="C1427" s="93" t="s">
        <v>402</v>
      </c>
      <c r="D1427" s="88" t="s">
        <v>38</v>
      </c>
      <c r="E1427" s="73"/>
      <c r="F1427" s="73"/>
      <c r="G1427" s="73"/>
      <c r="H1427" s="73"/>
      <c r="I1427" s="73"/>
      <c r="J1427" s="73"/>
      <c r="K1427" s="73"/>
      <c r="L1427" s="73"/>
      <c r="M1427" s="73"/>
      <c r="N1427" s="73"/>
      <c r="O1427" s="73"/>
      <c r="P1427" s="73"/>
      <c r="Q1427" s="73"/>
      <c r="R1427" s="73"/>
      <c r="S1427" s="73"/>
      <c r="T1427" s="73"/>
      <c r="U1427" s="73"/>
      <c r="V1427" s="73"/>
      <c r="W1427" s="73"/>
      <c r="X1427" s="73"/>
      <c r="Y1427" s="73"/>
      <c r="Z1427" s="73"/>
      <c r="AA1427" s="75"/>
      <c r="AB1427" s="75"/>
      <c r="AC1427" s="55"/>
      <c r="AD1427" s="89"/>
      <c r="AE1427" s="89"/>
      <c r="AF1427" s="89"/>
      <c r="AG1427" s="57"/>
      <c r="AH1427" s="58"/>
      <c r="AI1427" s="39"/>
      <c r="AK1427" s="41"/>
    </row>
    <row r="1428" spans="1:37" ht="21">
      <c r="A1428" s="32" t="s">
        <v>1719</v>
      </c>
      <c r="B1428" s="92" t="s">
        <v>403</v>
      </c>
      <c r="C1428" s="93" t="s">
        <v>404</v>
      </c>
      <c r="D1428" s="88" t="s">
        <v>38</v>
      </c>
      <c r="E1428" s="73"/>
      <c r="F1428" s="73"/>
      <c r="G1428" s="73"/>
      <c r="H1428" s="73"/>
      <c r="I1428" s="73"/>
      <c r="J1428" s="73"/>
      <c r="K1428" s="73"/>
      <c r="L1428" s="73"/>
      <c r="M1428" s="73"/>
      <c r="N1428" s="73"/>
      <c r="O1428" s="73"/>
      <c r="P1428" s="73"/>
      <c r="Q1428" s="73"/>
      <c r="R1428" s="73"/>
      <c r="S1428" s="73"/>
      <c r="T1428" s="73"/>
      <c r="U1428" s="73"/>
      <c r="V1428" s="73"/>
      <c r="W1428" s="73"/>
      <c r="X1428" s="73"/>
      <c r="Y1428" s="73"/>
      <c r="Z1428" s="73"/>
      <c r="AA1428" s="75"/>
      <c r="AB1428" s="75"/>
      <c r="AC1428" s="55"/>
      <c r="AD1428" s="89"/>
      <c r="AE1428" s="89"/>
      <c r="AF1428" s="89"/>
      <c r="AG1428" s="57"/>
      <c r="AH1428" s="58"/>
      <c r="AI1428" s="39"/>
      <c r="AK1428" s="41"/>
    </row>
    <row r="1429" spans="1:37" ht="21">
      <c r="A1429" s="32" t="s">
        <v>1714</v>
      </c>
      <c r="B1429" s="94" t="s">
        <v>35</v>
      </c>
      <c r="C1429" s="95" t="s">
        <v>413</v>
      </c>
      <c r="D1429" s="88"/>
      <c r="E1429" s="73"/>
      <c r="F1429" s="73"/>
      <c r="G1429" s="73"/>
      <c r="H1429" s="73"/>
      <c r="I1429" s="73"/>
      <c r="J1429" s="73"/>
      <c r="K1429" s="73"/>
      <c r="L1429" s="73"/>
      <c r="M1429" s="73"/>
      <c r="N1429" s="73"/>
      <c r="O1429" s="73"/>
      <c r="P1429" s="73"/>
      <c r="Q1429" s="73"/>
      <c r="R1429" s="73"/>
      <c r="S1429" s="73"/>
      <c r="T1429" s="73"/>
      <c r="U1429" s="73"/>
      <c r="V1429" s="73"/>
      <c r="W1429" s="73"/>
      <c r="X1429" s="73"/>
      <c r="Y1429" s="73"/>
      <c r="Z1429" s="73"/>
      <c r="AA1429" s="75"/>
      <c r="AB1429" s="75"/>
      <c r="AC1429" s="55"/>
      <c r="AD1429" s="89"/>
      <c r="AE1429" s="89"/>
      <c r="AF1429" s="89"/>
      <c r="AG1429" s="57"/>
      <c r="AH1429" s="58"/>
      <c r="AI1429" s="39"/>
      <c r="AK1429" s="41"/>
    </row>
    <row r="1430" spans="1:37" ht="21">
      <c r="A1430" s="32" t="s">
        <v>1715</v>
      </c>
      <c r="B1430" s="92" t="s">
        <v>401</v>
      </c>
      <c r="C1430" s="93" t="s">
        <v>402</v>
      </c>
      <c r="D1430" s="88" t="s">
        <v>38</v>
      </c>
      <c r="E1430" s="73"/>
      <c r="F1430" s="73"/>
      <c r="G1430" s="73"/>
      <c r="H1430" s="73"/>
      <c r="I1430" s="73"/>
      <c r="J1430" s="73"/>
      <c r="K1430" s="73"/>
      <c r="L1430" s="73"/>
      <c r="M1430" s="73"/>
      <c r="N1430" s="73"/>
      <c r="O1430" s="73"/>
      <c r="P1430" s="73"/>
      <c r="Q1430" s="73"/>
      <c r="R1430" s="73"/>
      <c r="S1430" s="73"/>
      <c r="T1430" s="73"/>
      <c r="U1430" s="73"/>
      <c r="V1430" s="73"/>
      <c r="W1430" s="73"/>
      <c r="X1430" s="73"/>
      <c r="Y1430" s="73"/>
      <c r="Z1430" s="73"/>
      <c r="AA1430" s="75"/>
      <c r="AB1430" s="75"/>
      <c r="AC1430" s="55"/>
      <c r="AD1430" s="89"/>
      <c r="AE1430" s="89"/>
      <c r="AF1430" s="89"/>
      <c r="AG1430" s="57"/>
      <c r="AH1430" s="58"/>
      <c r="AI1430" s="39"/>
      <c r="AK1430" s="41"/>
    </row>
    <row r="1431" spans="1:37" ht="21">
      <c r="A1431" s="32" t="s">
        <v>1716</v>
      </c>
      <c r="B1431" s="92" t="s">
        <v>403</v>
      </c>
      <c r="C1431" s="93" t="s">
        <v>404</v>
      </c>
      <c r="D1431" s="88" t="s">
        <v>38</v>
      </c>
      <c r="E1431" s="73"/>
      <c r="F1431" s="73"/>
      <c r="G1431" s="73"/>
      <c r="H1431" s="73"/>
      <c r="I1431" s="73"/>
      <c r="J1431" s="73"/>
      <c r="K1431" s="73"/>
      <c r="L1431" s="73"/>
      <c r="M1431" s="73"/>
      <c r="N1431" s="73"/>
      <c r="O1431" s="73"/>
      <c r="P1431" s="73"/>
      <c r="Q1431" s="73"/>
      <c r="R1431" s="73"/>
      <c r="S1431" s="73"/>
      <c r="T1431" s="73"/>
      <c r="U1431" s="73"/>
      <c r="V1431" s="73"/>
      <c r="W1431" s="73"/>
      <c r="X1431" s="73"/>
      <c r="Y1431" s="73"/>
      <c r="Z1431" s="73"/>
      <c r="AA1431" s="75"/>
      <c r="AB1431" s="75"/>
      <c r="AC1431" s="55"/>
      <c r="AD1431" s="89"/>
      <c r="AE1431" s="89"/>
      <c r="AF1431" s="89"/>
      <c r="AG1431" s="57"/>
      <c r="AH1431" s="58"/>
      <c r="AI1431" s="39"/>
      <c r="AK1431" s="41"/>
    </row>
    <row r="1432" spans="1:37" ht="27.75">
      <c r="A1432" s="32" t="s">
        <v>1703</v>
      </c>
      <c r="B1432" s="126">
        <v>15.12</v>
      </c>
      <c r="C1432" s="149" t="s">
        <v>414</v>
      </c>
      <c r="D1432" s="88"/>
      <c r="E1432" s="73"/>
      <c r="F1432" s="73"/>
      <c r="G1432" s="73"/>
      <c r="H1432" s="73"/>
      <c r="I1432" s="73"/>
      <c r="J1432" s="73"/>
      <c r="K1432" s="73"/>
      <c r="L1432" s="73"/>
      <c r="M1432" s="73"/>
      <c r="N1432" s="73"/>
      <c r="O1432" s="73"/>
      <c r="P1432" s="73"/>
      <c r="Q1432" s="73"/>
      <c r="R1432" s="73"/>
      <c r="S1432" s="73"/>
      <c r="T1432" s="73"/>
      <c r="U1432" s="73"/>
      <c r="V1432" s="73"/>
      <c r="W1432" s="73"/>
      <c r="X1432" s="73"/>
      <c r="Y1432" s="73"/>
      <c r="Z1432" s="73"/>
      <c r="AA1432" s="75"/>
      <c r="AB1432" s="75"/>
      <c r="AC1432" s="55"/>
      <c r="AD1432" s="89"/>
      <c r="AE1432" s="89"/>
      <c r="AF1432" s="89"/>
      <c r="AG1432" s="57"/>
      <c r="AH1432" s="58"/>
      <c r="AI1432" s="39"/>
      <c r="AK1432" s="41"/>
    </row>
    <row r="1433" spans="1:37" ht="21">
      <c r="A1433" s="32" t="s">
        <v>1704</v>
      </c>
      <c r="B1433" s="94" t="s">
        <v>14</v>
      </c>
      <c r="C1433" s="93" t="s">
        <v>1639</v>
      </c>
      <c r="D1433" s="88" t="s">
        <v>38</v>
      </c>
      <c r="E1433" s="73"/>
      <c r="F1433" s="73"/>
      <c r="G1433" s="73"/>
      <c r="H1433" s="73"/>
      <c r="I1433" s="73"/>
      <c r="J1433" s="73"/>
      <c r="K1433" s="73"/>
      <c r="L1433" s="73"/>
      <c r="M1433" s="73"/>
      <c r="N1433" s="73"/>
      <c r="O1433" s="73"/>
      <c r="P1433" s="73"/>
      <c r="Q1433" s="73"/>
      <c r="R1433" s="73"/>
      <c r="S1433" s="73"/>
      <c r="T1433" s="73"/>
      <c r="U1433" s="73"/>
      <c r="V1433" s="73"/>
      <c r="W1433" s="73"/>
      <c r="X1433" s="73"/>
      <c r="Y1433" s="73"/>
      <c r="Z1433" s="73"/>
      <c r="AA1433" s="75"/>
      <c r="AB1433" s="75"/>
      <c r="AC1433" s="55"/>
      <c r="AD1433" s="89"/>
      <c r="AE1433" s="89"/>
      <c r="AF1433" s="89"/>
      <c r="AG1433" s="57"/>
      <c r="AH1433" s="58"/>
      <c r="AI1433" s="39"/>
      <c r="AK1433" s="41"/>
    </row>
    <row r="1434" spans="1:37" ht="21">
      <c r="A1434" s="32" t="s">
        <v>1705</v>
      </c>
      <c r="B1434" s="94" t="s">
        <v>15</v>
      </c>
      <c r="C1434" s="93" t="s">
        <v>1640</v>
      </c>
      <c r="D1434" s="88" t="s">
        <v>38</v>
      </c>
      <c r="E1434" s="73"/>
      <c r="F1434" s="73"/>
      <c r="G1434" s="73"/>
      <c r="H1434" s="73"/>
      <c r="I1434" s="73"/>
      <c r="J1434" s="73"/>
      <c r="K1434" s="73"/>
      <c r="L1434" s="73"/>
      <c r="M1434" s="73"/>
      <c r="N1434" s="73"/>
      <c r="O1434" s="73"/>
      <c r="P1434" s="73"/>
      <c r="Q1434" s="73"/>
      <c r="R1434" s="73"/>
      <c r="S1434" s="73"/>
      <c r="T1434" s="73"/>
      <c r="U1434" s="73"/>
      <c r="V1434" s="73"/>
      <c r="W1434" s="73"/>
      <c r="X1434" s="73"/>
      <c r="Y1434" s="73"/>
      <c r="Z1434" s="73"/>
      <c r="AA1434" s="75"/>
      <c r="AB1434" s="75"/>
      <c r="AC1434" s="55"/>
      <c r="AD1434" s="89"/>
      <c r="AE1434" s="89"/>
      <c r="AF1434" s="89"/>
      <c r="AG1434" s="57"/>
      <c r="AH1434" s="58"/>
      <c r="AI1434" s="39"/>
      <c r="AK1434" s="41"/>
    </row>
    <row r="1435" spans="1:37" ht="21">
      <c r="A1435" s="32" t="s">
        <v>1706</v>
      </c>
      <c r="B1435" s="94" t="s">
        <v>40</v>
      </c>
      <c r="C1435" s="93" t="s">
        <v>1641</v>
      </c>
      <c r="D1435" s="88" t="s">
        <v>38</v>
      </c>
      <c r="E1435" s="73"/>
      <c r="F1435" s="73"/>
      <c r="G1435" s="73"/>
      <c r="H1435" s="73"/>
      <c r="I1435" s="73"/>
      <c r="J1435" s="73"/>
      <c r="K1435" s="73"/>
      <c r="L1435" s="73"/>
      <c r="M1435" s="73"/>
      <c r="N1435" s="73"/>
      <c r="O1435" s="73"/>
      <c r="P1435" s="73"/>
      <c r="Q1435" s="73"/>
      <c r="R1435" s="73"/>
      <c r="S1435" s="73"/>
      <c r="T1435" s="73"/>
      <c r="U1435" s="73"/>
      <c r="V1435" s="73"/>
      <c r="W1435" s="73"/>
      <c r="X1435" s="73"/>
      <c r="Y1435" s="73"/>
      <c r="Z1435" s="73"/>
      <c r="AA1435" s="75"/>
      <c r="AB1435" s="75"/>
      <c r="AC1435" s="55"/>
      <c r="AD1435" s="89"/>
      <c r="AE1435" s="89"/>
      <c r="AF1435" s="89"/>
      <c r="AG1435" s="57"/>
      <c r="AH1435" s="58"/>
      <c r="AI1435" s="39"/>
      <c r="AK1435" s="41"/>
    </row>
    <row r="1436" spans="1:37" ht="21">
      <c r="A1436" s="32" t="s">
        <v>1707</v>
      </c>
      <c r="B1436" s="94" t="s">
        <v>48</v>
      </c>
      <c r="C1436" s="93" t="s">
        <v>1642</v>
      </c>
      <c r="D1436" s="88" t="s">
        <v>38</v>
      </c>
      <c r="E1436" s="73"/>
      <c r="F1436" s="73"/>
      <c r="G1436" s="73"/>
      <c r="H1436" s="73"/>
      <c r="I1436" s="73"/>
      <c r="J1436" s="73"/>
      <c r="K1436" s="73"/>
      <c r="L1436" s="73"/>
      <c r="M1436" s="73"/>
      <c r="N1436" s="73"/>
      <c r="O1436" s="73"/>
      <c r="P1436" s="73"/>
      <c r="Q1436" s="73"/>
      <c r="R1436" s="73"/>
      <c r="S1436" s="73"/>
      <c r="T1436" s="73"/>
      <c r="U1436" s="73"/>
      <c r="V1436" s="73"/>
      <c r="W1436" s="73"/>
      <c r="X1436" s="73"/>
      <c r="Y1436" s="73"/>
      <c r="Z1436" s="73"/>
      <c r="AA1436" s="75"/>
      <c r="AB1436" s="75"/>
      <c r="AC1436" s="55"/>
      <c r="AD1436" s="89"/>
      <c r="AE1436" s="89"/>
      <c r="AF1436" s="89"/>
      <c r="AG1436" s="57"/>
      <c r="AH1436" s="58"/>
      <c r="AI1436" s="39"/>
      <c r="AK1436" s="41"/>
    </row>
    <row r="1437" spans="1:37" ht="21">
      <c r="A1437" s="32" t="s">
        <v>1708</v>
      </c>
      <c r="B1437" s="94" t="s">
        <v>55</v>
      </c>
      <c r="C1437" s="93" t="s">
        <v>1643</v>
      </c>
      <c r="D1437" s="88" t="s">
        <v>38</v>
      </c>
      <c r="E1437" s="73"/>
      <c r="F1437" s="73"/>
      <c r="G1437" s="73"/>
      <c r="H1437" s="73"/>
      <c r="I1437" s="73"/>
      <c r="J1437" s="73"/>
      <c r="K1437" s="73"/>
      <c r="L1437" s="73"/>
      <c r="M1437" s="73"/>
      <c r="N1437" s="73"/>
      <c r="O1437" s="73"/>
      <c r="P1437" s="73"/>
      <c r="Q1437" s="73"/>
      <c r="R1437" s="73"/>
      <c r="S1437" s="73"/>
      <c r="T1437" s="73"/>
      <c r="U1437" s="73"/>
      <c r="V1437" s="73"/>
      <c r="W1437" s="73"/>
      <c r="X1437" s="73"/>
      <c r="Y1437" s="73"/>
      <c r="Z1437" s="73"/>
      <c r="AA1437" s="75"/>
      <c r="AB1437" s="75"/>
      <c r="AC1437" s="55"/>
      <c r="AD1437" s="89"/>
      <c r="AE1437" s="89"/>
      <c r="AF1437" s="89"/>
      <c r="AG1437" s="57"/>
      <c r="AH1437" s="58"/>
      <c r="AI1437" s="39"/>
      <c r="AK1437" s="41"/>
    </row>
    <row r="1438" spans="1:37" ht="27.75">
      <c r="A1438" s="32" t="s">
        <v>1709</v>
      </c>
      <c r="B1438" s="86">
        <v>15.13</v>
      </c>
      <c r="C1438" s="87" t="s">
        <v>2245</v>
      </c>
      <c r="D1438" s="88" t="s">
        <v>13</v>
      </c>
      <c r="E1438" s="73"/>
      <c r="F1438" s="73"/>
      <c r="G1438" s="73"/>
      <c r="H1438" s="73"/>
      <c r="I1438" s="73"/>
      <c r="J1438" s="73"/>
      <c r="K1438" s="73"/>
      <c r="L1438" s="73"/>
      <c r="M1438" s="73"/>
      <c r="N1438" s="73"/>
      <c r="O1438" s="73"/>
      <c r="P1438" s="73"/>
      <c r="Q1438" s="73"/>
      <c r="R1438" s="73"/>
      <c r="S1438" s="73"/>
      <c r="T1438" s="73"/>
      <c r="U1438" s="73"/>
      <c r="V1438" s="73"/>
      <c r="W1438" s="73"/>
      <c r="X1438" s="73"/>
      <c r="Y1438" s="73"/>
      <c r="Z1438" s="73"/>
      <c r="AA1438" s="75"/>
      <c r="AB1438" s="75"/>
      <c r="AC1438" s="55"/>
      <c r="AD1438" s="89"/>
      <c r="AE1438" s="89"/>
      <c r="AF1438" s="89"/>
      <c r="AG1438" s="57"/>
      <c r="AH1438" s="58"/>
      <c r="AI1438" s="39"/>
      <c r="AK1438" s="41"/>
    </row>
    <row r="1439" spans="1:37" ht="40.5">
      <c r="A1439" s="32" t="s">
        <v>1710</v>
      </c>
      <c r="B1439" s="86">
        <v>15.14</v>
      </c>
      <c r="C1439" s="87" t="s">
        <v>415</v>
      </c>
      <c r="D1439" s="88" t="s">
        <v>322</v>
      </c>
      <c r="E1439" s="73"/>
      <c r="F1439" s="73"/>
      <c r="G1439" s="73"/>
      <c r="H1439" s="73"/>
      <c r="I1439" s="73"/>
      <c r="J1439" s="73"/>
      <c r="K1439" s="73"/>
      <c r="L1439" s="73"/>
      <c r="M1439" s="73"/>
      <c r="N1439" s="73"/>
      <c r="O1439" s="73"/>
      <c r="P1439" s="73"/>
      <c r="Q1439" s="73"/>
      <c r="R1439" s="73"/>
      <c r="S1439" s="73"/>
      <c r="T1439" s="73"/>
      <c r="U1439" s="73"/>
      <c r="V1439" s="73"/>
      <c r="W1439" s="73"/>
      <c r="X1439" s="73"/>
      <c r="Y1439" s="73"/>
      <c r="Z1439" s="73"/>
      <c r="AA1439" s="75"/>
      <c r="AB1439" s="75"/>
      <c r="AC1439" s="55"/>
      <c r="AD1439" s="89"/>
      <c r="AE1439" s="89"/>
      <c r="AF1439" s="89"/>
      <c r="AG1439" s="57"/>
      <c r="AH1439" s="58"/>
      <c r="AI1439" s="39"/>
      <c r="AK1439" s="41"/>
    </row>
    <row r="1440" spans="1:37" ht="27.75">
      <c r="A1440" s="32" t="s">
        <v>1711</v>
      </c>
      <c r="B1440" s="86">
        <v>15.15</v>
      </c>
      <c r="C1440" s="87" t="s">
        <v>416</v>
      </c>
      <c r="D1440" s="88"/>
      <c r="E1440" s="73"/>
      <c r="F1440" s="73"/>
      <c r="G1440" s="73"/>
      <c r="H1440" s="73"/>
      <c r="I1440" s="73"/>
      <c r="J1440" s="73"/>
      <c r="K1440" s="73"/>
      <c r="L1440" s="73"/>
      <c r="M1440" s="73"/>
      <c r="N1440" s="73"/>
      <c r="O1440" s="73"/>
      <c r="P1440" s="73"/>
      <c r="Q1440" s="73"/>
      <c r="R1440" s="73"/>
      <c r="S1440" s="73"/>
      <c r="T1440" s="73"/>
      <c r="U1440" s="73"/>
      <c r="V1440" s="73"/>
      <c r="W1440" s="73"/>
      <c r="X1440" s="73"/>
      <c r="Y1440" s="73"/>
      <c r="Z1440" s="73"/>
      <c r="AA1440" s="75"/>
      <c r="AB1440" s="75"/>
      <c r="AC1440" s="55"/>
      <c r="AD1440" s="89"/>
      <c r="AE1440" s="89"/>
      <c r="AF1440" s="89"/>
      <c r="AG1440" s="91"/>
      <c r="AH1440" s="48"/>
      <c r="AI1440" s="39"/>
      <c r="AK1440" s="41"/>
    </row>
    <row r="1441" spans="1:37" ht="21">
      <c r="A1441" s="32" t="s">
        <v>1712</v>
      </c>
      <c r="B1441" s="93" t="s">
        <v>401</v>
      </c>
      <c r="C1441" s="93" t="s">
        <v>402</v>
      </c>
      <c r="D1441" s="88" t="s">
        <v>38</v>
      </c>
      <c r="E1441" s="73"/>
      <c r="F1441" s="73"/>
      <c r="G1441" s="73"/>
      <c r="H1441" s="73"/>
      <c r="I1441" s="73"/>
      <c r="J1441" s="73"/>
      <c r="K1441" s="73"/>
      <c r="L1441" s="73"/>
      <c r="M1441" s="73"/>
      <c r="N1441" s="73"/>
      <c r="O1441" s="73"/>
      <c r="P1441" s="73"/>
      <c r="Q1441" s="73"/>
      <c r="R1441" s="73"/>
      <c r="S1441" s="73"/>
      <c r="T1441" s="73"/>
      <c r="U1441" s="73"/>
      <c r="V1441" s="73"/>
      <c r="W1441" s="73"/>
      <c r="X1441" s="73"/>
      <c r="Y1441" s="73"/>
      <c r="Z1441" s="73"/>
      <c r="AA1441" s="75"/>
      <c r="AB1441" s="75"/>
      <c r="AC1441" s="55"/>
      <c r="AD1441" s="89"/>
      <c r="AE1441" s="89"/>
      <c r="AF1441" s="89"/>
      <c r="AG1441" s="57"/>
      <c r="AH1441" s="58"/>
      <c r="AI1441" s="39"/>
      <c r="AK1441" s="41"/>
    </row>
    <row r="1442" spans="1:37" ht="21">
      <c r="A1442" s="32" t="s">
        <v>1713</v>
      </c>
      <c r="B1442" s="93" t="s">
        <v>403</v>
      </c>
      <c r="C1442" s="93" t="s">
        <v>404</v>
      </c>
      <c r="D1442" s="88" t="s">
        <v>38</v>
      </c>
      <c r="E1442" s="73"/>
      <c r="F1442" s="73"/>
      <c r="G1442" s="73"/>
      <c r="H1442" s="73"/>
      <c r="I1442" s="73"/>
      <c r="J1442" s="73"/>
      <c r="K1442" s="73"/>
      <c r="L1442" s="73"/>
      <c r="M1442" s="73"/>
      <c r="N1442" s="73"/>
      <c r="O1442" s="73"/>
      <c r="P1442" s="73"/>
      <c r="Q1442" s="73"/>
      <c r="R1442" s="73"/>
      <c r="S1442" s="73"/>
      <c r="T1442" s="73"/>
      <c r="U1442" s="73"/>
      <c r="V1442" s="73"/>
      <c r="W1442" s="73"/>
      <c r="X1442" s="73"/>
      <c r="Y1442" s="73"/>
      <c r="Z1442" s="73"/>
      <c r="AA1442" s="75"/>
      <c r="AB1442" s="75"/>
      <c r="AC1442" s="55"/>
      <c r="AD1442" s="89"/>
      <c r="AE1442" s="89"/>
      <c r="AF1442" s="89"/>
      <c r="AG1442" s="57"/>
      <c r="AH1442" s="58"/>
      <c r="AI1442" s="39"/>
      <c r="AK1442" s="41"/>
    </row>
    <row r="1443" spans="1:37" ht="27.75">
      <c r="A1443" s="32" t="s">
        <v>1697</v>
      </c>
      <c r="B1443" s="86">
        <v>15.16</v>
      </c>
      <c r="C1443" s="87" t="s">
        <v>417</v>
      </c>
      <c r="D1443" s="88" t="s">
        <v>38</v>
      </c>
      <c r="E1443" s="73"/>
      <c r="F1443" s="73"/>
      <c r="G1443" s="73"/>
      <c r="H1443" s="73"/>
      <c r="I1443" s="73"/>
      <c r="J1443" s="73"/>
      <c r="K1443" s="73"/>
      <c r="L1443" s="73"/>
      <c r="M1443" s="73"/>
      <c r="N1443" s="73"/>
      <c r="O1443" s="73"/>
      <c r="P1443" s="73"/>
      <c r="Q1443" s="73"/>
      <c r="R1443" s="73"/>
      <c r="S1443" s="73"/>
      <c r="T1443" s="73"/>
      <c r="U1443" s="73"/>
      <c r="V1443" s="73"/>
      <c r="W1443" s="73"/>
      <c r="X1443" s="73"/>
      <c r="Y1443" s="73"/>
      <c r="Z1443" s="73"/>
      <c r="AA1443" s="75"/>
      <c r="AB1443" s="75"/>
      <c r="AC1443" s="55"/>
      <c r="AD1443" s="89"/>
      <c r="AE1443" s="89"/>
      <c r="AF1443" s="89"/>
      <c r="AG1443" s="57"/>
      <c r="AH1443" s="58"/>
      <c r="AI1443" s="39"/>
      <c r="AK1443" s="41"/>
    </row>
    <row r="1444" spans="1:37" ht="21">
      <c r="A1444" s="32" t="s">
        <v>1698</v>
      </c>
      <c r="B1444" s="86">
        <v>15.17</v>
      </c>
      <c r="C1444" s="87" t="s">
        <v>418</v>
      </c>
      <c r="D1444" s="88" t="s">
        <v>322</v>
      </c>
      <c r="E1444" s="73"/>
      <c r="F1444" s="73"/>
      <c r="G1444" s="73"/>
      <c r="H1444" s="73"/>
      <c r="I1444" s="73"/>
      <c r="J1444" s="73"/>
      <c r="K1444" s="73"/>
      <c r="L1444" s="73"/>
      <c r="M1444" s="73"/>
      <c r="N1444" s="73"/>
      <c r="O1444" s="73"/>
      <c r="P1444" s="73"/>
      <c r="Q1444" s="73"/>
      <c r="R1444" s="73"/>
      <c r="S1444" s="73"/>
      <c r="T1444" s="73"/>
      <c r="U1444" s="73"/>
      <c r="V1444" s="73"/>
      <c r="W1444" s="73"/>
      <c r="X1444" s="73"/>
      <c r="Y1444" s="73"/>
      <c r="Z1444" s="73"/>
      <c r="AA1444" s="75"/>
      <c r="AB1444" s="75"/>
      <c r="AC1444" s="55"/>
      <c r="AD1444" s="89"/>
      <c r="AE1444" s="89"/>
      <c r="AF1444" s="89"/>
      <c r="AG1444" s="57"/>
      <c r="AH1444" s="58"/>
      <c r="AI1444" s="39"/>
      <c r="AK1444" s="41"/>
    </row>
    <row r="1445" spans="1:37" ht="27.75">
      <c r="A1445" s="32" t="s">
        <v>1699</v>
      </c>
      <c r="B1445" s="86">
        <v>15.18</v>
      </c>
      <c r="C1445" s="87" t="s">
        <v>419</v>
      </c>
      <c r="D1445" s="88" t="s">
        <v>38</v>
      </c>
      <c r="E1445" s="73"/>
      <c r="F1445" s="73"/>
      <c r="G1445" s="73"/>
      <c r="H1445" s="73"/>
      <c r="I1445" s="73"/>
      <c r="J1445" s="73"/>
      <c r="K1445" s="73"/>
      <c r="L1445" s="73"/>
      <c r="M1445" s="73"/>
      <c r="N1445" s="73"/>
      <c r="O1445" s="73"/>
      <c r="P1445" s="73"/>
      <c r="Q1445" s="73"/>
      <c r="R1445" s="73"/>
      <c r="S1445" s="73"/>
      <c r="T1445" s="73"/>
      <c r="U1445" s="73"/>
      <c r="V1445" s="73"/>
      <c r="W1445" s="73"/>
      <c r="X1445" s="73"/>
      <c r="Y1445" s="73"/>
      <c r="Z1445" s="73"/>
      <c r="AA1445" s="75"/>
      <c r="AB1445" s="75"/>
      <c r="AC1445" s="55"/>
      <c r="AD1445" s="89"/>
      <c r="AE1445" s="89"/>
      <c r="AF1445" s="89"/>
      <c r="AG1445" s="57"/>
      <c r="AH1445" s="58"/>
      <c r="AI1445" s="39"/>
      <c r="AK1445" s="41"/>
    </row>
    <row r="1446" spans="1:37" ht="91.5">
      <c r="A1446" s="32" t="s">
        <v>1700</v>
      </c>
      <c r="B1446" s="86">
        <v>15.19</v>
      </c>
      <c r="C1446" s="87" t="s">
        <v>1644</v>
      </c>
      <c r="D1446" s="88" t="s">
        <v>8</v>
      </c>
      <c r="E1446" s="73"/>
      <c r="F1446" s="73"/>
      <c r="G1446" s="73"/>
      <c r="H1446" s="73"/>
      <c r="I1446" s="73"/>
      <c r="J1446" s="73"/>
      <c r="K1446" s="73"/>
      <c r="L1446" s="73"/>
      <c r="M1446" s="73"/>
      <c r="N1446" s="73"/>
      <c r="O1446" s="73"/>
      <c r="P1446" s="73"/>
      <c r="Q1446" s="73"/>
      <c r="R1446" s="73"/>
      <c r="S1446" s="73"/>
      <c r="T1446" s="73"/>
      <c r="U1446" s="73"/>
      <c r="V1446" s="73"/>
      <c r="W1446" s="73"/>
      <c r="X1446" s="73"/>
      <c r="Y1446" s="73"/>
      <c r="Z1446" s="73"/>
      <c r="AA1446" s="75"/>
      <c r="AB1446" s="75"/>
      <c r="AC1446" s="55"/>
      <c r="AD1446" s="89"/>
      <c r="AE1446" s="89"/>
      <c r="AF1446" s="89"/>
      <c r="AG1446" s="57"/>
      <c r="AH1446" s="58"/>
      <c r="AI1446" s="39"/>
      <c r="AK1446" s="41"/>
    </row>
    <row r="1447" spans="1:37" ht="117">
      <c r="A1447" s="32" t="s">
        <v>1701</v>
      </c>
      <c r="B1447" s="150">
        <v>15.2</v>
      </c>
      <c r="C1447" s="87" t="s">
        <v>2173</v>
      </c>
      <c r="D1447" s="52"/>
      <c r="E1447" s="73"/>
      <c r="F1447" s="73"/>
      <c r="G1447" s="73"/>
      <c r="H1447" s="73"/>
      <c r="I1447" s="73"/>
      <c r="J1447" s="73"/>
      <c r="K1447" s="73"/>
      <c r="L1447" s="73"/>
      <c r="M1447" s="73"/>
      <c r="N1447" s="73"/>
      <c r="O1447" s="73"/>
      <c r="P1447" s="73"/>
      <c r="Q1447" s="73"/>
      <c r="R1447" s="73"/>
      <c r="S1447" s="73"/>
      <c r="T1447" s="73"/>
      <c r="U1447" s="73"/>
      <c r="V1447" s="73"/>
      <c r="W1447" s="73"/>
      <c r="X1447" s="73"/>
      <c r="Y1447" s="73"/>
      <c r="Z1447" s="73"/>
      <c r="AA1447" s="75"/>
      <c r="AB1447" s="75"/>
      <c r="AC1447" s="55"/>
      <c r="AD1447" s="89"/>
      <c r="AE1447" s="89"/>
      <c r="AF1447" s="89"/>
      <c r="AG1447" s="57"/>
      <c r="AH1447" s="58"/>
      <c r="AI1447" s="39"/>
      <c r="AK1447" s="41"/>
    </row>
    <row r="1448" spans="1:37" ht="40.5">
      <c r="B1448" s="87" t="s">
        <v>14</v>
      </c>
      <c r="C1448" s="87" t="s">
        <v>2167</v>
      </c>
      <c r="D1448" s="88" t="s">
        <v>12</v>
      </c>
      <c r="E1448" s="73"/>
      <c r="F1448" s="73"/>
      <c r="G1448" s="73"/>
      <c r="H1448" s="73"/>
      <c r="I1448" s="73"/>
      <c r="J1448" s="73"/>
      <c r="K1448" s="73"/>
      <c r="L1448" s="73"/>
      <c r="M1448" s="73"/>
      <c r="N1448" s="73"/>
      <c r="O1448" s="73"/>
      <c r="P1448" s="73"/>
      <c r="Q1448" s="73"/>
      <c r="R1448" s="73"/>
      <c r="S1448" s="73"/>
      <c r="T1448" s="73"/>
      <c r="U1448" s="73"/>
      <c r="V1448" s="73"/>
      <c r="W1448" s="73"/>
      <c r="X1448" s="73"/>
      <c r="Y1448" s="73"/>
      <c r="Z1448" s="73"/>
      <c r="AA1448" s="75"/>
      <c r="AB1448" s="75"/>
      <c r="AC1448" s="55"/>
      <c r="AD1448" s="89"/>
      <c r="AE1448" s="89"/>
      <c r="AF1448" s="89"/>
      <c r="AG1448" s="57"/>
      <c r="AH1448" s="58"/>
      <c r="AI1448" s="39"/>
      <c r="AK1448" s="41"/>
    </row>
    <row r="1449" spans="1:37" ht="40.5">
      <c r="B1449" s="87" t="s">
        <v>15</v>
      </c>
      <c r="C1449" s="87" t="s">
        <v>2168</v>
      </c>
      <c r="D1449" s="88" t="s">
        <v>12</v>
      </c>
      <c r="E1449" s="73"/>
      <c r="F1449" s="73"/>
      <c r="G1449" s="73"/>
      <c r="H1449" s="73"/>
      <c r="I1449" s="73"/>
      <c r="J1449" s="73"/>
      <c r="K1449" s="73"/>
      <c r="L1449" s="73"/>
      <c r="M1449" s="73"/>
      <c r="N1449" s="73"/>
      <c r="O1449" s="73"/>
      <c r="P1449" s="73"/>
      <c r="Q1449" s="73"/>
      <c r="R1449" s="73"/>
      <c r="S1449" s="73"/>
      <c r="T1449" s="73"/>
      <c r="U1449" s="73"/>
      <c r="V1449" s="73"/>
      <c r="W1449" s="73"/>
      <c r="X1449" s="73"/>
      <c r="Y1449" s="73"/>
      <c r="Z1449" s="73"/>
      <c r="AA1449" s="75"/>
      <c r="AB1449" s="75"/>
      <c r="AC1449" s="55"/>
      <c r="AD1449" s="89"/>
      <c r="AE1449" s="89"/>
      <c r="AF1449" s="89"/>
      <c r="AG1449" s="57"/>
      <c r="AH1449" s="58"/>
      <c r="AI1449" s="39"/>
      <c r="AK1449" s="41"/>
    </row>
    <row r="1450" spans="1:37" ht="40.5">
      <c r="B1450" s="87" t="s">
        <v>40</v>
      </c>
      <c r="C1450" s="87" t="s">
        <v>2169</v>
      </c>
      <c r="D1450" s="88" t="s">
        <v>12</v>
      </c>
      <c r="E1450" s="73"/>
      <c r="F1450" s="73"/>
      <c r="G1450" s="73"/>
      <c r="H1450" s="73"/>
      <c r="I1450" s="73"/>
      <c r="J1450" s="73"/>
      <c r="K1450" s="73"/>
      <c r="L1450" s="73"/>
      <c r="M1450" s="73"/>
      <c r="N1450" s="73"/>
      <c r="O1450" s="73"/>
      <c r="P1450" s="73"/>
      <c r="Q1450" s="73"/>
      <c r="R1450" s="73"/>
      <c r="S1450" s="73"/>
      <c r="T1450" s="73"/>
      <c r="U1450" s="73"/>
      <c r="V1450" s="73"/>
      <c r="W1450" s="73"/>
      <c r="X1450" s="73"/>
      <c r="Y1450" s="73"/>
      <c r="Z1450" s="73"/>
      <c r="AA1450" s="75"/>
      <c r="AB1450" s="75"/>
      <c r="AC1450" s="55"/>
      <c r="AD1450" s="89"/>
      <c r="AE1450" s="89"/>
      <c r="AF1450" s="89"/>
      <c r="AG1450" s="57"/>
      <c r="AH1450" s="58"/>
      <c r="AI1450" s="39"/>
      <c r="AK1450" s="41"/>
    </row>
    <row r="1451" spans="1:37" ht="27.75">
      <c r="A1451" s="32" t="s">
        <v>1702</v>
      </c>
      <c r="B1451" s="86">
        <v>15.21</v>
      </c>
      <c r="C1451" s="87" t="s">
        <v>420</v>
      </c>
      <c r="D1451" s="88" t="s">
        <v>8</v>
      </c>
      <c r="E1451" s="73"/>
      <c r="F1451" s="73"/>
      <c r="G1451" s="73"/>
      <c r="H1451" s="73"/>
      <c r="I1451" s="73"/>
      <c r="J1451" s="73"/>
      <c r="K1451" s="73"/>
      <c r="L1451" s="73"/>
      <c r="M1451" s="73"/>
      <c r="N1451" s="73"/>
      <c r="O1451" s="73"/>
      <c r="P1451" s="73"/>
      <c r="Q1451" s="73"/>
      <c r="R1451" s="73"/>
      <c r="S1451" s="73"/>
      <c r="T1451" s="73"/>
      <c r="U1451" s="73"/>
      <c r="V1451" s="73"/>
      <c r="W1451" s="73"/>
      <c r="X1451" s="73"/>
      <c r="Y1451" s="73"/>
      <c r="Z1451" s="73"/>
      <c r="AA1451" s="75"/>
      <c r="AB1451" s="75"/>
      <c r="AC1451" s="55"/>
      <c r="AD1451" s="89"/>
      <c r="AE1451" s="89"/>
      <c r="AF1451" s="89"/>
      <c r="AG1451" s="57"/>
      <c r="AH1451" s="58"/>
      <c r="AI1451" s="39"/>
      <c r="AK1451" s="41"/>
    </row>
    <row r="1452" spans="1:37" ht="21">
      <c r="A1452" s="32" t="s">
        <v>1692</v>
      </c>
      <c r="B1452" s="86">
        <v>15.22</v>
      </c>
      <c r="C1452" s="87" t="s">
        <v>421</v>
      </c>
      <c r="D1452" s="88"/>
      <c r="E1452" s="73"/>
      <c r="F1452" s="73"/>
      <c r="G1452" s="73"/>
      <c r="H1452" s="73"/>
      <c r="I1452" s="73"/>
      <c r="J1452" s="73"/>
      <c r="K1452" s="73"/>
      <c r="L1452" s="73"/>
      <c r="M1452" s="73"/>
      <c r="N1452" s="73"/>
      <c r="O1452" s="73"/>
      <c r="P1452" s="73"/>
      <c r="Q1452" s="73"/>
      <c r="R1452" s="73"/>
      <c r="S1452" s="73"/>
      <c r="T1452" s="73"/>
      <c r="U1452" s="73"/>
      <c r="V1452" s="73"/>
      <c r="W1452" s="73"/>
      <c r="X1452" s="73"/>
      <c r="Y1452" s="73"/>
      <c r="Z1452" s="73"/>
      <c r="AA1452" s="75"/>
      <c r="AB1452" s="75"/>
      <c r="AC1452" s="55"/>
      <c r="AD1452" s="89"/>
      <c r="AE1452" s="89"/>
      <c r="AF1452" s="89"/>
      <c r="AG1452" s="57"/>
      <c r="AH1452" s="58"/>
      <c r="AK1452" s="41"/>
    </row>
    <row r="1453" spans="1:37" ht="27.75">
      <c r="A1453" s="32" t="s">
        <v>1693</v>
      </c>
      <c r="B1453" s="93" t="s">
        <v>104</v>
      </c>
      <c r="C1453" s="93" t="s">
        <v>422</v>
      </c>
      <c r="D1453" s="88" t="s">
        <v>8</v>
      </c>
      <c r="E1453" s="73"/>
      <c r="F1453" s="73"/>
      <c r="G1453" s="73"/>
      <c r="H1453" s="73"/>
      <c r="I1453" s="73"/>
      <c r="J1453" s="73"/>
      <c r="K1453" s="73"/>
      <c r="L1453" s="73"/>
      <c r="M1453" s="73"/>
      <c r="N1453" s="73"/>
      <c r="O1453" s="73"/>
      <c r="P1453" s="73"/>
      <c r="Q1453" s="73"/>
      <c r="R1453" s="73"/>
      <c r="S1453" s="73"/>
      <c r="T1453" s="73"/>
      <c r="U1453" s="73"/>
      <c r="V1453" s="73"/>
      <c r="W1453" s="73"/>
      <c r="X1453" s="73"/>
      <c r="Y1453" s="73"/>
      <c r="Z1453" s="73"/>
      <c r="AA1453" s="75"/>
      <c r="AB1453" s="75"/>
      <c r="AC1453" s="55"/>
      <c r="AD1453" s="89"/>
      <c r="AE1453" s="89"/>
      <c r="AF1453" s="89"/>
      <c r="AG1453" s="57"/>
      <c r="AH1453" s="58"/>
      <c r="AI1453" s="39"/>
      <c r="AK1453" s="41"/>
    </row>
    <row r="1454" spans="1:37" ht="27.75">
      <c r="A1454" s="32" t="s">
        <v>1694</v>
      </c>
      <c r="B1454" s="93" t="s">
        <v>24</v>
      </c>
      <c r="C1454" s="93" t="s">
        <v>423</v>
      </c>
      <c r="D1454" s="88" t="s">
        <v>8</v>
      </c>
      <c r="E1454" s="73"/>
      <c r="F1454" s="73"/>
      <c r="G1454" s="73"/>
      <c r="H1454" s="73"/>
      <c r="I1454" s="73"/>
      <c r="J1454" s="73"/>
      <c r="K1454" s="73"/>
      <c r="L1454" s="73"/>
      <c r="M1454" s="73"/>
      <c r="N1454" s="73"/>
      <c r="O1454" s="73"/>
      <c r="P1454" s="73"/>
      <c r="Q1454" s="73"/>
      <c r="R1454" s="73"/>
      <c r="S1454" s="73"/>
      <c r="T1454" s="73"/>
      <c r="U1454" s="73"/>
      <c r="V1454" s="73"/>
      <c r="W1454" s="73"/>
      <c r="X1454" s="73"/>
      <c r="Y1454" s="73"/>
      <c r="Z1454" s="73"/>
      <c r="AA1454" s="75"/>
      <c r="AB1454" s="75"/>
      <c r="AC1454" s="55"/>
      <c r="AD1454" s="89"/>
      <c r="AE1454" s="89"/>
      <c r="AF1454" s="89"/>
      <c r="AG1454" s="57"/>
      <c r="AH1454" s="58"/>
      <c r="AI1454" s="39"/>
      <c r="AK1454" s="41"/>
    </row>
    <row r="1455" spans="1:37" ht="40.5">
      <c r="A1455" s="32" t="s">
        <v>1695</v>
      </c>
      <c r="B1455" s="93" t="s">
        <v>25</v>
      </c>
      <c r="C1455" s="93" t="s">
        <v>424</v>
      </c>
      <c r="D1455" s="88" t="s">
        <v>8</v>
      </c>
      <c r="E1455" s="73"/>
      <c r="F1455" s="73"/>
      <c r="G1455" s="73"/>
      <c r="H1455" s="73"/>
      <c r="I1455" s="73"/>
      <c r="J1455" s="73"/>
      <c r="K1455" s="73"/>
      <c r="L1455" s="73"/>
      <c r="M1455" s="73"/>
      <c r="N1455" s="73"/>
      <c r="O1455" s="73"/>
      <c r="P1455" s="73"/>
      <c r="Q1455" s="73"/>
      <c r="R1455" s="73"/>
      <c r="S1455" s="73"/>
      <c r="T1455" s="73"/>
      <c r="U1455" s="73"/>
      <c r="V1455" s="73"/>
      <c r="W1455" s="73"/>
      <c r="X1455" s="73"/>
      <c r="Y1455" s="73"/>
      <c r="Z1455" s="73"/>
      <c r="AA1455" s="75"/>
      <c r="AB1455" s="75"/>
      <c r="AC1455" s="55"/>
      <c r="AD1455" s="89"/>
      <c r="AE1455" s="89"/>
      <c r="AF1455" s="89"/>
      <c r="AG1455" s="57"/>
      <c r="AH1455" s="58"/>
      <c r="AI1455" s="39"/>
      <c r="AK1455" s="41"/>
    </row>
    <row r="1456" spans="1:37" ht="27.75">
      <c r="A1456" s="32" t="s">
        <v>1696</v>
      </c>
      <c r="B1456" s="93" t="s">
        <v>60</v>
      </c>
      <c r="C1456" s="93" t="s">
        <v>425</v>
      </c>
      <c r="D1456" s="88" t="s">
        <v>8</v>
      </c>
      <c r="E1456" s="73"/>
      <c r="F1456" s="73"/>
      <c r="G1456" s="73"/>
      <c r="H1456" s="73"/>
      <c r="I1456" s="73"/>
      <c r="J1456" s="73"/>
      <c r="K1456" s="73"/>
      <c r="L1456" s="73"/>
      <c r="M1456" s="73"/>
      <c r="N1456" s="73"/>
      <c r="O1456" s="73"/>
      <c r="P1456" s="73"/>
      <c r="Q1456" s="73"/>
      <c r="R1456" s="73"/>
      <c r="S1456" s="73"/>
      <c r="T1456" s="73"/>
      <c r="U1456" s="73"/>
      <c r="V1456" s="73"/>
      <c r="W1456" s="73"/>
      <c r="X1456" s="73"/>
      <c r="Y1456" s="73"/>
      <c r="Z1456" s="73"/>
      <c r="AA1456" s="75"/>
      <c r="AB1456" s="75"/>
      <c r="AC1456" s="55"/>
      <c r="AD1456" s="89"/>
      <c r="AE1456" s="89"/>
      <c r="AF1456" s="89"/>
      <c r="AG1456" s="57"/>
      <c r="AH1456" s="58"/>
      <c r="AI1456" s="39"/>
      <c r="AK1456" s="41"/>
    </row>
    <row r="1457" spans="1:38" ht="27.75">
      <c r="A1457" s="32" t="s">
        <v>1688</v>
      </c>
      <c r="B1457" s="86">
        <v>15.23</v>
      </c>
      <c r="C1457" s="87" t="s">
        <v>426</v>
      </c>
      <c r="D1457" s="88"/>
      <c r="E1457" s="73"/>
      <c r="F1457" s="73"/>
      <c r="G1457" s="73"/>
      <c r="H1457" s="73"/>
      <c r="I1457" s="73"/>
      <c r="J1457" s="73"/>
      <c r="K1457" s="73"/>
      <c r="L1457" s="73"/>
      <c r="M1457" s="73"/>
      <c r="N1457" s="73"/>
      <c r="O1457" s="73"/>
      <c r="P1457" s="73"/>
      <c r="Q1457" s="73"/>
      <c r="R1457" s="73"/>
      <c r="S1457" s="73"/>
      <c r="T1457" s="73"/>
      <c r="U1457" s="73"/>
      <c r="V1457" s="73"/>
      <c r="W1457" s="73"/>
      <c r="X1457" s="73"/>
      <c r="Y1457" s="73"/>
      <c r="Z1457" s="73"/>
      <c r="AA1457" s="75"/>
      <c r="AB1457" s="75"/>
      <c r="AC1457" s="55"/>
      <c r="AD1457" s="89"/>
      <c r="AE1457" s="89"/>
      <c r="AF1457" s="89"/>
      <c r="AG1457" s="57"/>
      <c r="AH1457" s="58"/>
      <c r="AI1457" s="39"/>
      <c r="AK1457" s="41"/>
    </row>
    <row r="1458" spans="1:38" ht="21">
      <c r="A1458" s="32" t="s">
        <v>1689</v>
      </c>
      <c r="B1458" s="93" t="s">
        <v>14</v>
      </c>
      <c r="C1458" s="93" t="s">
        <v>427</v>
      </c>
      <c r="D1458" s="88" t="s">
        <v>38</v>
      </c>
      <c r="E1458" s="73"/>
      <c r="F1458" s="73"/>
      <c r="G1458" s="73"/>
      <c r="H1458" s="73"/>
      <c r="I1458" s="73"/>
      <c r="J1458" s="73"/>
      <c r="K1458" s="73"/>
      <c r="L1458" s="73"/>
      <c r="M1458" s="73"/>
      <c r="N1458" s="73"/>
      <c r="O1458" s="73"/>
      <c r="P1458" s="73"/>
      <c r="Q1458" s="73"/>
      <c r="R1458" s="73"/>
      <c r="S1458" s="73"/>
      <c r="T1458" s="73"/>
      <c r="U1458" s="73"/>
      <c r="V1458" s="73"/>
      <c r="W1458" s="73"/>
      <c r="X1458" s="73"/>
      <c r="Y1458" s="73"/>
      <c r="Z1458" s="73"/>
      <c r="AA1458" s="75"/>
      <c r="AB1458" s="75"/>
      <c r="AC1458" s="55"/>
      <c r="AD1458" s="89"/>
      <c r="AE1458" s="89"/>
      <c r="AF1458" s="89"/>
      <c r="AG1458" s="57"/>
      <c r="AH1458" s="58"/>
      <c r="AI1458" s="39"/>
      <c r="AK1458" s="41"/>
    </row>
    <row r="1459" spans="1:38" ht="21">
      <c r="A1459" s="32" t="s">
        <v>1690</v>
      </c>
      <c r="B1459" s="93" t="s">
        <v>15</v>
      </c>
      <c r="C1459" s="93" t="s">
        <v>428</v>
      </c>
      <c r="D1459" s="88" t="s">
        <v>38</v>
      </c>
      <c r="E1459" s="73"/>
      <c r="F1459" s="73"/>
      <c r="G1459" s="73"/>
      <c r="H1459" s="73"/>
      <c r="I1459" s="73"/>
      <c r="J1459" s="73"/>
      <c r="K1459" s="73"/>
      <c r="L1459" s="73"/>
      <c r="M1459" s="73"/>
      <c r="N1459" s="73"/>
      <c r="O1459" s="73"/>
      <c r="P1459" s="73"/>
      <c r="Q1459" s="73"/>
      <c r="R1459" s="73"/>
      <c r="S1459" s="73"/>
      <c r="T1459" s="73"/>
      <c r="U1459" s="73"/>
      <c r="V1459" s="73"/>
      <c r="W1459" s="73"/>
      <c r="X1459" s="73"/>
      <c r="Y1459" s="73"/>
      <c r="Z1459" s="73"/>
      <c r="AA1459" s="75"/>
      <c r="AB1459" s="75"/>
      <c r="AC1459" s="55"/>
      <c r="AD1459" s="89"/>
      <c r="AE1459" s="89"/>
      <c r="AF1459" s="89"/>
      <c r="AG1459" s="57"/>
      <c r="AH1459" s="58"/>
      <c r="AI1459" s="39"/>
      <c r="AK1459" s="41"/>
    </row>
    <row r="1460" spans="1:38" ht="66">
      <c r="A1460" s="32" t="s">
        <v>1691</v>
      </c>
      <c r="B1460" s="86">
        <v>15.24</v>
      </c>
      <c r="C1460" s="87" t="s">
        <v>429</v>
      </c>
      <c r="D1460" s="88" t="s">
        <v>38</v>
      </c>
      <c r="E1460" s="73"/>
      <c r="F1460" s="73"/>
      <c r="G1460" s="73"/>
      <c r="H1460" s="73"/>
      <c r="I1460" s="73"/>
      <c r="J1460" s="73"/>
      <c r="K1460" s="73"/>
      <c r="L1460" s="73"/>
      <c r="M1460" s="73"/>
      <c r="N1460" s="73"/>
      <c r="O1460" s="73"/>
      <c r="P1460" s="73"/>
      <c r="Q1460" s="73"/>
      <c r="R1460" s="73"/>
      <c r="S1460" s="73"/>
      <c r="T1460" s="73"/>
      <c r="U1460" s="73"/>
      <c r="V1460" s="73"/>
      <c r="W1460" s="73"/>
      <c r="X1460" s="73"/>
      <c r="Y1460" s="73"/>
      <c r="Z1460" s="73"/>
      <c r="AA1460" s="75"/>
      <c r="AB1460" s="75"/>
      <c r="AC1460" s="55"/>
      <c r="AD1460" s="89"/>
      <c r="AE1460" s="89"/>
      <c r="AF1460" s="89"/>
      <c r="AG1460" s="57"/>
      <c r="AH1460" s="58"/>
      <c r="AI1460" s="39"/>
      <c r="AK1460" s="41"/>
    </row>
    <row r="1461" spans="1:38" ht="40.5">
      <c r="A1461" s="32" t="s">
        <v>1687</v>
      </c>
      <c r="B1461" s="86">
        <v>15.25</v>
      </c>
      <c r="C1461" s="87" t="s">
        <v>1645</v>
      </c>
      <c r="D1461" s="88" t="s">
        <v>322</v>
      </c>
      <c r="E1461" s="73"/>
      <c r="F1461" s="73"/>
      <c r="G1461" s="73"/>
      <c r="H1461" s="73"/>
      <c r="I1461" s="73"/>
      <c r="J1461" s="73"/>
      <c r="K1461" s="73"/>
      <c r="L1461" s="73"/>
      <c r="M1461" s="73"/>
      <c r="N1461" s="73"/>
      <c r="O1461" s="73"/>
      <c r="P1461" s="73"/>
      <c r="Q1461" s="73"/>
      <c r="R1461" s="73"/>
      <c r="S1461" s="73"/>
      <c r="T1461" s="73"/>
      <c r="U1461" s="73"/>
      <c r="V1461" s="73"/>
      <c r="W1461" s="73"/>
      <c r="X1461" s="73"/>
      <c r="Y1461" s="73"/>
      <c r="Z1461" s="73"/>
      <c r="AA1461" s="75"/>
      <c r="AB1461" s="75"/>
      <c r="AC1461" s="55"/>
      <c r="AD1461" s="89"/>
      <c r="AE1461" s="89"/>
      <c r="AF1461" s="89"/>
      <c r="AG1461" s="57"/>
      <c r="AH1461" s="58"/>
      <c r="AI1461" s="39"/>
      <c r="AK1461" s="41"/>
    </row>
    <row r="1462" spans="1:38" ht="21">
      <c r="A1462" s="32" t="s">
        <v>1495</v>
      </c>
      <c r="B1462" s="80"/>
      <c r="C1462" s="33" t="s">
        <v>1596</v>
      </c>
      <c r="D1462" s="80"/>
      <c r="E1462" s="81"/>
      <c r="F1462" s="81"/>
      <c r="G1462" s="81"/>
      <c r="H1462" s="81"/>
      <c r="I1462" s="81"/>
      <c r="J1462" s="81"/>
      <c r="K1462" s="81"/>
      <c r="L1462" s="81"/>
      <c r="M1462" s="81"/>
      <c r="N1462" s="81"/>
      <c r="O1462" s="81"/>
      <c r="P1462" s="81"/>
      <c r="Q1462" s="81"/>
      <c r="R1462" s="81"/>
      <c r="S1462" s="81"/>
      <c r="T1462" s="81"/>
      <c r="U1462" s="81"/>
      <c r="V1462" s="81"/>
      <c r="W1462" s="81"/>
      <c r="X1462" s="81"/>
      <c r="Y1462" s="81"/>
      <c r="Z1462" s="81"/>
      <c r="AA1462" s="83"/>
      <c r="AB1462" s="83"/>
      <c r="AC1462" s="55"/>
      <c r="AD1462" s="89"/>
      <c r="AE1462" s="89"/>
      <c r="AF1462" s="89"/>
      <c r="AG1462" s="91"/>
      <c r="AH1462" s="48"/>
      <c r="AI1462" s="39"/>
      <c r="AK1462" s="41"/>
      <c r="AL1462" s="151"/>
    </row>
    <row r="1463" spans="1:38" ht="27.75">
      <c r="A1463" s="32" t="s">
        <v>1557</v>
      </c>
      <c r="B1463" s="59">
        <v>16.010000000000002</v>
      </c>
      <c r="C1463" s="87" t="s">
        <v>698</v>
      </c>
      <c r="D1463" s="88"/>
      <c r="E1463" s="73"/>
      <c r="F1463" s="73"/>
      <c r="G1463" s="73"/>
      <c r="H1463" s="73"/>
      <c r="I1463" s="73"/>
      <c r="J1463" s="73"/>
      <c r="K1463" s="73"/>
      <c r="L1463" s="73"/>
      <c r="M1463" s="73"/>
      <c r="N1463" s="73"/>
      <c r="O1463" s="73"/>
      <c r="P1463" s="73"/>
      <c r="Q1463" s="73"/>
      <c r="R1463" s="73"/>
      <c r="S1463" s="73"/>
      <c r="T1463" s="73"/>
      <c r="U1463" s="73"/>
      <c r="V1463" s="73"/>
      <c r="W1463" s="73"/>
      <c r="X1463" s="73"/>
      <c r="Y1463" s="73"/>
      <c r="Z1463" s="73"/>
      <c r="AA1463" s="75"/>
      <c r="AB1463" s="75"/>
      <c r="AC1463" s="55"/>
      <c r="AD1463" s="89"/>
      <c r="AE1463" s="89"/>
      <c r="AF1463" s="89"/>
      <c r="AG1463" s="91"/>
      <c r="AH1463" s="48"/>
      <c r="AI1463" s="39"/>
      <c r="AK1463" s="41"/>
    </row>
    <row r="1464" spans="1:38" ht="21">
      <c r="A1464" s="32" t="s">
        <v>1558</v>
      </c>
      <c r="B1464" s="50" t="s">
        <v>14</v>
      </c>
      <c r="C1464" s="93" t="s">
        <v>699</v>
      </c>
      <c r="D1464" s="88" t="s">
        <v>38</v>
      </c>
      <c r="E1464" s="73"/>
      <c r="F1464" s="73"/>
      <c r="G1464" s="73"/>
      <c r="H1464" s="73"/>
      <c r="I1464" s="73"/>
      <c r="J1464" s="73"/>
      <c r="K1464" s="73"/>
      <c r="L1464" s="73"/>
      <c r="M1464" s="73"/>
      <c r="N1464" s="73"/>
      <c r="O1464" s="73"/>
      <c r="P1464" s="73"/>
      <c r="Q1464" s="73"/>
      <c r="R1464" s="73"/>
      <c r="S1464" s="73"/>
      <c r="T1464" s="73"/>
      <c r="U1464" s="73"/>
      <c r="V1464" s="73"/>
      <c r="W1464" s="73"/>
      <c r="X1464" s="73"/>
      <c r="Y1464" s="73"/>
      <c r="Z1464" s="73"/>
      <c r="AA1464" s="75"/>
      <c r="AB1464" s="75"/>
      <c r="AC1464" s="55"/>
      <c r="AD1464" s="89"/>
      <c r="AE1464" s="89"/>
      <c r="AF1464" s="89"/>
      <c r="AG1464" s="57"/>
      <c r="AH1464" s="58"/>
      <c r="AI1464" s="39"/>
      <c r="AK1464" s="41"/>
    </row>
    <row r="1465" spans="1:38" ht="40.5">
      <c r="A1465" s="32" t="s">
        <v>1559</v>
      </c>
      <c r="B1465" s="59">
        <v>16.02</v>
      </c>
      <c r="C1465" s="87" t="s">
        <v>2625</v>
      </c>
      <c r="D1465" s="88" t="s">
        <v>38</v>
      </c>
      <c r="E1465" s="73"/>
      <c r="F1465" s="73"/>
      <c r="G1465" s="73"/>
      <c r="H1465" s="73"/>
      <c r="I1465" s="73"/>
      <c r="J1465" s="73"/>
      <c r="K1465" s="73"/>
      <c r="L1465" s="73"/>
      <c r="M1465" s="73"/>
      <c r="N1465" s="73"/>
      <c r="O1465" s="73"/>
      <c r="P1465" s="73"/>
      <c r="Q1465" s="73"/>
      <c r="R1465" s="73"/>
      <c r="S1465" s="73"/>
      <c r="T1465" s="73"/>
      <c r="U1465" s="73"/>
      <c r="V1465" s="73"/>
      <c r="W1465" s="73"/>
      <c r="X1465" s="73"/>
      <c r="Y1465" s="73"/>
      <c r="Z1465" s="73"/>
      <c r="AA1465" s="75"/>
      <c r="AB1465" s="75"/>
      <c r="AC1465" s="55"/>
      <c r="AD1465" s="89"/>
      <c r="AE1465" s="89"/>
      <c r="AF1465" s="89"/>
      <c r="AG1465" s="57"/>
      <c r="AH1465" s="58"/>
      <c r="AI1465" s="39"/>
      <c r="AK1465" s="41"/>
    </row>
    <row r="1466" spans="1:38" ht="40.5">
      <c r="A1466" s="32" t="s">
        <v>1560</v>
      </c>
      <c r="B1466" s="59">
        <v>16.03</v>
      </c>
      <c r="C1466" s="87" t="s">
        <v>2626</v>
      </c>
      <c r="D1466" s="88" t="s">
        <v>38</v>
      </c>
      <c r="E1466" s="73"/>
      <c r="F1466" s="73"/>
      <c r="G1466" s="73"/>
      <c r="H1466" s="73"/>
      <c r="I1466" s="73"/>
      <c r="J1466" s="73"/>
      <c r="K1466" s="73"/>
      <c r="L1466" s="73"/>
      <c r="M1466" s="73"/>
      <c r="N1466" s="73"/>
      <c r="O1466" s="73"/>
      <c r="P1466" s="73"/>
      <c r="Q1466" s="73"/>
      <c r="R1466" s="73"/>
      <c r="S1466" s="73"/>
      <c r="T1466" s="73"/>
      <c r="U1466" s="73"/>
      <c r="V1466" s="73"/>
      <c r="W1466" s="73"/>
      <c r="X1466" s="73"/>
      <c r="Y1466" s="73"/>
      <c r="Z1466" s="73"/>
      <c r="AA1466" s="75"/>
      <c r="AB1466" s="75"/>
      <c r="AC1466" s="55"/>
      <c r="AD1466" s="89"/>
      <c r="AE1466" s="89"/>
      <c r="AF1466" s="89"/>
      <c r="AG1466" s="57"/>
      <c r="AH1466" s="58"/>
      <c r="AI1466" s="39"/>
      <c r="AK1466" s="41"/>
    </row>
    <row r="1467" spans="1:38" ht="27.75">
      <c r="A1467" s="32" t="s">
        <v>1561</v>
      </c>
      <c r="B1467" s="59">
        <v>16.04</v>
      </c>
      <c r="C1467" s="87" t="s">
        <v>700</v>
      </c>
      <c r="D1467" s="88"/>
      <c r="E1467" s="73"/>
      <c r="F1467" s="73"/>
      <c r="G1467" s="73"/>
      <c r="H1467" s="73"/>
      <c r="I1467" s="73"/>
      <c r="J1467" s="73"/>
      <c r="K1467" s="73"/>
      <c r="L1467" s="73"/>
      <c r="M1467" s="73"/>
      <c r="N1467" s="73"/>
      <c r="O1467" s="73"/>
      <c r="P1467" s="73"/>
      <c r="Q1467" s="73"/>
      <c r="R1467" s="73"/>
      <c r="S1467" s="73"/>
      <c r="T1467" s="73"/>
      <c r="U1467" s="73"/>
      <c r="V1467" s="73"/>
      <c r="W1467" s="73"/>
      <c r="X1467" s="73"/>
      <c r="Y1467" s="73"/>
      <c r="Z1467" s="73"/>
      <c r="AA1467" s="75"/>
      <c r="AB1467" s="75"/>
      <c r="AC1467" s="55"/>
      <c r="AD1467" s="89"/>
      <c r="AE1467" s="89"/>
      <c r="AF1467" s="89"/>
      <c r="AG1467" s="91"/>
      <c r="AH1467" s="48"/>
      <c r="AI1467" s="39"/>
      <c r="AK1467" s="41"/>
    </row>
    <row r="1468" spans="1:38" ht="21">
      <c r="A1468" s="32" t="s">
        <v>1562</v>
      </c>
      <c r="B1468" s="50" t="s">
        <v>14</v>
      </c>
      <c r="C1468" s="93" t="s">
        <v>701</v>
      </c>
      <c r="D1468" s="88" t="s">
        <v>38</v>
      </c>
      <c r="E1468" s="73"/>
      <c r="F1468" s="73"/>
      <c r="G1468" s="73"/>
      <c r="H1468" s="73"/>
      <c r="I1468" s="73"/>
      <c r="J1468" s="73"/>
      <c r="K1468" s="73"/>
      <c r="L1468" s="73"/>
      <c r="M1468" s="73"/>
      <c r="N1468" s="73"/>
      <c r="O1468" s="73"/>
      <c r="P1468" s="73"/>
      <c r="Q1468" s="73"/>
      <c r="R1468" s="73"/>
      <c r="S1468" s="73"/>
      <c r="T1468" s="73"/>
      <c r="U1468" s="73"/>
      <c r="V1468" s="73"/>
      <c r="W1468" s="73"/>
      <c r="X1468" s="73"/>
      <c r="Y1468" s="73"/>
      <c r="Z1468" s="73"/>
      <c r="AA1468" s="75"/>
      <c r="AB1468" s="75"/>
      <c r="AC1468" s="55"/>
      <c r="AD1468" s="89"/>
      <c r="AE1468" s="89"/>
      <c r="AF1468" s="89"/>
      <c r="AG1468" s="57"/>
      <c r="AH1468" s="58"/>
      <c r="AI1468" s="39"/>
      <c r="AK1468" s="41"/>
    </row>
    <row r="1469" spans="1:38" ht="18" customHeight="1">
      <c r="A1469" s="32" t="s">
        <v>1563</v>
      </c>
      <c r="B1469" s="50" t="s">
        <v>15</v>
      </c>
      <c r="C1469" s="93" t="s">
        <v>702</v>
      </c>
      <c r="D1469" s="88" t="s">
        <v>38</v>
      </c>
      <c r="E1469" s="73"/>
      <c r="F1469" s="73"/>
      <c r="G1469" s="73"/>
      <c r="H1469" s="73"/>
      <c r="I1469" s="73"/>
      <c r="J1469" s="73"/>
      <c r="K1469" s="73"/>
      <c r="L1469" s="73"/>
      <c r="M1469" s="73"/>
      <c r="N1469" s="73"/>
      <c r="O1469" s="73"/>
      <c r="P1469" s="73"/>
      <c r="Q1469" s="73"/>
      <c r="R1469" s="73"/>
      <c r="S1469" s="73"/>
      <c r="T1469" s="73"/>
      <c r="U1469" s="73"/>
      <c r="V1469" s="73"/>
      <c r="W1469" s="73"/>
      <c r="X1469" s="73"/>
      <c r="Y1469" s="73"/>
      <c r="Z1469" s="73"/>
      <c r="AA1469" s="75"/>
      <c r="AB1469" s="75"/>
      <c r="AC1469" s="55"/>
      <c r="AD1469" s="89"/>
      <c r="AE1469" s="89"/>
      <c r="AF1469" s="89"/>
      <c r="AG1469" s="57"/>
      <c r="AH1469" s="58"/>
      <c r="AI1469" s="39"/>
      <c r="AK1469" s="41"/>
    </row>
    <row r="1470" spans="1:38" ht="27.75">
      <c r="A1470" s="32" t="s">
        <v>1564</v>
      </c>
      <c r="B1470" s="59">
        <v>16.05</v>
      </c>
      <c r="C1470" s="87" t="s">
        <v>703</v>
      </c>
      <c r="D1470" s="88" t="s">
        <v>38</v>
      </c>
      <c r="E1470" s="73"/>
      <c r="F1470" s="73"/>
      <c r="G1470" s="73"/>
      <c r="H1470" s="73"/>
      <c r="I1470" s="73"/>
      <c r="J1470" s="73"/>
      <c r="K1470" s="73"/>
      <c r="L1470" s="73"/>
      <c r="M1470" s="73"/>
      <c r="N1470" s="73"/>
      <c r="O1470" s="73"/>
      <c r="P1470" s="73"/>
      <c r="Q1470" s="73"/>
      <c r="R1470" s="73"/>
      <c r="S1470" s="73"/>
      <c r="T1470" s="73"/>
      <c r="U1470" s="73"/>
      <c r="V1470" s="73"/>
      <c r="W1470" s="73"/>
      <c r="X1470" s="73"/>
      <c r="Y1470" s="73"/>
      <c r="Z1470" s="73"/>
      <c r="AA1470" s="75"/>
      <c r="AB1470" s="75"/>
      <c r="AC1470" s="55"/>
      <c r="AD1470" s="89"/>
      <c r="AE1470" s="89"/>
      <c r="AF1470" s="89"/>
      <c r="AG1470" s="57"/>
      <c r="AH1470" s="58"/>
      <c r="AI1470" s="39"/>
      <c r="AK1470" s="41"/>
    </row>
    <row r="1471" spans="1:38" ht="53.25">
      <c r="A1471" s="32" t="s">
        <v>1565</v>
      </c>
      <c r="B1471" s="59">
        <v>16.059999999999999</v>
      </c>
      <c r="C1471" s="87" t="s">
        <v>2627</v>
      </c>
      <c r="D1471" s="88" t="s">
        <v>77</v>
      </c>
      <c r="E1471" s="73"/>
      <c r="F1471" s="73"/>
      <c r="G1471" s="73"/>
      <c r="H1471" s="73"/>
      <c r="I1471" s="73"/>
      <c r="J1471" s="73"/>
      <c r="K1471" s="73"/>
      <c r="L1471" s="73"/>
      <c r="M1471" s="73"/>
      <c r="N1471" s="73"/>
      <c r="O1471" s="73"/>
      <c r="P1471" s="73"/>
      <c r="Q1471" s="73"/>
      <c r="R1471" s="73"/>
      <c r="S1471" s="73"/>
      <c r="T1471" s="73"/>
      <c r="U1471" s="73"/>
      <c r="V1471" s="73"/>
      <c r="W1471" s="73"/>
      <c r="X1471" s="73"/>
      <c r="Y1471" s="73"/>
      <c r="Z1471" s="73"/>
      <c r="AA1471" s="75"/>
      <c r="AB1471" s="75"/>
      <c r="AC1471" s="55"/>
      <c r="AD1471" s="89"/>
      <c r="AE1471" s="89"/>
      <c r="AF1471" s="89"/>
      <c r="AG1471" s="57"/>
      <c r="AH1471" s="58"/>
      <c r="AI1471" s="39"/>
      <c r="AK1471" s="41"/>
    </row>
    <row r="1472" spans="1:38" ht="66">
      <c r="A1472" s="32" t="s">
        <v>1566</v>
      </c>
      <c r="B1472" s="59">
        <v>16.07</v>
      </c>
      <c r="C1472" s="87" t="s">
        <v>2628</v>
      </c>
      <c r="D1472" s="88"/>
      <c r="E1472" s="73"/>
      <c r="F1472" s="73"/>
      <c r="G1472" s="73"/>
      <c r="H1472" s="73"/>
      <c r="I1472" s="73"/>
      <c r="J1472" s="73"/>
      <c r="K1472" s="73"/>
      <c r="L1472" s="73"/>
      <c r="M1472" s="73"/>
      <c r="N1472" s="73"/>
      <c r="O1472" s="73"/>
      <c r="P1472" s="73"/>
      <c r="Q1472" s="73"/>
      <c r="R1472" s="73"/>
      <c r="S1472" s="73"/>
      <c r="T1472" s="73"/>
      <c r="U1472" s="73"/>
      <c r="V1472" s="73"/>
      <c r="W1472" s="73"/>
      <c r="X1472" s="73"/>
      <c r="Y1472" s="73"/>
      <c r="Z1472" s="73"/>
      <c r="AA1472" s="75"/>
      <c r="AB1472" s="75"/>
      <c r="AC1472" s="55"/>
      <c r="AD1472" s="89"/>
      <c r="AE1472" s="89"/>
      <c r="AF1472" s="89"/>
      <c r="AG1472" s="91"/>
      <c r="AH1472" s="48"/>
      <c r="AI1472" s="39"/>
      <c r="AK1472" s="41"/>
    </row>
    <row r="1473" spans="1:38" ht="27.75">
      <c r="A1473" s="32" t="s">
        <v>1567</v>
      </c>
      <c r="B1473" s="59">
        <v>16.079999999999998</v>
      </c>
      <c r="C1473" s="87" t="s">
        <v>704</v>
      </c>
      <c r="D1473" s="88"/>
      <c r="E1473" s="73"/>
      <c r="F1473" s="73"/>
      <c r="G1473" s="73"/>
      <c r="H1473" s="73"/>
      <c r="I1473" s="73"/>
      <c r="J1473" s="73"/>
      <c r="K1473" s="73"/>
      <c r="L1473" s="73"/>
      <c r="M1473" s="73"/>
      <c r="N1473" s="73"/>
      <c r="O1473" s="73"/>
      <c r="P1473" s="73"/>
      <c r="Q1473" s="73"/>
      <c r="R1473" s="73"/>
      <c r="S1473" s="73"/>
      <c r="T1473" s="73"/>
      <c r="U1473" s="73"/>
      <c r="V1473" s="73"/>
      <c r="W1473" s="73"/>
      <c r="X1473" s="73"/>
      <c r="Y1473" s="73"/>
      <c r="Z1473" s="73"/>
      <c r="AA1473" s="75"/>
      <c r="AB1473" s="75"/>
      <c r="AC1473" s="55"/>
      <c r="AD1473" s="89"/>
      <c r="AE1473" s="89"/>
      <c r="AF1473" s="89"/>
      <c r="AG1473" s="91"/>
      <c r="AH1473" s="48"/>
      <c r="AI1473" s="39"/>
      <c r="AK1473" s="41"/>
    </row>
    <row r="1474" spans="1:38" ht="21">
      <c r="A1474" s="32" t="s">
        <v>1568</v>
      </c>
      <c r="B1474" s="50" t="s">
        <v>14</v>
      </c>
      <c r="C1474" s="93" t="s">
        <v>705</v>
      </c>
      <c r="D1474" s="88" t="s">
        <v>38</v>
      </c>
      <c r="E1474" s="73"/>
      <c r="F1474" s="73"/>
      <c r="G1474" s="73"/>
      <c r="H1474" s="73"/>
      <c r="I1474" s="73"/>
      <c r="J1474" s="73"/>
      <c r="K1474" s="73"/>
      <c r="L1474" s="73"/>
      <c r="M1474" s="73"/>
      <c r="N1474" s="73"/>
      <c r="O1474" s="73"/>
      <c r="P1474" s="73"/>
      <c r="Q1474" s="73"/>
      <c r="R1474" s="73"/>
      <c r="S1474" s="73"/>
      <c r="T1474" s="73"/>
      <c r="U1474" s="73"/>
      <c r="V1474" s="73"/>
      <c r="W1474" s="73"/>
      <c r="X1474" s="73"/>
      <c r="Y1474" s="73"/>
      <c r="Z1474" s="73"/>
      <c r="AA1474" s="75"/>
      <c r="AB1474" s="75"/>
      <c r="AC1474" s="55"/>
      <c r="AD1474" s="89"/>
      <c r="AE1474" s="89"/>
      <c r="AF1474" s="89"/>
      <c r="AG1474" s="57"/>
      <c r="AH1474" s="58"/>
      <c r="AI1474" s="39"/>
      <c r="AK1474" s="41"/>
    </row>
    <row r="1475" spans="1:38" ht="21">
      <c r="A1475" s="32" t="s">
        <v>1569</v>
      </c>
      <c r="B1475" s="50" t="s">
        <v>15</v>
      </c>
      <c r="C1475" s="93" t="s">
        <v>706</v>
      </c>
      <c r="D1475" s="88" t="s">
        <v>38</v>
      </c>
      <c r="E1475" s="73"/>
      <c r="F1475" s="73"/>
      <c r="G1475" s="73"/>
      <c r="H1475" s="73"/>
      <c r="I1475" s="73"/>
      <c r="J1475" s="73"/>
      <c r="K1475" s="73"/>
      <c r="L1475" s="73"/>
      <c r="M1475" s="73"/>
      <c r="N1475" s="73"/>
      <c r="O1475" s="73"/>
      <c r="P1475" s="73"/>
      <c r="Q1475" s="73"/>
      <c r="R1475" s="73"/>
      <c r="S1475" s="73"/>
      <c r="T1475" s="73"/>
      <c r="U1475" s="73"/>
      <c r="V1475" s="73"/>
      <c r="W1475" s="73"/>
      <c r="X1475" s="73"/>
      <c r="Y1475" s="73"/>
      <c r="Z1475" s="73"/>
      <c r="AA1475" s="75"/>
      <c r="AB1475" s="75"/>
      <c r="AC1475" s="55"/>
      <c r="AD1475" s="89"/>
      <c r="AE1475" s="89"/>
      <c r="AF1475" s="89"/>
      <c r="AG1475" s="57"/>
      <c r="AH1475" s="58"/>
      <c r="AI1475" s="39"/>
      <c r="AK1475" s="41"/>
    </row>
    <row r="1476" spans="1:38" ht="21">
      <c r="A1476" s="32" t="s">
        <v>1570</v>
      </c>
      <c r="B1476" s="59">
        <v>16.09</v>
      </c>
      <c r="C1476" s="87" t="s">
        <v>707</v>
      </c>
      <c r="D1476" s="88" t="s">
        <v>38</v>
      </c>
      <c r="E1476" s="73"/>
      <c r="F1476" s="73"/>
      <c r="G1476" s="73"/>
      <c r="H1476" s="73"/>
      <c r="I1476" s="73"/>
      <c r="J1476" s="73"/>
      <c r="K1476" s="73"/>
      <c r="L1476" s="73"/>
      <c r="M1476" s="73"/>
      <c r="N1476" s="73"/>
      <c r="O1476" s="73"/>
      <c r="P1476" s="73"/>
      <c r="Q1476" s="73"/>
      <c r="R1476" s="73"/>
      <c r="S1476" s="73"/>
      <c r="T1476" s="73"/>
      <c r="U1476" s="73"/>
      <c r="V1476" s="73"/>
      <c r="W1476" s="73"/>
      <c r="X1476" s="73"/>
      <c r="Y1476" s="73"/>
      <c r="Z1476" s="73"/>
      <c r="AA1476" s="75"/>
      <c r="AB1476" s="75"/>
      <c r="AC1476" s="55"/>
      <c r="AD1476" s="89"/>
      <c r="AE1476" s="89"/>
      <c r="AF1476" s="89"/>
      <c r="AG1476" s="57"/>
      <c r="AH1476" s="58"/>
      <c r="AI1476" s="39"/>
      <c r="AK1476" s="41"/>
    </row>
    <row r="1477" spans="1:38" ht="21">
      <c r="A1477" s="32" t="s">
        <v>724</v>
      </c>
      <c r="B1477" s="59" t="s">
        <v>724</v>
      </c>
      <c r="C1477" s="87" t="s">
        <v>708</v>
      </c>
      <c r="D1477" s="88"/>
      <c r="E1477" s="73"/>
      <c r="F1477" s="73"/>
      <c r="G1477" s="73"/>
      <c r="H1477" s="73"/>
      <c r="I1477" s="73"/>
      <c r="J1477" s="73"/>
      <c r="K1477" s="73"/>
      <c r="L1477" s="73"/>
      <c r="M1477" s="73"/>
      <c r="N1477" s="73"/>
      <c r="O1477" s="73"/>
      <c r="P1477" s="73"/>
      <c r="Q1477" s="73"/>
      <c r="R1477" s="73"/>
      <c r="S1477" s="73"/>
      <c r="T1477" s="73"/>
      <c r="U1477" s="73"/>
      <c r="V1477" s="73"/>
      <c r="W1477" s="73"/>
      <c r="X1477" s="73"/>
      <c r="Y1477" s="73"/>
      <c r="Z1477" s="73"/>
      <c r="AA1477" s="75"/>
      <c r="AB1477" s="75"/>
      <c r="AC1477" s="55"/>
      <c r="AD1477" s="89"/>
      <c r="AE1477" s="89"/>
      <c r="AF1477" s="89"/>
      <c r="AG1477" s="91"/>
      <c r="AH1477" s="48"/>
      <c r="AI1477" s="39"/>
      <c r="AK1477" s="41"/>
    </row>
    <row r="1478" spans="1:38" ht="21">
      <c r="A1478" s="32" t="s">
        <v>1571</v>
      </c>
      <c r="B1478" s="50" t="s">
        <v>14</v>
      </c>
      <c r="C1478" s="93" t="s">
        <v>709</v>
      </c>
      <c r="D1478" s="88" t="s">
        <v>38</v>
      </c>
      <c r="E1478" s="73"/>
      <c r="F1478" s="73"/>
      <c r="G1478" s="73"/>
      <c r="H1478" s="73"/>
      <c r="I1478" s="73"/>
      <c r="J1478" s="73"/>
      <c r="K1478" s="73"/>
      <c r="L1478" s="73"/>
      <c r="M1478" s="73"/>
      <c r="N1478" s="73"/>
      <c r="O1478" s="73"/>
      <c r="P1478" s="73"/>
      <c r="Q1478" s="73"/>
      <c r="R1478" s="73"/>
      <c r="S1478" s="73"/>
      <c r="T1478" s="73"/>
      <c r="U1478" s="73"/>
      <c r="V1478" s="73"/>
      <c r="W1478" s="73"/>
      <c r="X1478" s="73"/>
      <c r="Y1478" s="73"/>
      <c r="Z1478" s="73"/>
      <c r="AA1478" s="75"/>
      <c r="AB1478" s="75"/>
      <c r="AC1478" s="55"/>
      <c r="AD1478" s="89"/>
      <c r="AE1478" s="89"/>
      <c r="AF1478" s="89"/>
      <c r="AG1478" s="57"/>
      <c r="AH1478" s="58"/>
      <c r="AI1478" s="39"/>
      <c r="AK1478" s="41"/>
    </row>
    <row r="1479" spans="1:38" ht="21">
      <c r="A1479" s="32" t="s">
        <v>1572</v>
      </c>
      <c r="B1479" s="50" t="s">
        <v>15</v>
      </c>
      <c r="C1479" s="93" t="s">
        <v>710</v>
      </c>
      <c r="D1479" s="88" t="s">
        <v>38</v>
      </c>
      <c r="E1479" s="73"/>
      <c r="F1479" s="73"/>
      <c r="G1479" s="73"/>
      <c r="H1479" s="73"/>
      <c r="I1479" s="73"/>
      <c r="J1479" s="73"/>
      <c r="K1479" s="73"/>
      <c r="L1479" s="73"/>
      <c r="M1479" s="73"/>
      <c r="N1479" s="73"/>
      <c r="O1479" s="73"/>
      <c r="P1479" s="73"/>
      <c r="Q1479" s="73"/>
      <c r="R1479" s="73"/>
      <c r="S1479" s="73"/>
      <c r="T1479" s="73"/>
      <c r="U1479" s="73"/>
      <c r="V1479" s="73"/>
      <c r="W1479" s="73"/>
      <c r="X1479" s="73"/>
      <c r="Y1479" s="73"/>
      <c r="Z1479" s="73"/>
      <c r="AA1479" s="75"/>
      <c r="AB1479" s="75"/>
      <c r="AC1479" s="55"/>
      <c r="AD1479" s="89"/>
      <c r="AE1479" s="89"/>
      <c r="AF1479" s="89"/>
      <c r="AG1479" s="57"/>
      <c r="AH1479" s="58"/>
      <c r="AI1479" s="39"/>
      <c r="AK1479" s="41"/>
    </row>
    <row r="1480" spans="1:38" ht="27.75">
      <c r="A1480" s="32" t="s">
        <v>726</v>
      </c>
      <c r="B1480" s="59" t="s">
        <v>726</v>
      </c>
      <c r="C1480" s="87" t="s">
        <v>711</v>
      </c>
      <c r="D1480" s="88" t="s">
        <v>38</v>
      </c>
      <c r="E1480" s="73"/>
      <c r="F1480" s="73"/>
      <c r="G1480" s="73"/>
      <c r="H1480" s="73"/>
      <c r="I1480" s="73"/>
      <c r="J1480" s="73"/>
      <c r="K1480" s="73"/>
      <c r="L1480" s="73"/>
      <c r="M1480" s="73"/>
      <c r="N1480" s="73"/>
      <c r="O1480" s="73"/>
      <c r="P1480" s="73"/>
      <c r="Q1480" s="73"/>
      <c r="R1480" s="73"/>
      <c r="S1480" s="73"/>
      <c r="T1480" s="73"/>
      <c r="U1480" s="73"/>
      <c r="V1480" s="73"/>
      <c r="W1480" s="73"/>
      <c r="X1480" s="73"/>
      <c r="Y1480" s="73"/>
      <c r="Z1480" s="73"/>
      <c r="AA1480" s="75"/>
      <c r="AB1480" s="75"/>
      <c r="AC1480" s="55"/>
      <c r="AD1480" s="89"/>
      <c r="AE1480" s="89"/>
      <c r="AF1480" s="89"/>
      <c r="AG1480" s="57"/>
      <c r="AH1480" s="58"/>
      <c r="AI1480" s="39"/>
      <c r="AK1480" s="41"/>
    </row>
    <row r="1481" spans="1:38" ht="78.75">
      <c r="A1481" s="32" t="s">
        <v>728</v>
      </c>
      <c r="B1481" s="59" t="s">
        <v>728</v>
      </c>
      <c r="C1481" s="87" t="s">
        <v>2629</v>
      </c>
      <c r="D1481" s="88" t="s">
        <v>38</v>
      </c>
      <c r="E1481" s="73"/>
      <c r="F1481" s="73"/>
      <c r="G1481" s="73"/>
      <c r="H1481" s="73"/>
      <c r="I1481" s="73"/>
      <c r="J1481" s="73"/>
      <c r="K1481" s="73"/>
      <c r="L1481" s="73"/>
      <c r="M1481" s="73"/>
      <c r="N1481" s="73"/>
      <c r="O1481" s="73"/>
      <c r="P1481" s="73"/>
      <c r="Q1481" s="73"/>
      <c r="R1481" s="73"/>
      <c r="S1481" s="73"/>
      <c r="T1481" s="73"/>
      <c r="U1481" s="73"/>
      <c r="V1481" s="73"/>
      <c r="W1481" s="73"/>
      <c r="X1481" s="73"/>
      <c r="Y1481" s="73"/>
      <c r="Z1481" s="73"/>
      <c r="AA1481" s="75"/>
      <c r="AB1481" s="75"/>
      <c r="AC1481" s="55"/>
      <c r="AD1481" s="89"/>
      <c r="AE1481" s="89"/>
      <c r="AF1481" s="89"/>
      <c r="AG1481" s="57"/>
      <c r="AH1481" s="58"/>
      <c r="AI1481" s="39"/>
      <c r="AK1481" s="41"/>
    </row>
    <row r="1482" spans="1:38" ht="91.5">
      <c r="A1482" s="32" t="s">
        <v>730</v>
      </c>
      <c r="B1482" s="59" t="s">
        <v>730</v>
      </c>
      <c r="C1482" s="87" t="s">
        <v>2630</v>
      </c>
      <c r="D1482" s="88" t="s">
        <v>38</v>
      </c>
      <c r="E1482" s="73"/>
      <c r="F1482" s="73"/>
      <c r="G1482" s="73"/>
      <c r="H1482" s="73"/>
      <c r="I1482" s="73"/>
      <c r="J1482" s="73"/>
      <c r="K1482" s="73"/>
      <c r="L1482" s="73"/>
      <c r="M1482" s="73"/>
      <c r="N1482" s="73"/>
      <c r="O1482" s="73"/>
      <c r="P1482" s="73"/>
      <c r="Q1482" s="73"/>
      <c r="R1482" s="73"/>
      <c r="S1482" s="73"/>
      <c r="T1482" s="73"/>
      <c r="U1482" s="73"/>
      <c r="V1482" s="73"/>
      <c r="W1482" s="73"/>
      <c r="X1482" s="73"/>
      <c r="Y1482" s="73"/>
      <c r="Z1482" s="73"/>
      <c r="AA1482" s="75"/>
      <c r="AB1482" s="75"/>
      <c r="AC1482" s="55"/>
      <c r="AD1482" s="89"/>
      <c r="AE1482" s="89"/>
      <c r="AF1482" s="89"/>
      <c r="AG1482" s="57"/>
      <c r="AH1482" s="58"/>
      <c r="AI1482" s="39"/>
      <c r="AK1482" s="41"/>
    </row>
    <row r="1483" spans="1:38" ht="91.5">
      <c r="A1483" s="32" t="s">
        <v>731</v>
      </c>
      <c r="B1483" s="59">
        <v>16.14</v>
      </c>
      <c r="C1483" s="87" t="s">
        <v>712</v>
      </c>
      <c r="D1483" s="88" t="s">
        <v>38</v>
      </c>
      <c r="E1483" s="73"/>
      <c r="F1483" s="73"/>
      <c r="G1483" s="73"/>
      <c r="H1483" s="73"/>
      <c r="I1483" s="73"/>
      <c r="J1483" s="73"/>
      <c r="K1483" s="73"/>
      <c r="L1483" s="73"/>
      <c r="M1483" s="73"/>
      <c r="N1483" s="73"/>
      <c r="O1483" s="73"/>
      <c r="P1483" s="73"/>
      <c r="Q1483" s="73"/>
      <c r="R1483" s="73"/>
      <c r="S1483" s="73"/>
      <c r="T1483" s="73"/>
      <c r="U1483" s="73"/>
      <c r="V1483" s="73"/>
      <c r="W1483" s="73"/>
      <c r="X1483" s="73"/>
      <c r="Y1483" s="73"/>
      <c r="Z1483" s="73"/>
      <c r="AA1483" s="75"/>
      <c r="AB1483" s="75"/>
      <c r="AC1483" s="55"/>
      <c r="AD1483" s="89"/>
      <c r="AE1483" s="89"/>
      <c r="AF1483" s="89"/>
      <c r="AG1483" s="57"/>
      <c r="AH1483" s="58"/>
      <c r="AI1483" s="39"/>
      <c r="AK1483" s="41"/>
    </row>
    <row r="1484" spans="1:38" ht="27.75">
      <c r="A1484" s="32" t="s">
        <v>732</v>
      </c>
      <c r="B1484" s="59">
        <v>16.149999999999999</v>
      </c>
      <c r="C1484" s="87" t="s">
        <v>2631</v>
      </c>
      <c r="D1484" s="88" t="s">
        <v>38</v>
      </c>
      <c r="E1484" s="73"/>
      <c r="F1484" s="73"/>
      <c r="G1484" s="73"/>
      <c r="H1484" s="73"/>
      <c r="I1484" s="73"/>
      <c r="J1484" s="73"/>
      <c r="K1484" s="73"/>
      <c r="L1484" s="73"/>
      <c r="M1484" s="73"/>
      <c r="N1484" s="73"/>
      <c r="O1484" s="73"/>
      <c r="P1484" s="73"/>
      <c r="Q1484" s="73"/>
      <c r="R1484" s="73"/>
      <c r="S1484" s="73"/>
      <c r="T1484" s="73"/>
      <c r="U1484" s="73"/>
      <c r="V1484" s="73"/>
      <c r="W1484" s="73"/>
      <c r="X1484" s="73"/>
      <c r="Y1484" s="73"/>
      <c r="Z1484" s="73"/>
      <c r="AA1484" s="75"/>
      <c r="AB1484" s="75"/>
      <c r="AC1484" s="55"/>
      <c r="AD1484" s="89"/>
      <c r="AE1484" s="89"/>
      <c r="AF1484" s="89"/>
      <c r="AG1484" s="57"/>
      <c r="AH1484" s="58"/>
      <c r="AI1484" s="39"/>
      <c r="AK1484" s="41"/>
    </row>
    <row r="1485" spans="1:38" ht="21">
      <c r="A1485" s="32" t="s">
        <v>1496</v>
      </c>
      <c r="B1485" s="80"/>
      <c r="C1485" s="33" t="s">
        <v>1595</v>
      </c>
      <c r="D1485" s="80"/>
      <c r="E1485" s="81"/>
      <c r="F1485" s="81"/>
      <c r="G1485" s="81"/>
      <c r="H1485" s="81"/>
      <c r="I1485" s="81"/>
      <c r="J1485" s="81"/>
      <c r="K1485" s="81"/>
      <c r="L1485" s="81"/>
      <c r="M1485" s="81"/>
      <c r="N1485" s="81"/>
      <c r="O1485" s="81"/>
      <c r="P1485" s="81"/>
      <c r="Q1485" s="81"/>
      <c r="R1485" s="81"/>
      <c r="S1485" s="81"/>
      <c r="T1485" s="81"/>
      <c r="U1485" s="81"/>
      <c r="V1485" s="81"/>
      <c r="W1485" s="81"/>
      <c r="X1485" s="81"/>
      <c r="Y1485" s="81"/>
      <c r="Z1485" s="81"/>
      <c r="AA1485" s="83"/>
      <c r="AB1485" s="83"/>
      <c r="AC1485" s="55"/>
      <c r="AD1485" s="89"/>
      <c r="AE1485" s="89"/>
      <c r="AF1485" s="89"/>
      <c r="AG1485" s="91"/>
      <c r="AH1485" s="48"/>
      <c r="AI1485" s="39"/>
      <c r="AK1485" s="41"/>
      <c r="AL1485" s="132"/>
    </row>
    <row r="1486" spans="1:38" ht="40.5">
      <c r="A1486" s="32" t="s">
        <v>1573</v>
      </c>
      <c r="B1486" s="86">
        <v>17.010000000000002</v>
      </c>
      <c r="C1486" s="87" t="s">
        <v>2632</v>
      </c>
      <c r="D1486" s="88" t="s">
        <v>77</v>
      </c>
      <c r="E1486" s="73"/>
      <c r="F1486" s="73"/>
      <c r="G1486" s="73"/>
      <c r="H1486" s="73"/>
      <c r="I1486" s="73"/>
      <c r="J1486" s="73"/>
      <c r="K1486" s="73"/>
      <c r="L1486" s="73"/>
      <c r="M1486" s="73"/>
      <c r="N1486" s="73"/>
      <c r="O1486" s="73"/>
      <c r="P1486" s="73"/>
      <c r="Q1486" s="73"/>
      <c r="R1486" s="73"/>
      <c r="S1486" s="73"/>
      <c r="T1486" s="73"/>
      <c r="U1486" s="73"/>
      <c r="V1486" s="73"/>
      <c r="W1486" s="73"/>
      <c r="X1486" s="73"/>
      <c r="Y1486" s="73"/>
      <c r="Z1486" s="73"/>
      <c r="AA1486" s="75"/>
      <c r="AB1486" s="75"/>
      <c r="AC1486" s="55"/>
      <c r="AD1486" s="89"/>
      <c r="AE1486" s="89"/>
      <c r="AF1486" s="89"/>
      <c r="AG1486" s="57"/>
      <c r="AH1486" s="58"/>
      <c r="AI1486" s="39"/>
      <c r="AK1486" s="41"/>
    </row>
    <row r="1487" spans="1:38" ht="27.75">
      <c r="A1487" s="32" t="s">
        <v>1574</v>
      </c>
      <c r="B1487" s="86">
        <v>17.02</v>
      </c>
      <c r="C1487" s="87" t="s">
        <v>713</v>
      </c>
      <c r="D1487" s="88" t="s">
        <v>77</v>
      </c>
      <c r="E1487" s="73"/>
      <c r="F1487" s="73"/>
      <c r="G1487" s="73"/>
      <c r="H1487" s="73"/>
      <c r="I1487" s="73"/>
      <c r="J1487" s="73"/>
      <c r="K1487" s="73"/>
      <c r="L1487" s="73"/>
      <c r="M1487" s="73"/>
      <c r="N1487" s="73"/>
      <c r="O1487" s="73"/>
      <c r="P1487" s="73"/>
      <c r="Q1487" s="73"/>
      <c r="R1487" s="73"/>
      <c r="S1487" s="73"/>
      <c r="T1487" s="73"/>
      <c r="U1487" s="73"/>
      <c r="V1487" s="73"/>
      <c r="W1487" s="73"/>
      <c r="X1487" s="73"/>
      <c r="Y1487" s="73"/>
      <c r="Z1487" s="73"/>
      <c r="AA1487" s="75"/>
      <c r="AB1487" s="75"/>
      <c r="AC1487" s="55"/>
      <c r="AD1487" s="89"/>
      <c r="AE1487" s="89"/>
      <c r="AF1487" s="89"/>
      <c r="AG1487" s="57"/>
      <c r="AH1487" s="58"/>
      <c r="AI1487" s="39"/>
      <c r="AK1487" s="41"/>
    </row>
    <row r="1488" spans="1:38" ht="27.75">
      <c r="A1488" s="32" t="s">
        <v>1575</v>
      </c>
      <c r="B1488" s="86">
        <v>17.03</v>
      </c>
      <c r="C1488" s="87" t="s">
        <v>714</v>
      </c>
      <c r="D1488" s="88" t="s">
        <v>77</v>
      </c>
      <c r="E1488" s="73"/>
      <c r="F1488" s="73"/>
      <c r="G1488" s="73"/>
      <c r="H1488" s="73"/>
      <c r="I1488" s="73"/>
      <c r="J1488" s="73"/>
      <c r="K1488" s="73"/>
      <c r="L1488" s="73"/>
      <c r="M1488" s="73"/>
      <c r="N1488" s="73"/>
      <c r="O1488" s="73"/>
      <c r="P1488" s="73"/>
      <c r="Q1488" s="73"/>
      <c r="R1488" s="73"/>
      <c r="S1488" s="73"/>
      <c r="T1488" s="73"/>
      <c r="U1488" s="73"/>
      <c r="V1488" s="73"/>
      <c r="W1488" s="73"/>
      <c r="X1488" s="73"/>
      <c r="Y1488" s="73"/>
      <c r="Z1488" s="73"/>
      <c r="AA1488" s="75"/>
      <c r="AB1488" s="75"/>
      <c r="AC1488" s="55"/>
      <c r="AD1488" s="89"/>
      <c r="AE1488" s="89"/>
      <c r="AF1488" s="89"/>
      <c r="AG1488" s="57"/>
      <c r="AH1488" s="58"/>
      <c r="AI1488" s="39"/>
      <c r="AK1488" s="41"/>
    </row>
    <row r="1489" spans="1:37" ht="40.5">
      <c r="A1489" s="32" t="s">
        <v>1576</v>
      </c>
      <c r="B1489" s="86">
        <v>17.04</v>
      </c>
      <c r="C1489" s="87" t="s">
        <v>715</v>
      </c>
      <c r="D1489" s="88" t="s">
        <v>33</v>
      </c>
      <c r="E1489" s="73"/>
      <c r="F1489" s="73"/>
      <c r="G1489" s="73"/>
      <c r="H1489" s="73"/>
      <c r="I1489" s="73"/>
      <c r="J1489" s="73"/>
      <c r="K1489" s="73"/>
      <c r="L1489" s="73"/>
      <c r="M1489" s="73"/>
      <c r="N1489" s="73"/>
      <c r="O1489" s="73"/>
      <c r="P1489" s="73"/>
      <c r="Q1489" s="73"/>
      <c r="R1489" s="73"/>
      <c r="S1489" s="73"/>
      <c r="T1489" s="73"/>
      <c r="U1489" s="73"/>
      <c r="V1489" s="73"/>
      <c r="W1489" s="73"/>
      <c r="X1489" s="73"/>
      <c r="Y1489" s="73"/>
      <c r="Z1489" s="73"/>
      <c r="AA1489" s="75"/>
      <c r="AB1489" s="75"/>
      <c r="AC1489" s="55"/>
      <c r="AD1489" s="89"/>
      <c r="AE1489" s="89"/>
      <c r="AF1489" s="89"/>
      <c r="AG1489" s="57"/>
      <c r="AH1489" s="58"/>
      <c r="AI1489" s="39"/>
      <c r="AK1489" s="41"/>
    </row>
    <row r="1490" spans="1:37" ht="27.75">
      <c r="A1490" s="32" t="s">
        <v>1577</v>
      </c>
      <c r="B1490" s="86">
        <v>17.05</v>
      </c>
      <c r="C1490" s="87" t="s">
        <v>716</v>
      </c>
      <c r="D1490" s="88"/>
      <c r="E1490" s="73"/>
      <c r="F1490" s="73"/>
      <c r="G1490" s="73"/>
      <c r="H1490" s="73"/>
      <c r="I1490" s="73"/>
      <c r="J1490" s="73"/>
      <c r="K1490" s="73"/>
      <c r="L1490" s="73"/>
      <c r="M1490" s="73"/>
      <c r="N1490" s="73"/>
      <c r="O1490" s="73"/>
      <c r="P1490" s="73"/>
      <c r="Q1490" s="73"/>
      <c r="R1490" s="73"/>
      <c r="S1490" s="73"/>
      <c r="T1490" s="73"/>
      <c r="U1490" s="73"/>
      <c r="V1490" s="73"/>
      <c r="W1490" s="73"/>
      <c r="X1490" s="73"/>
      <c r="Y1490" s="73"/>
      <c r="Z1490" s="73"/>
      <c r="AA1490" s="75"/>
      <c r="AB1490" s="75"/>
      <c r="AC1490" s="55"/>
      <c r="AD1490" s="89"/>
      <c r="AE1490" s="89"/>
      <c r="AF1490" s="89"/>
      <c r="AG1490" s="91"/>
      <c r="AH1490" s="48"/>
      <c r="AI1490" s="39"/>
      <c r="AK1490" s="41"/>
    </row>
    <row r="1491" spans="1:37" ht="21">
      <c r="A1491" s="32" t="s">
        <v>1578</v>
      </c>
      <c r="B1491" s="92" t="s">
        <v>14</v>
      </c>
      <c r="C1491" s="93" t="s">
        <v>717</v>
      </c>
      <c r="D1491" s="88" t="s">
        <v>718</v>
      </c>
      <c r="E1491" s="73"/>
      <c r="F1491" s="73"/>
      <c r="G1491" s="73"/>
      <c r="H1491" s="73"/>
      <c r="I1491" s="73"/>
      <c r="J1491" s="73"/>
      <c r="K1491" s="73"/>
      <c r="L1491" s="73"/>
      <c r="M1491" s="73"/>
      <c r="N1491" s="73"/>
      <c r="O1491" s="73"/>
      <c r="P1491" s="73"/>
      <c r="Q1491" s="73"/>
      <c r="R1491" s="73"/>
      <c r="S1491" s="73"/>
      <c r="T1491" s="73"/>
      <c r="U1491" s="73"/>
      <c r="V1491" s="73"/>
      <c r="W1491" s="73"/>
      <c r="X1491" s="73"/>
      <c r="Y1491" s="73"/>
      <c r="Z1491" s="73"/>
      <c r="AA1491" s="75"/>
      <c r="AB1491" s="75"/>
      <c r="AC1491" s="55"/>
      <c r="AD1491" s="89"/>
      <c r="AE1491" s="89"/>
      <c r="AF1491" s="89"/>
      <c r="AG1491" s="57"/>
      <c r="AH1491" s="58"/>
      <c r="AI1491" s="39"/>
      <c r="AK1491" s="41"/>
    </row>
    <row r="1492" spans="1:37" ht="21">
      <c r="A1492" s="32" t="s">
        <v>1579</v>
      </c>
      <c r="B1492" s="92" t="s">
        <v>15</v>
      </c>
      <c r="C1492" s="93" t="s">
        <v>719</v>
      </c>
      <c r="D1492" s="88" t="s">
        <v>718</v>
      </c>
      <c r="E1492" s="73"/>
      <c r="F1492" s="73"/>
      <c r="G1492" s="73"/>
      <c r="H1492" s="73"/>
      <c r="I1492" s="73"/>
      <c r="J1492" s="73"/>
      <c r="K1492" s="73"/>
      <c r="L1492" s="73"/>
      <c r="M1492" s="73"/>
      <c r="N1492" s="73"/>
      <c r="O1492" s="73"/>
      <c r="P1492" s="73"/>
      <c r="Q1492" s="73"/>
      <c r="R1492" s="73"/>
      <c r="S1492" s="73"/>
      <c r="T1492" s="73"/>
      <c r="U1492" s="73"/>
      <c r="V1492" s="73"/>
      <c r="W1492" s="73"/>
      <c r="X1492" s="73"/>
      <c r="Y1492" s="73"/>
      <c r="Z1492" s="73"/>
      <c r="AA1492" s="75"/>
      <c r="AB1492" s="75"/>
      <c r="AC1492" s="55"/>
      <c r="AD1492" s="89"/>
      <c r="AE1492" s="89"/>
      <c r="AF1492" s="89"/>
      <c r="AG1492" s="57"/>
      <c r="AH1492" s="58"/>
      <c r="AI1492" s="39"/>
      <c r="AK1492" s="41"/>
    </row>
    <row r="1493" spans="1:37" ht="40.5">
      <c r="A1493" s="32" t="s">
        <v>1580</v>
      </c>
      <c r="B1493" s="86" t="s">
        <v>1580</v>
      </c>
      <c r="C1493" s="87" t="s">
        <v>720</v>
      </c>
      <c r="D1493" s="88" t="s">
        <v>77</v>
      </c>
      <c r="E1493" s="73"/>
      <c r="F1493" s="73"/>
      <c r="G1493" s="73"/>
      <c r="H1493" s="73"/>
      <c r="I1493" s="73"/>
      <c r="J1493" s="73"/>
      <c r="K1493" s="73"/>
      <c r="L1493" s="73"/>
      <c r="M1493" s="73"/>
      <c r="N1493" s="73"/>
      <c r="O1493" s="73"/>
      <c r="P1493" s="73"/>
      <c r="Q1493" s="73"/>
      <c r="R1493" s="73"/>
      <c r="S1493" s="73"/>
      <c r="T1493" s="73"/>
      <c r="U1493" s="73"/>
      <c r="V1493" s="73"/>
      <c r="W1493" s="73"/>
      <c r="X1493" s="73"/>
      <c r="Y1493" s="73"/>
      <c r="Z1493" s="73"/>
      <c r="AA1493" s="75"/>
      <c r="AB1493" s="75"/>
      <c r="AC1493" s="55"/>
      <c r="AD1493" s="89"/>
      <c r="AE1493" s="89"/>
      <c r="AF1493" s="89"/>
      <c r="AG1493" s="57"/>
      <c r="AH1493" s="58"/>
      <c r="AI1493" s="39"/>
      <c r="AK1493" s="41"/>
    </row>
    <row r="1494" spans="1:37" ht="27.75">
      <c r="A1494" s="32" t="s">
        <v>1581</v>
      </c>
      <c r="B1494" s="86" t="s">
        <v>1581</v>
      </c>
      <c r="C1494" s="87" t="s">
        <v>721</v>
      </c>
      <c r="D1494" s="88" t="s">
        <v>718</v>
      </c>
      <c r="E1494" s="73"/>
      <c r="F1494" s="73"/>
      <c r="G1494" s="73"/>
      <c r="H1494" s="73"/>
      <c r="I1494" s="73"/>
      <c r="J1494" s="73"/>
      <c r="K1494" s="73"/>
      <c r="L1494" s="73"/>
      <c r="M1494" s="73"/>
      <c r="N1494" s="73"/>
      <c r="O1494" s="73"/>
      <c r="P1494" s="73"/>
      <c r="Q1494" s="73"/>
      <c r="R1494" s="73"/>
      <c r="S1494" s="73"/>
      <c r="T1494" s="73"/>
      <c r="U1494" s="73"/>
      <c r="V1494" s="73"/>
      <c r="W1494" s="73"/>
      <c r="X1494" s="73"/>
      <c r="Y1494" s="73"/>
      <c r="Z1494" s="73"/>
      <c r="AA1494" s="75"/>
      <c r="AB1494" s="75"/>
      <c r="AC1494" s="55"/>
      <c r="AD1494" s="89"/>
      <c r="AE1494" s="89"/>
      <c r="AF1494" s="89"/>
      <c r="AG1494" s="57"/>
      <c r="AH1494" s="58"/>
      <c r="AI1494" s="39"/>
      <c r="AK1494" s="41"/>
    </row>
    <row r="1495" spans="1:37" ht="27.75">
      <c r="A1495" s="32" t="s">
        <v>1582</v>
      </c>
      <c r="B1495" s="86" t="s">
        <v>1582</v>
      </c>
      <c r="C1495" s="87" t="s">
        <v>722</v>
      </c>
      <c r="D1495" s="88" t="s">
        <v>77</v>
      </c>
      <c r="E1495" s="73"/>
      <c r="F1495" s="73"/>
      <c r="G1495" s="73"/>
      <c r="H1495" s="73"/>
      <c r="I1495" s="73"/>
      <c r="J1495" s="73"/>
      <c r="K1495" s="73"/>
      <c r="L1495" s="73"/>
      <c r="M1495" s="73"/>
      <c r="N1495" s="73"/>
      <c r="O1495" s="73"/>
      <c r="P1495" s="73"/>
      <c r="Q1495" s="73"/>
      <c r="R1495" s="73"/>
      <c r="S1495" s="73"/>
      <c r="T1495" s="73"/>
      <c r="U1495" s="73"/>
      <c r="V1495" s="73"/>
      <c r="W1495" s="73"/>
      <c r="X1495" s="73"/>
      <c r="Y1495" s="73"/>
      <c r="Z1495" s="73"/>
      <c r="AA1495" s="75"/>
      <c r="AB1495" s="75"/>
      <c r="AC1495" s="55"/>
      <c r="AD1495" s="89"/>
      <c r="AE1495" s="89"/>
      <c r="AF1495" s="89"/>
      <c r="AG1495" s="57"/>
      <c r="AH1495" s="58"/>
      <c r="AI1495" s="39"/>
      <c r="AK1495" s="41"/>
    </row>
    <row r="1496" spans="1:37" ht="78.75">
      <c r="A1496" s="32" t="s">
        <v>1583</v>
      </c>
      <c r="B1496" s="86" t="s">
        <v>1583</v>
      </c>
      <c r="C1496" s="87" t="s">
        <v>723</v>
      </c>
      <c r="D1496" s="88" t="s">
        <v>77</v>
      </c>
      <c r="E1496" s="73"/>
      <c r="F1496" s="73"/>
      <c r="G1496" s="73"/>
      <c r="H1496" s="73"/>
      <c r="I1496" s="73"/>
      <c r="J1496" s="73"/>
      <c r="K1496" s="73"/>
      <c r="L1496" s="73"/>
      <c r="M1496" s="73"/>
      <c r="N1496" s="73"/>
      <c r="O1496" s="73"/>
      <c r="P1496" s="73"/>
      <c r="Q1496" s="73"/>
      <c r="R1496" s="73"/>
      <c r="S1496" s="73"/>
      <c r="T1496" s="73"/>
      <c r="U1496" s="73"/>
      <c r="V1496" s="73"/>
      <c r="W1496" s="73"/>
      <c r="X1496" s="73"/>
      <c r="Y1496" s="73"/>
      <c r="Z1496" s="73"/>
      <c r="AA1496" s="75"/>
      <c r="AB1496" s="75"/>
      <c r="AC1496" s="55"/>
      <c r="AD1496" s="89"/>
      <c r="AE1496" s="89"/>
      <c r="AF1496" s="89"/>
      <c r="AG1496" s="57"/>
      <c r="AH1496" s="58"/>
      <c r="AI1496" s="39"/>
      <c r="AK1496" s="41"/>
    </row>
    <row r="1497" spans="1:37" ht="27.75">
      <c r="A1497" s="32" t="s">
        <v>1415</v>
      </c>
      <c r="B1497" s="59" t="s">
        <v>1415</v>
      </c>
      <c r="C1497" s="87" t="s">
        <v>725</v>
      </c>
      <c r="D1497" s="88" t="s">
        <v>77</v>
      </c>
      <c r="E1497" s="73"/>
      <c r="F1497" s="73"/>
      <c r="G1497" s="73"/>
      <c r="H1497" s="73"/>
      <c r="I1497" s="73"/>
      <c r="J1497" s="73"/>
      <c r="K1497" s="73"/>
      <c r="L1497" s="73"/>
      <c r="M1497" s="73"/>
      <c r="N1497" s="73"/>
      <c r="O1497" s="73"/>
      <c r="P1497" s="73"/>
      <c r="Q1497" s="73"/>
      <c r="R1497" s="73"/>
      <c r="S1497" s="73"/>
      <c r="T1497" s="73"/>
      <c r="U1497" s="73"/>
      <c r="V1497" s="73"/>
      <c r="W1497" s="73"/>
      <c r="X1497" s="73"/>
      <c r="Y1497" s="73"/>
      <c r="Z1497" s="73"/>
      <c r="AA1497" s="75"/>
      <c r="AB1497" s="75"/>
      <c r="AC1497" s="55"/>
      <c r="AD1497" s="89"/>
      <c r="AE1497" s="89"/>
      <c r="AF1497" s="89"/>
      <c r="AG1497" s="57"/>
      <c r="AH1497" s="58"/>
      <c r="AI1497" s="39"/>
      <c r="AK1497" s="41"/>
    </row>
    <row r="1498" spans="1:37" ht="21">
      <c r="A1498" s="32" t="s">
        <v>1416</v>
      </c>
      <c r="B1498" s="59" t="s">
        <v>1416</v>
      </c>
      <c r="C1498" s="87" t="s">
        <v>727</v>
      </c>
      <c r="D1498" s="88" t="s">
        <v>77</v>
      </c>
      <c r="E1498" s="73"/>
      <c r="F1498" s="73"/>
      <c r="G1498" s="73"/>
      <c r="H1498" s="73"/>
      <c r="I1498" s="73"/>
      <c r="J1498" s="73"/>
      <c r="K1498" s="73"/>
      <c r="L1498" s="73"/>
      <c r="M1498" s="73"/>
      <c r="N1498" s="73"/>
      <c r="O1498" s="73"/>
      <c r="P1498" s="73"/>
      <c r="Q1498" s="73"/>
      <c r="R1498" s="73"/>
      <c r="S1498" s="73"/>
      <c r="T1498" s="73"/>
      <c r="U1498" s="73"/>
      <c r="V1498" s="73"/>
      <c r="W1498" s="73"/>
      <c r="X1498" s="73"/>
      <c r="Y1498" s="73"/>
      <c r="Z1498" s="73"/>
      <c r="AA1498" s="75"/>
      <c r="AB1498" s="75"/>
      <c r="AC1498" s="55"/>
      <c r="AD1498" s="89"/>
      <c r="AE1498" s="89"/>
      <c r="AF1498" s="89"/>
      <c r="AG1498" s="57"/>
      <c r="AH1498" s="58"/>
      <c r="AI1498" s="39"/>
      <c r="AK1498" s="41"/>
    </row>
    <row r="1499" spans="1:37" ht="40.5">
      <c r="A1499" s="32" t="s">
        <v>1417</v>
      </c>
      <c r="B1499" s="59" t="s">
        <v>1417</v>
      </c>
      <c r="C1499" s="87" t="s">
        <v>729</v>
      </c>
      <c r="D1499" s="88" t="s">
        <v>13</v>
      </c>
      <c r="E1499" s="73"/>
      <c r="F1499" s="73"/>
      <c r="G1499" s="73"/>
      <c r="H1499" s="73"/>
      <c r="I1499" s="73"/>
      <c r="J1499" s="73"/>
      <c r="K1499" s="73"/>
      <c r="L1499" s="73"/>
      <c r="M1499" s="73"/>
      <c r="N1499" s="73"/>
      <c r="O1499" s="73"/>
      <c r="P1499" s="73"/>
      <c r="Q1499" s="73"/>
      <c r="R1499" s="73"/>
      <c r="S1499" s="73"/>
      <c r="T1499" s="73"/>
      <c r="U1499" s="73"/>
      <c r="V1499" s="73"/>
      <c r="W1499" s="73"/>
      <c r="X1499" s="73"/>
      <c r="Y1499" s="73"/>
      <c r="Z1499" s="73"/>
      <c r="AA1499" s="75"/>
      <c r="AB1499" s="75"/>
      <c r="AC1499" s="55"/>
      <c r="AD1499" s="89"/>
      <c r="AE1499" s="89"/>
      <c r="AF1499" s="89"/>
      <c r="AG1499" s="57"/>
      <c r="AH1499" s="58"/>
      <c r="AI1499" s="39"/>
      <c r="AK1499" s="41"/>
    </row>
    <row r="1500" spans="1:37" ht="40.5">
      <c r="A1500" s="32" t="s">
        <v>1418</v>
      </c>
      <c r="B1500" s="59" t="s">
        <v>1418</v>
      </c>
      <c r="C1500" s="87" t="s">
        <v>729</v>
      </c>
      <c r="D1500" s="88" t="s">
        <v>13</v>
      </c>
      <c r="E1500" s="73"/>
      <c r="F1500" s="73"/>
      <c r="G1500" s="73"/>
      <c r="H1500" s="73"/>
      <c r="I1500" s="73"/>
      <c r="J1500" s="73"/>
      <c r="K1500" s="73"/>
      <c r="L1500" s="73"/>
      <c r="M1500" s="73"/>
      <c r="N1500" s="73"/>
      <c r="O1500" s="73"/>
      <c r="P1500" s="73"/>
      <c r="Q1500" s="73"/>
      <c r="R1500" s="73"/>
      <c r="S1500" s="73"/>
      <c r="T1500" s="73"/>
      <c r="U1500" s="73"/>
      <c r="V1500" s="73"/>
      <c r="W1500" s="73"/>
      <c r="X1500" s="73"/>
      <c r="Y1500" s="73"/>
      <c r="Z1500" s="73"/>
      <c r="AA1500" s="75"/>
      <c r="AB1500" s="75"/>
      <c r="AC1500" s="55"/>
      <c r="AD1500" s="89"/>
      <c r="AE1500" s="89"/>
      <c r="AF1500" s="89"/>
      <c r="AG1500" s="57"/>
      <c r="AH1500" s="58"/>
      <c r="AI1500" s="39"/>
      <c r="AK1500" s="41"/>
    </row>
    <row r="1501" spans="1:37" ht="40.5">
      <c r="A1501" s="32" t="s">
        <v>1584</v>
      </c>
      <c r="B1501" s="59" t="s">
        <v>1584</v>
      </c>
      <c r="C1501" s="87" t="s">
        <v>729</v>
      </c>
      <c r="D1501" s="88" t="s">
        <v>13</v>
      </c>
      <c r="E1501" s="73"/>
      <c r="F1501" s="73"/>
      <c r="G1501" s="73"/>
      <c r="H1501" s="73"/>
      <c r="I1501" s="73"/>
      <c r="J1501" s="73"/>
      <c r="K1501" s="73"/>
      <c r="L1501" s="73"/>
      <c r="M1501" s="73"/>
      <c r="N1501" s="73"/>
      <c r="O1501" s="73"/>
      <c r="P1501" s="73"/>
      <c r="Q1501" s="73"/>
      <c r="R1501" s="73"/>
      <c r="S1501" s="73"/>
      <c r="T1501" s="73"/>
      <c r="U1501" s="73"/>
      <c r="V1501" s="73"/>
      <c r="W1501" s="73"/>
      <c r="X1501" s="73"/>
      <c r="Y1501" s="73"/>
      <c r="Z1501" s="73"/>
      <c r="AA1501" s="75"/>
      <c r="AB1501" s="75"/>
      <c r="AC1501" s="55"/>
      <c r="AD1501" s="89"/>
      <c r="AE1501" s="89"/>
      <c r="AF1501" s="89"/>
      <c r="AG1501" s="57"/>
      <c r="AH1501" s="58"/>
      <c r="AI1501" s="39"/>
      <c r="AK1501" s="41"/>
    </row>
    <row r="1502" spans="1:37" ht="21">
      <c r="A1502" s="32" t="s">
        <v>1585</v>
      </c>
      <c r="B1502" s="59" t="s">
        <v>1585</v>
      </c>
      <c r="C1502" s="87" t="s">
        <v>733</v>
      </c>
      <c r="D1502" s="88" t="s">
        <v>33</v>
      </c>
      <c r="E1502" s="73"/>
      <c r="F1502" s="73"/>
      <c r="G1502" s="73"/>
      <c r="H1502" s="73"/>
      <c r="I1502" s="73"/>
      <c r="J1502" s="73"/>
      <c r="K1502" s="73"/>
      <c r="L1502" s="73"/>
      <c r="M1502" s="73"/>
      <c r="N1502" s="73"/>
      <c r="O1502" s="73"/>
      <c r="P1502" s="73"/>
      <c r="Q1502" s="73"/>
      <c r="R1502" s="73"/>
      <c r="S1502" s="73"/>
      <c r="T1502" s="73"/>
      <c r="U1502" s="73"/>
      <c r="V1502" s="73"/>
      <c r="W1502" s="73"/>
      <c r="X1502" s="73"/>
      <c r="Y1502" s="73"/>
      <c r="Z1502" s="73"/>
      <c r="AA1502" s="75"/>
      <c r="AB1502" s="75"/>
      <c r="AC1502" s="55"/>
      <c r="AD1502" s="89"/>
      <c r="AE1502" s="89"/>
      <c r="AF1502" s="89"/>
      <c r="AG1502" s="57"/>
      <c r="AH1502" s="58"/>
      <c r="AI1502" s="39"/>
      <c r="AK1502" s="41"/>
    </row>
    <row r="1503" spans="1:37" ht="21">
      <c r="A1503" s="32" t="s">
        <v>1586</v>
      </c>
      <c r="B1503" s="59" t="s">
        <v>1586</v>
      </c>
      <c r="C1503" s="87" t="s">
        <v>734</v>
      </c>
      <c r="D1503" s="88" t="s">
        <v>33</v>
      </c>
      <c r="E1503" s="73"/>
      <c r="F1503" s="73"/>
      <c r="G1503" s="73"/>
      <c r="H1503" s="73"/>
      <c r="I1503" s="73"/>
      <c r="J1503" s="73"/>
      <c r="K1503" s="73"/>
      <c r="L1503" s="73"/>
      <c r="M1503" s="73"/>
      <c r="N1503" s="73"/>
      <c r="O1503" s="73"/>
      <c r="P1503" s="73"/>
      <c r="Q1503" s="73"/>
      <c r="R1503" s="73"/>
      <c r="S1503" s="73"/>
      <c r="T1503" s="73"/>
      <c r="U1503" s="73"/>
      <c r="V1503" s="73"/>
      <c r="W1503" s="73"/>
      <c r="X1503" s="73"/>
      <c r="Y1503" s="73"/>
      <c r="Z1503" s="73"/>
      <c r="AA1503" s="75"/>
      <c r="AB1503" s="75"/>
      <c r="AC1503" s="55"/>
      <c r="AD1503" s="89"/>
      <c r="AE1503" s="89"/>
      <c r="AF1503" s="89"/>
      <c r="AG1503" s="57"/>
      <c r="AH1503" s="58"/>
      <c r="AI1503" s="39"/>
      <c r="AK1503" s="41"/>
    </row>
    <row r="1504" spans="1:37" ht="21">
      <c r="A1504" s="32" t="s">
        <v>1587</v>
      </c>
      <c r="B1504" s="59" t="s">
        <v>1587</v>
      </c>
      <c r="C1504" s="87" t="s">
        <v>735</v>
      </c>
      <c r="D1504" s="88" t="s">
        <v>81</v>
      </c>
      <c r="E1504" s="73"/>
      <c r="F1504" s="73"/>
      <c r="G1504" s="73"/>
      <c r="H1504" s="73"/>
      <c r="I1504" s="73"/>
      <c r="J1504" s="73"/>
      <c r="K1504" s="73"/>
      <c r="L1504" s="73"/>
      <c r="M1504" s="73"/>
      <c r="N1504" s="73"/>
      <c r="O1504" s="73"/>
      <c r="P1504" s="73"/>
      <c r="Q1504" s="73"/>
      <c r="R1504" s="73"/>
      <c r="S1504" s="73"/>
      <c r="T1504" s="73"/>
      <c r="U1504" s="73"/>
      <c r="V1504" s="73"/>
      <c r="W1504" s="73"/>
      <c r="X1504" s="73"/>
      <c r="Y1504" s="73"/>
      <c r="Z1504" s="73"/>
      <c r="AA1504" s="75"/>
      <c r="AB1504" s="75"/>
      <c r="AC1504" s="55"/>
      <c r="AD1504" s="89"/>
      <c r="AE1504" s="89"/>
      <c r="AF1504" s="89"/>
      <c r="AG1504" s="57"/>
      <c r="AH1504" s="58"/>
      <c r="AI1504" s="39"/>
      <c r="AK1504" s="41"/>
    </row>
    <row r="1505" spans="1:38" ht="21">
      <c r="A1505" s="32" t="s">
        <v>1588</v>
      </c>
      <c r="B1505" s="59" t="s">
        <v>1588</v>
      </c>
      <c r="C1505" s="87" t="s">
        <v>736</v>
      </c>
      <c r="D1505" s="88" t="s">
        <v>81</v>
      </c>
      <c r="E1505" s="73"/>
      <c r="F1505" s="73"/>
      <c r="G1505" s="73"/>
      <c r="H1505" s="73"/>
      <c r="I1505" s="73"/>
      <c r="J1505" s="73"/>
      <c r="K1505" s="73"/>
      <c r="L1505" s="73"/>
      <c r="M1505" s="73"/>
      <c r="N1505" s="73"/>
      <c r="O1505" s="73"/>
      <c r="P1505" s="73"/>
      <c r="Q1505" s="73"/>
      <c r="R1505" s="73"/>
      <c r="S1505" s="73"/>
      <c r="T1505" s="73"/>
      <c r="U1505" s="73"/>
      <c r="V1505" s="73"/>
      <c r="W1505" s="73"/>
      <c r="X1505" s="73"/>
      <c r="Y1505" s="73"/>
      <c r="Z1505" s="73"/>
      <c r="AA1505" s="75"/>
      <c r="AB1505" s="75"/>
      <c r="AC1505" s="55"/>
      <c r="AD1505" s="89"/>
      <c r="AE1505" s="89"/>
      <c r="AF1505" s="89"/>
      <c r="AG1505" s="57"/>
      <c r="AH1505" s="58"/>
      <c r="AI1505" s="39"/>
      <c r="AK1505" s="41"/>
    </row>
    <row r="1506" spans="1:38" ht="21">
      <c r="A1506" s="32" t="s">
        <v>1589</v>
      </c>
      <c r="B1506" s="59" t="s">
        <v>1589</v>
      </c>
      <c r="C1506" s="87" t="s">
        <v>737</v>
      </c>
      <c r="D1506" s="88" t="s">
        <v>81</v>
      </c>
      <c r="E1506" s="73"/>
      <c r="F1506" s="73"/>
      <c r="G1506" s="73"/>
      <c r="H1506" s="73"/>
      <c r="I1506" s="73"/>
      <c r="J1506" s="73"/>
      <c r="K1506" s="73"/>
      <c r="L1506" s="73"/>
      <c r="M1506" s="73"/>
      <c r="N1506" s="73"/>
      <c r="O1506" s="73"/>
      <c r="P1506" s="73"/>
      <c r="Q1506" s="73"/>
      <c r="R1506" s="73"/>
      <c r="S1506" s="73"/>
      <c r="T1506" s="73"/>
      <c r="U1506" s="73"/>
      <c r="V1506" s="73"/>
      <c r="W1506" s="73"/>
      <c r="X1506" s="73"/>
      <c r="Y1506" s="73"/>
      <c r="Z1506" s="73"/>
      <c r="AA1506" s="75"/>
      <c r="AB1506" s="75"/>
      <c r="AC1506" s="55"/>
      <c r="AD1506" s="89"/>
      <c r="AE1506" s="89"/>
      <c r="AF1506" s="89"/>
      <c r="AG1506" s="57"/>
      <c r="AH1506" s="58"/>
      <c r="AI1506" s="39"/>
      <c r="AK1506" s="41"/>
    </row>
    <row r="1507" spans="1:38" ht="21">
      <c r="A1507" s="32" t="s">
        <v>1590</v>
      </c>
      <c r="B1507" s="59" t="s">
        <v>1590</v>
      </c>
      <c r="C1507" s="87" t="s">
        <v>738</v>
      </c>
      <c r="D1507" s="88" t="s">
        <v>81</v>
      </c>
      <c r="E1507" s="73"/>
      <c r="F1507" s="73"/>
      <c r="G1507" s="73"/>
      <c r="H1507" s="73"/>
      <c r="I1507" s="73"/>
      <c r="J1507" s="73"/>
      <c r="K1507" s="73"/>
      <c r="L1507" s="73"/>
      <c r="M1507" s="73"/>
      <c r="N1507" s="73"/>
      <c r="O1507" s="73"/>
      <c r="P1507" s="73"/>
      <c r="Q1507" s="73"/>
      <c r="R1507" s="73"/>
      <c r="S1507" s="73"/>
      <c r="T1507" s="73"/>
      <c r="U1507" s="73"/>
      <c r="V1507" s="73"/>
      <c r="W1507" s="73"/>
      <c r="X1507" s="73"/>
      <c r="Y1507" s="73"/>
      <c r="Z1507" s="73"/>
      <c r="AA1507" s="75"/>
      <c r="AB1507" s="75"/>
      <c r="AC1507" s="55"/>
      <c r="AD1507" s="89"/>
      <c r="AE1507" s="89"/>
      <c r="AF1507" s="89"/>
      <c r="AG1507" s="57"/>
      <c r="AH1507" s="58"/>
      <c r="AI1507" s="39"/>
      <c r="AK1507" s="41"/>
    </row>
    <row r="1508" spans="1:38" ht="40.5">
      <c r="A1508" s="32" t="s">
        <v>1591</v>
      </c>
      <c r="B1508" s="59" t="s">
        <v>1591</v>
      </c>
      <c r="C1508" s="87" t="s">
        <v>2633</v>
      </c>
      <c r="D1508" s="88" t="s">
        <v>81</v>
      </c>
      <c r="E1508" s="73"/>
      <c r="F1508" s="73"/>
      <c r="G1508" s="73"/>
      <c r="H1508" s="73"/>
      <c r="I1508" s="73"/>
      <c r="J1508" s="73"/>
      <c r="K1508" s="73"/>
      <c r="L1508" s="73"/>
      <c r="M1508" s="73"/>
      <c r="N1508" s="73"/>
      <c r="O1508" s="73"/>
      <c r="P1508" s="73"/>
      <c r="Q1508" s="73"/>
      <c r="R1508" s="73"/>
      <c r="S1508" s="73"/>
      <c r="T1508" s="73"/>
      <c r="U1508" s="73"/>
      <c r="V1508" s="73"/>
      <c r="W1508" s="73"/>
      <c r="X1508" s="73"/>
      <c r="Y1508" s="73"/>
      <c r="Z1508" s="73"/>
      <c r="AA1508" s="75"/>
      <c r="AB1508" s="75"/>
      <c r="AC1508" s="55"/>
      <c r="AD1508" s="89"/>
      <c r="AE1508" s="89"/>
      <c r="AF1508" s="89"/>
      <c r="AG1508" s="57"/>
      <c r="AH1508" s="58"/>
      <c r="AI1508" s="39"/>
      <c r="AK1508" s="41"/>
    </row>
    <row r="1509" spans="1:38" ht="21">
      <c r="A1509" s="32" t="s">
        <v>1592</v>
      </c>
      <c r="B1509" s="59" t="s">
        <v>1592</v>
      </c>
      <c r="C1509" s="87" t="s">
        <v>2634</v>
      </c>
      <c r="D1509" s="88" t="s">
        <v>81</v>
      </c>
      <c r="E1509" s="73"/>
      <c r="F1509" s="73"/>
      <c r="G1509" s="73"/>
      <c r="H1509" s="73"/>
      <c r="I1509" s="73"/>
      <c r="J1509" s="73"/>
      <c r="K1509" s="73"/>
      <c r="L1509" s="73"/>
      <c r="M1509" s="73"/>
      <c r="N1509" s="73"/>
      <c r="O1509" s="73"/>
      <c r="P1509" s="73"/>
      <c r="Q1509" s="73"/>
      <c r="R1509" s="73"/>
      <c r="S1509" s="73"/>
      <c r="T1509" s="73"/>
      <c r="U1509" s="73"/>
      <c r="V1509" s="73"/>
      <c r="W1509" s="73"/>
      <c r="X1509" s="73"/>
      <c r="Y1509" s="73"/>
      <c r="Z1509" s="73"/>
      <c r="AA1509" s="75"/>
      <c r="AB1509" s="75"/>
      <c r="AC1509" s="55"/>
      <c r="AD1509" s="89"/>
      <c r="AE1509" s="89"/>
      <c r="AF1509" s="89"/>
      <c r="AG1509" s="57"/>
      <c r="AH1509" s="58"/>
      <c r="AI1509" s="39"/>
      <c r="AK1509" s="41"/>
    </row>
    <row r="1510" spans="1:38" ht="23.45" customHeight="1">
      <c r="A1510" s="32" t="s">
        <v>1593</v>
      </c>
      <c r="B1510" s="59" t="s">
        <v>1593</v>
      </c>
      <c r="C1510" s="87" t="s">
        <v>2635</v>
      </c>
      <c r="D1510" s="88" t="s">
        <v>81</v>
      </c>
      <c r="E1510" s="73"/>
      <c r="F1510" s="73"/>
      <c r="G1510" s="73"/>
      <c r="H1510" s="73"/>
      <c r="I1510" s="73"/>
      <c r="J1510" s="73"/>
      <c r="K1510" s="73"/>
      <c r="L1510" s="73"/>
      <c r="M1510" s="73"/>
      <c r="N1510" s="73"/>
      <c r="O1510" s="73"/>
      <c r="P1510" s="73"/>
      <c r="Q1510" s="73"/>
      <c r="R1510" s="73"/>
      <c r="S1510" s="73"/>
      <c r="T1510" s="73"/>
      <c r="U1510" s="73"/>
      <c r="V1510" s="73"/>
      <c r="W1510" s="73"/>
      <c r="X1510" s="73"/>
      <c r="Y1510" s="73"/>
      <c r="Z1510" s="73"/>
      <c r="AA1510" s="75"/>
      <c r="AB1510" s="75"/>
      <c r="AC1510" s="55"/>
      <c r="AD1510" s="89"/>
      <c r="AE1510" s="89"/>
      <c r="AF1510" s="89"/>
      <c r="AG1510" s="57"/>
      <c r="AH1510" s="58"/>
      <c r="AI1510" s="39"/>
      <c r="AK1510" s="41"/>
    </row>
    <row r="1511" spans="1:38" ht="23.45" customHeight="1">
      <c r="A1511" s="32" t="s">
        <v>2181</v>
      </c>
      <c r="B1511" s="59" t="s">
        <v>2181</v>
      </c>
      <c r="C1511" s="87" t="s">
        <v>2182</v>
      </c>
      <c r="D1511" s="88" t="s">
        <v>877</v>
      </c>
      <c r="E1511" s="73"/>
      <c r="F1511" s="73"/>
      <c r="G1511" s="73"/>
      <c r="H1511" s="73"/>
      <c r="I1511" s="73"/>
      <c r="J1511" s="73"/>
      <c r="K1511" s="73"/>
      <c r="L1511" s="73"/>
      <c r="M1511" s="73"/>
      <c r="N1511" s="73"/>
      <c r="O1511" s="73"/>
      <c r="P1511" s="73"/>
      <c r="Q1511" s="73"/>
      <c r="R1511" s="73"/>
      <c r="S1511" s="73"/>
      <c r="T1511" s="73"/>
      <c r="U1511" s="73"/>
      <c r="V1511" s="73"/>
      <c r="W1511" s="73"/>
      <c r="X1511" s="73"/>
      <c r="Y1511" s="73"/>
      <c r="Z1511" s="73"/>
      <c r="AA1511" s="75"/>
      <c r="AB1511" s="75"/>
      <c r="AC1511" s="55"/>
      <c r="AD1511" s="89"/>
      <c r="AE1511" s="89"/>
      <c r="AF1511" s="89"/>
      <c r="AG1511" s="57"/>
      <c r="AH1511" s="58"/>
      <c r="AI1511" s="39"/>
      <c r="AK1511" s="41"/>
    </row>
    <row r="1512" spans="1:38" ht="21">
      <c r="A1512" s="32" t="s">
        <v>1497</v>
      </c>
      <c r="B1512" s="80"/>
      <c r="C1512" s="33" t="s">
        <v>1594</v>
      </c>
      <c r="D1512" s="80"/>
      <c r="E1512" s="81"/>
      <c r="F1512" s="81"/>
      <c r="G1512" s="81"/>
      <c r="H1512" s="81"/>
      <c r="I1512" s="81"/>
      <c r="J1512" s="81"/>
      <c r="K1512" s="81"/>
      <c r="L1512" s="81"/>
      <c r="M1512" s="81"/>
      <c r="N1512" s="81"/>
      <c r="O1512" s="81"/>
      <c r="P1512" s="81"/>
      <c r="Q1512" s="81"/>
      <c r="R1512" s="81"/>
      <c r="S1512" s="81"/>
      <c r="T1512" s="81"/>
      <c r="U1512" s="81"/>
      <c r="V1512" s="81"/>
      <c r="W1512" s="81"/>
      <c r="X1512" s="81"/>
      <c r="Y1512" s="81"/>
      <c r="Z1512" s="81"/>
      <c r="AA1512" s="83"/>
      <c r="AB1512" s="83"/>
      <c r="AC1512" s="55"/>
      <c r="AD1512" s="89"/>
      <c r="AE1512" s="89"/>
      <c r="AF1512" s="89"/>
      <c r="AG1512" s="91"/>
      <c r="AH1512" s="48"/>
      <c r="AI1512" s="39"/>
      <c r="AK1512" s="41"/>
      <c r="AL1512" s="85"/>
    </row>
    <row r="1513" spans="1:38" ht="40.5">
      <c r="A1513" s="32" t="s">
        <v>1597</v>
      </c>
      <c r="B1513" s="101" t="s">
        <v>1597</v>
      </c>
      <c r="C1513" s="87" t="s">
        <v>2636</v>
      </c>
      <c r="D1513" s="88" t="s">
        <v>739</v>
      </c>
      <c r="E1513" s="73"/>
      <c r="F1513" s="73"/>
      <c r="G1513" s="73"/>
      <c r="H1513" s="73"/>
      <c r="I1513" s="73"/>
      <c r="J1513" s="73"/>
      <c r="K1513" s="73"/>
      <c r="L1513" s="73"/>
      <c r="M1513" s="73"/>
      <c r="N1513" s="73"/>
      <c r="O1513" s="73"/>
      <c r="P1513" s="73"/>
      <c r="Q1513" s="73"/>
      <c r="R1513" s="73"/>
      <c r="S1513" s="73"/>
      <c r="T1513" s="73"/>
      <c r="U1513" s="73"/>
      <c r="V1513" s="73"/>
      <c r="W1513" s="73"/>
      <c r="X1513" s="73"/>
      <c r="Y1513" s="73"/>
      <c r="Z1513" s="73"/>
      <c r="AA1513" s="75"/>
      <c r="AB1513" s="75"/>
      <c r="AC1513" s="55"/>
      <c r="AD1513" s="89"/>
      <c r="AE1513" s="89"/>
      <c r="AF1513" s="89"/>
      <c r="AG1513" s="57"/>
      <c r="AH1513" s="58"/>
      <c r="AI1513" s="152"/>
      <c r="AK1513" s="41"/>
    </row>
    <row r="1514" spans="1:38" ht="53.25">
      <c r="A1514" s="32" t="s">
        <v>1598</v>
      </c>
      <c r="B1514" s="86" t="s">
        <v>1598</v>
      </c>
      <c r="C1514" s="87" t="s">
        <v>2637</v>
      </c>
      <c r="D1514" s="88" t="s">
        <v>739</v>
      </c>
      <c r="E1514" s="73"/>
      <c r="F1514" s="73"/>
      <c r="G1514" s="73"/>
      <c r="H1514" s="73"/>
      <c r="I1514" s="73"/>
      <c r="J1514" s="73"/>
      <c r="K1514" s="73"/>
      <c r="L1514" s="73"/>
      <c r="M1514" s="73"/>
      <c r="N1514" s="73"/>
      <c r="O1514" s="73"/>
      <c r="P1514" s="73"/>
      <c r="Q1514" s="73"/>
      <c r="R1514" s="73"/>
      <c r="S1514" s="73"/>
      <c r="T1514" s="73"/>
      <c r="U1514" s="73"/>
      <c r="V1514" s="73"/>
      <c r="W1514" s="73"/>
      <c r="X1514" s="73"/>
      <c r="Y1514" s="73"/>
      <c r="Z1514" s="73"/>
      <c r="AA1514" s="75"/>
      <c r="AB1514" s="75"/>
      <c r="AC1514" s="55"/>
      <c r="AD1514" s="89"/>
      <c r="AE1514" s="89"/>
      <c r="AF1514" s="89"/>
      <c r="AG1514" s="57"/>
      <c r="AH1514" s="58"/>
      <c r="AI1514" s="152"/>
      <c r="AK1514" s="41"/>
    </row>
    <row r="1515" spans="1:38" ht="40.5">
      <c r="A1515" s="32" t="s">
        <v>1599</v>
      </c>
      <c r="B1515" s="86" t="s">
        <v>1599</v>
      </c>
      <c r="C1515" s="87" t="s">
        <v>2638</v>
      </c>
      <c r="D1515" s="88" t="s">
        <v>739</v>
      </c>
      <c r="E1515" s="73"/>
      <c r="F1515" s="73"/>
      <c r="G1515" s="73"/>
      <c r="H1515" s="73"/>
      <c r="I1515" s="73"/>
      <c r="J1515" s="73"/>
      <c r="K1515" s="73"/>
      <c r="L1515" s="73"/>
      <c r="M1515" s="73"/>
      <c r="N1515" s="73"/>
      <c r="O1515" s="73"/>
      <c r="P1515" s="73"/>
      <c r="Q1515" s="73"/>
      <c r="R1515" s="73"/>
      <c r="S1515" s="73"/>
      <c r="T1515" s="73"/>
      <c r="U1515" s="73"/>
      <c r="V1515" s="73"/>
      <c r="W1515" s="73"/>
      <c r="X1515" s="73"/>
      <c r="Y1515" s="73"/>
      <c r="Z1515" s="73"/>
      <c r="AA1515" s="75"/>
      <c r="AB1515" s="75"/>
      <c r="AC1515" s="55"/>
      <c r="AD1515" s="89"/>
      <c r="AE1515" s="89"/>
      <c r="AF1515" s="89"/>
      <c r="AG1515" s="57"/>
      <c r="AH1515" s="58"/>
      <c r="AI1515" s="152"/>
      <c r="AK1515" s="41"/>
    </row>
    <row r="1516" spans="1:38" ht="53.25">
      <c r="A1516" s="32" t="s">
        <v>1600</v>
      </c>
      <c r="B1516" s="86" t="s">
        <v>1600</v>
      </c>
      <c r="C1516" s="87" t="s">
        <v>2639</v>
      </c>
      <c r="D1516" s="88" t="s">
        <v>739</v>
      </c>
      <c r="E1516" s="73"/>
      <c r="F1516" s="73"/>
      <c r="G1516" s="73"/>
      <c r="H1516" s="73"/>
      <c r="I1516" s="73"/>
      <c r="J1516" s="73"/>
      <c r="K1516" s="73"/>
      <c r="L1516" s="73"/>
      <c r="M1516" s="73"/>
      <c r="N1516" s="73"/>
      <c r="O1516" s="73"/>
      <c r="P1516" s="73"/>
      <c r="Q1516" s="73"/>
      <c r="R1516" s="73"/>
      <c r="S1516" s="73"/>
      <c r="T1516" s="73"/>
      <c r="U1516" s="73"/>
      <c r="V1516" s="73"/>
      <c r="W1516" s="73"/>
      <c r="X1516" s="73"/>
      <c r="Y1516" s="73"/>
      <c r="Z1516" s="73"/>
      <c r="AA1516" s="75"/>
      <c r="AB1516" s="75"/>
      <c r="AC1516" s="55"/>
      <c r="AD1516" s="89"/>
      <c r="AE1516" s="89"/>
      <c r="AF1516" s="89"/>
      <c r="AG1516" s="57"/>
      <c r="AH1516" s="58"/>
      <c r="AI1516" s="152"/>
      <c r="AK1516" s="41"/>
    </row>
    <row r="1517" spans="1:38" ht="40.5">
      <c r="A1517" s="32" t="s">
        <v>1601</v>
      </c>
      <c r="B1517" s="86" t="s">
        <v>1601</v>
      </c>
      <c r="C1517" s="87" t="s">
        <v>2640</v>
      </c>
      <c r="D1517" s="88" t="s">
        <v>1632</v>
      </c>
      <c r="E1517" s="73"/>
      <c r="F1517" s="73"/>
      <c r="G1517" s="73"/>
      <c r="H1517" s="73"/>
      <c r="I1517" s="73"/>
      <c r="J1517" s="73"/>
      <c r="K1517" s="73"/>
      <c r="L1517" s="73"/>
      <c r="M1517" s="73"/>
      <c r="N1517" s="73"/>
      <c r="O1517" s="73"/>
      <c r="P1517" s="73"/>
      <c r="Q1517" s="73"/>
      <c r="R1517" s="73"/>
      <c r="S1517" s="73"/>
      <c r="T1517" s="73"/>
      <c r="U1517" s="73"/>
      <c r="V1517" s="73"/>
      <c r="W1517" s="73"/>
      <c r="X1517" s="73"/>
      <c r="Y1517" s="73"/>
      <c r="Z1517" s="73"/>
      <c r="AA1517" s="75"/>
      <c r="AB1517" s="75"/>
      <c r="AC1517" s="55"/>
      <c r="AD1517" s="89"/>
      <c r="AE1517" s="89"/>
      <c r="AF1517" s="89"/>
      <c r="AG1517" s="57"/>
      <c r="AH1517" s="58"/>
      <c r="AI1517" s="152"/>
      <c r="AK1517" s="41"/>
    </row>
    <row r="1518" spans="1:38" ht="40.5">
      <c r="A1518" s="32" t="s">
        <v>1602</v>
      </c>
      <c r="B1518" s="86" t="s">
        <v>1602</v>
      </c>
      <c r="C1518" s="87" t="s">
        <v>2641</v>
      </c>
      <c r="D1518" s="88" t="s">
        <v>13</v>
      </c>
      <c r="E1518" s="73"/>
      <c r="F1518" s="73"/>
      <c r="G1518" s="73"/>
      <c r="H1518" s="73"/>
      <c r="I1518" s="73"/>
      <c r="J1518" s="73"/>
      <c r="K1518" s="73"/>
      <c r="L1518" s="73"/>
      <c r="M1518" s="73"/>
      <c r="N1518" s="73"/>
      <c r="O1518" s="73"/>
      <c r="P1518" s="73"/>
      <c r="Q1518" s="73"/>
      <c r="R1518" s="73"/>
      <c r="S1518" s="73"/>
      <c r="T1518" s="73"/>
      <c r="U1518" s="73"/>
      <c r="V1518" s="73"/>
      <c r="W1518" s="73"/>
      <c r="X1518" s="73"/>
      <c r="Y1518" s="73"/>
      <c r="Z1518" s="73"/>
      <c r="AA1518" s="75"/>
      <c r="AB1518" s="75"/>
      <c r="AC1518" s="55"/>
      <c r="AD1518" s="89"/>
      <c r="AE1518" s="89"/>
      <c r="AF1518" s="89"/>
      <c r="AG1518" s="57"/>
      <c r="AH1518" s="58"/>
      <c r="AI1518" s="152"/>
      <c r="AK1518" s="41"/>
    </row>
    <row r="1519" spans="1:38" ht="27.75">
      <c r="A1519" s="32" t="s">
        <v>1603</v>
      </c>
      <c r="B1519" s="86" t="s">
        <v>1603</v>
      </c>
      <c r="C1519" s="87" t="s">
        <v>2642</v>
      </c>
      <c r="D1519" s="88" t="s">
        <v>38</v>
      </c>
      <c r="E1519" s="73"/>
      <c r="F1519" s="73"/>
      <c r="G1519" s="73"/>
      <c r="H1519" s="73"/>
      <c r="I1519" s="73"/>
      <c r="J1519" s="73"/>
      <c r="K1519" s="73"/>
      <c r="L1519" s="73"/>
      <c r="M1519" s="73"/>
      <c r="N1519" s="73"/>
      <c r="O1519" s="73"/>
      <c r="P1519" s="73"/>
      <c r="Q1519" s="73"/>
      <c r="R1519" s="73"/>
      <c r="S1519" s="73"/>
      <c r="T1519" s="73"/>
      <c r="U1519" s="73"/>
      <c r="V1519" s="73"/>
      <c r="W1519" s="73"/>
      <c r="X1519" s="73"/>
      <c r="Y1519" s="73"/>
      <c r="Z1519" s="73"/>
      <c r="AA1519" s="75"/>
      <c r="AB1519" s="75"/>
      <c r="AC1519" s="55"/>
      <c r="AD1519" s="89"/>
      <c r="AE1519" s="89"/>
      <c r="AF1519" s="89"/>
      <c r="AG1519" s="57"/>
      <c r="AH1519" s="58"/>
      <c r="AI1519" s="152"/>
      <c r="AK1519" s="41"/>
    </row>
    <row r="1520" spans="1:38" ht="27.75">
      <c r="A1520" s="32" t="s">
        <v>1604</v>
      </c>
      <c r="B1520" s="86" t="s">
        <v>1604</v>
      </c>
      <c r="C1520" s="87" t="s">
        <v>2643</v>
      </c>
      <c r="D1520" s="88" t="s">
        <v>38</v>
      </c>
      <c r="E1520" s="73"/>
      <c r="F1520" s="73"/>
      <c r="G1520" s="73"/>
      <c r="H1520" s="73"/>
      <c r="I1520" s="73"/>
      <c r="J1520" s="73"/>
      <c r="K1520" s="73"/>
      <c r="L1520" s="73"/>
      <c r="M1520" s="73"/>
      <c r="N1520" s="73"/>
      <c r="O1520" s="73"/>
      <c r="P1520" s="73"/>
      <c r="Q1520" s="73"/>
      <c r="R1520" s="73"/>
      <c r="S1520" s="73"/>
      <c r="T1520" s="73"/>
      <c r="U1520" s="73"/>
      <c r="V1520" s="73"/>
      <c r="W1520" s="73"/>
      <c r="X1520" s="73"/>
      <c r="Y1520" s="73"/>
      <c r="Z1520" s="73"/>
      <c r="AA1520" s="75"/>
      <c r="AB1520" s="75"/>
      <c r="AC1520" s="55"/>
      <c r="AD1520" s="89"/>
      <c r="AE1520" s="89"/>
      <c r="AF1520" s="89"/>
      <c r="AG1520" s="57"/>
      <c r="AH1520" s="58"/>
      <c r="AI1520" s="152"/>
      <c r="AK1520" s="41"/>
    </row>
    <row r="1521" spans="1:37" ht="40.5">
      <c r="A1521" s="32" t="s">
        <v>1605</v>
      </c>
      <c r="B1521" s="86" t="s">
        <v>1605</v>
      </c>
      <c r="C1521" s="87" t="s">
        <v>2644</v>
      </c>
      <c r="D1521" s="88" t="s">
        <v>322</v>
      </c>
      <c r="E1521" s="73"/>
      <c r="F1521" s="73"/>
      <c r="G1521" s="73"/>
      <c r="H1521" s="73"/>
      <c r="I1521" s="73"/>
      <c r="J1521" s="73"/>
      <c r="K1521" s="73"/>
      <c r="L1521" s="73"/>
      <c r="M1521" s="73"/>
      <c r="N1521" s="73"/>
      <c r="O1521" s="73"/>
      <c r="P1521" s="73"/>
      <c r="Q1521" s="73"/>
      <c r="R1521" s="73"/>
      <c r="S1521" s="73"/>
      <c r="T1521" s="73"/>
      <c r="U1521" s="73"/>
      <c r="V1521" s="73"/>
      <c r="W1521" s="73"/>
      <c r="X1521" s="73"/>
      <c r="Y1521" s="73"/>
      <c r="Z1521" s="73"/>
      <c r="AA1521" s="75"/>
      <c r="AB1521" s="75"/>
      <c r="AC1521" s="55"/>
      <c r="AD1521" s="89"/>
      <c r="AE1521" s="89"/>
      <c r="AF1521" s="89"/>
      <c r="AG1521" s="57"/>
      <c r="AH1521" s="58"/>
      <c r="AI1521" s="152"/>
      <c r="AK1521" s="41"/>
    </row>
    <row r="1522" spans="1:37" ht="40.5">
      <c r="A1522" s="32" t="s">
        <v>1606</v>
      </c>
      <c r="B1522" s="101" t="s">
        <v>1606</v>
      </c>
      <c r="C1522" s="87" t="s">
        <v>2645</v>
      </c>
      <c r="D1522" s="88" t="s">
        <v>322</v>
      </c>
      <c r="E1522" s="73"/>
      <c r="F1522" s="73"/>
      <c r="G1522" s="73"/>
      <c r="H1522" s="73"/>
      <c r="I1522" s="73"/>
      <c r="J1522" s="73"/>
      <c r="K1522" s="73"/>
      <c r="L1522" s="73"/>
      <c r="M1522" s="73"/>
      <c r="N1522" s="73"/>
      <c r="O1522" s="73"/>
      <c r="P1522" s="73"/>
      <c r="Q1522" s="73"/>
      <c r="R1522" s="73"/>
      <c r="S1522" s="73"/>
      <c r="T1522" s="73"/>
      <c r="U1522" s="73"/>
      <c r="V1522" s="73"/>
      <c r="W1522" s="73"/>
      <c r="X1522" s="73"/>
      <c r="Y1522" s="73"/>
      <c r="Z1522" s="73"/>
      <c r="AA1522" s="75"/>
      <c r="AB1522" s="75"/>
      <c r="AC1522" s="55"/>
      <c r="AD1522" s="89"/>
      <c r="AE1522" s="89"/>
      <c r="AF1522" s="89"/>
      <c r="AG1522" s="57"/>
      <c r="AH1522" s="58"/>
      <c r="AI1522" s="152"/>
      <c r="AK1522" s="41"/>
    </row>
    <row r="1523" spans="1:37" ht="40.5">
      <c r="A1523" s="32" t="s">
        <v>1607</v>
      </c>
      <c r="B1523" s="86" t="s">
        <v>1607</v>
      </c>
      <c r="C1523" s="87" t="s">
        <v>2646</v>
      </c>
      <c r="D1523" s="88" t="s">
        <v>13</v>
      </c>
      <c r="E1523" s="73"/>
      <c r="F1523" s="73"/>
      <c r="G1523" s="73"/>
      <c r="H1523" s="73"/>
      <c r="I1523" s="73"/>
      <c r="J1523" s="73"/>
      <c r="K1523" s="73"/>
      <c r="L1523" s="73"/>
      <c r="M1523" s="73"/>
      <c r="N1523" s="73"/>
      <c r="O1523" s="73"/>
      <c r="P1523" s="73"/>
      <c r="Q1523" s="73"/>
      <c r="R1523" s="73"/>
      <c r="S1523" s="73"/>
      <c r="T1523" s="73"/>
      <c r="U1523" s="73"/>
      <c r="V1523" s="73"/>
      <c r="W1523" s="73"/>
      <c r="X1523" s="73"/>
      <c r="Y1523" s="73"/>
      <c r="Z1523" s="73"/>
      <c r="AA1523" s="75"/>
      <c r="AB1523" s="75"/>
      <c r="AC1523" s="55"/>
      <c r="AD1523" s="89"/>
      <c r="AE1523" s="89"/>
      <c r="AF1523" s="89"/>
      <c r="AG1523" s="57"/>
      <c r="AH1523" s="58"/>
      <c r="AI1523" s="152"/>
      <c r="AK1523" s="41"/>
    </row>
    <row r="1524" spans="1:37" ht="27.75">
      <c r="A1524" s="32" t="s">
        <v>1608</v>
      </c>
      <c r="B1524" s="87">
        <v>18.12</v>
      </c>
      <c r="C1524" s="87" t="s">
        <v>2647</v>
      </c>
      <c r="D1524" s="88"/>
      <c r="E1524" s="73"/>
      <c r="F1524" s="73"/>
      <c r="G1524" s="73"/>
      <c r="H1524" s="73"/>
      <c r="I1524" s="73"/>
      <c r="J1524" s="73"/>
      <c r="K1524" s="73"/>
      <c r="L1524" s="73"/>
      <c r="M1524" s="73"/>
      <c r="N1524" s="73"/>
      <c r="O1524" s="73"/>
      <c r="P1524" s="73"/>
      <c r="Q1524" s="73"/>
      <c r="R1524" s="73"/>
      <c r="S1524" s="73"/>
      <c r="T1524" s="73"/>
      <c r="U1524" s="73"/>
      <c r="V1524" s="73"/>
      <c r="W1524" s="73"/>
      <c r="X1524" s="73"/>
      <c r="Y1524" s="73"/>
      <c r="Z1524" s="73"/>
      <c r="AA1524" s="75"/>
      <c r="AB1524" s="75"/>
      <c r="AC1524" s="55"/>
      <c r="AD1524" s="89"/>
      <c r="AE1524" s="89"/>
      <c r="AF1524" s="89"/>
      <c r="AG1524" s="91"/>
      <c r="AH1524" s="48"/>
      <c r="AI1524" s="39"/>
      <c r="AK1524" s="41"/>
    </row>
    <row r="1525" spans="1:37" ht="21">
      <c r="A1525" s="32" t="s">
        <v>1612</v>
      </c>
      <c r="B1525" s="94" t="s">
        <v>14</v>
      </c>
      <c r="C1525" s="95" t="s">
        <v>406</v>
      </c>
      <c r="D1525" s="88"/>
      <c r="E1525" s="73"/>
      <c r="F1525" s="73"/>
      <c r="G1525" s="73"/>
      <c r="H1525" s="73"/>
      <c r="I1525" s="73"/>
      <c r="J1525" s="73"/>
      <c r="K1525" s="73"/>
      <c r="L1525" s="73"/>
      <c r="M1525" s="73"/>
      <c r="N1525" s="73"/>
      <c r="O1525" s="73"/>
      <c r="P1525" s="73"/>
      <c r="Q1525" s="73"/>
      <c r="R1525" s="73"/>
      <c r="S1525" s="73"/>
      <c r="T1525" s="73"/>
      <c r="U1525" s="73"/>
      <c r="V1525" s="73"/>
      <c r="W1525" s="73"/>
      <c r="X1525" s="73"/>
      <c r="Y1525" s="73"/>
      <c r="Z1525" s="73"/>
      <c r="AA1525" s="75"/>
      <c r="AB1525" s="75"/>
      <c r="AC1525" s="55"/>
      <c r="AD1525" s="89"/>
      <c r="AE1525" s="89"/>
      <c r="AF1525" s="89"/>
      <c r="AG1525" s="91"/>
      <c r="AH1525" s="48"/>
      <c r="AI1525" s="39"/>
      <c r="AK1525" s="41"/>
    </row>
    <row r="1526" spans="1:37" ht="21">
      <c r="A1526" s="32" t="s">
        <v>2062</v>
      </c>
      <c r="B1526" s="92" t="s">
        <v>104</v>
      </c>
      <c r="C1526" s="93" t="s">
        <v>404</v>
      </c>
      <c r="D1526" s="88" t="s">
        <v>739</v>
      </c>
      <c r="E1526" s="73"/>
      <c r="F1526" s="73"/>
      <c r="G1526" s="73"/>
      <c r="H1526" s="73"/>
      <c r="I1526" s="73"/>
      <c r="J1526" s="73"/>
      <c r="K1526" s="73"/>
      <c r="L1526" s="73"/>
      <c r="M1526" s="73"/>
      <c r="N1526" s="73"/>
      <c r="O1526" s="73"/>
      <c r="P1526" s="73"/>
      <c r="Q1526" s="73"/>
      <c r="R1526" s="73"/>
      <c r="S1526" s="73"/>
      <c r="T1526" s="73"/>
      <c r="U1526" s="73"/>
      <c r="V1526" s="73"/>
      <c r="W1526" s="73"/>
      <c r="X1526" s="73"/>
      <c r="Y1526" s="73"/>
      <c r="Z1526" s="73"/>
      <c r="AA1526" s="75"/>
      <c r="AB1526" s="75"/>
      <c r="AC1526" s="55"/>
      <c r="AD1526" s="89"/>
      <c r="AE1526" s="89"/>
      <c r="AF1526" s="89"/>
      <c r="AG1526" s="57"/>
      <c r="AH1526" s="58"/>
      <c r="AI1526" s="39"/>
      <c r="AK1526" s="41"/>
    </row>
    <row r="1527" spans="1:37" ht="21">
      <c r="A1527" s="32" t="s">
        <v>2063</v>
      </c>
      <c r="B1527" s="94" t="s">
        <v>15</v>
      </c>
      <c r="C1527" s="95" t="s">
        <v>408</v>
      </c>
      <c r="D1527" s="88"/>
      <c r="E1527" s="73"/>
      <c r="F1527" s="73"/>
      <c r="G1527" s="73"/>
      <c r="H1527" s="73"/>
      <c r="I1527" s="73"/>
      <c r="J1527" s="73"/>
      <c r="K1527" s="73"/>
      <c r="L1527" s="73"/>
      <c r="M1527" s="73"/>
      <c r="N1527" s="73"/>
      <c r="O1527" s="73"/>
      <c r="P1527" s="73"/>
      <c r="Q1527" s="73"/>
      <c r="R1527" s="73"/>
      <c r="S1527" s="73"/>
      <c r="T1527" s="73"/>
      <c r="U1527" s="73"/>
      <c r="V1527" s="73"/>
      <c r="W1527" s="73"/>
      <c r="X1527" s="73"/>
      <c r="Y1527" s="73"/>
      <c r="Z1527" s="73"/>
      <c r="AA1527" s="75"/>
      <c r="AB1527" s="75"/>
      <c r="AC1527" s="55"/>
      <c r="AD1527" s="89"/>
      <c r="AE1527" s="89"/>
      <c r="AF1527" s="89"/>
      <c r="AG1527" s="91"/>
      <c r="AH1527" s="48"/>
      <c r="AI1527" s="39"/>
      <c r="AK1527" s="41"/>
    </row>
    <row r="1528" spans="1:37" ht="21">
      <c r="A1528" s="32" t="s">
        <v>2064</v>
      </c>
      <c r="B1528" s="92" t="s">
        <v>104</v>
      </c>
      <c r="C1528" s="93" t="s">
        <v>404</v>
      </c>
      <c r="D1528" s="88" t="s">
        <v>739</v>
      </c>
      <c r="E1528" s="73"/>
      <c r="F1528" s="73"/>
      <c r="G1528" s="73"/>
      <c r="H1528" s="73"/>
      <c r="I1528" s="73"/>
      <c r="J1528" s="73"/>
      <c r="K1528" s="73"/>
      <c r="L1528" s="73"/>
      <c r="M1528" s="73"/>
      <c r="N1528" s="73"/>
      <c r="O1528" s="73"/>
      <c r="P1528" s="73"/>
      <c r="Q1528" s="73"/>
      <c r="R1528" s="73"/>
      <c r="S1528" s="73"/>
      <c r="T1528" s="73"/>
      <c r="U1528" s="73"/>
      <c r="V1528" s="73"/>
      <c r="W1528" s="73"/>
      <c r="X1528" s="73"/>
      <c r="Y1528" s="73"/>
      <c r="Z1528" s="73"/>
      <c r="AA1528" s="75"/>
      <c r="AB1528" s="75"/>
      <c r="AC1528" s="55"/>
      <c r="AD1528" s="89"/>
      <c r="AE1528" s="89"/>
      <c r="AF1528" s="89"/>
      <c r="AG1528" s="57"/>
      <c r="AH1528" s="58"/>
      <c r="AI1528" s="39"/>
      <c r="AK1528" s="41"/>
    </row>
    <row r="1529" spans="1:37" ht="21">
      <c r="A1529" s="32" t="s">
        <v>2065</v>
      </c>
      <c r="B1529" s="94" t="s">
        <v>40</v>
      </c>
      <c r="C1529" s="95" t="s">
        <v>410</v>
      </c>
      <c r="D1529" s="88"/>
      <c r="E1529" s="73"/>
      <c r="F1529" s="73"/>
      <c r="G1529" s="73"/>
      <c r="H1529" s="73"/>
      <c r="I1529" s="73"/>
      <c r="J1529" s="73"/>
      <c r="K1529" s="73"/>
      <c r="L1529" s="73"/>
      <c r="M1529" s="73"/>
      <c r="N1529" s="73"/>
      <c r="O1529" s="73"/>
      <c r="P1529" s="73"/>
      <c r="Q1529" s="73"/>
      <c r="R1529" s="73"/>
      <c r="S1529" s="73"/>
      <c r="T1529" s="73"/>
      <c r="U1529" s="73"/>
      <c r="V1529" s="73"/>
      <c r="W1529" s="73"/>
      <c r="X1529" s="73"/>
      <c r="Y1529" s="73"/>
      <c r="Z1529" s="73"/>
      <c r="AA1529" s="75"/>
      <c r="AB1529" s="75"/>
      <c r="AC1529" s="55"/>
      <c r="AD1529" s="89"/>
      <c r="AE1529" s="89"/>
      <c r="AF1529" s="89"/>
      <c r="AG1529" s="91"/>
      <c r="AH1529" s="48"/>
      <c r="AI1529" s="39"/>
      <c r="AK1529" s="41"/>
    </row>
    <row r="1530" spans="1:37" ht="21">
      <c r="A1530" s="32" t="s">
        <v>2066</v>
      </c>
      <c r="B1530" s="92" t="s">
        <v>104</v>
      </c>
      <c r="C1530" s="93" t="s">
        <v>404</v>
      </c>
      <c r="D1530" s="88" t="s">
        <v>739</v>
      </c>
      <c r="E1530" s="73"/>
      <c r="F1530" s="73"/>
      <c r="G1530" s="73"/>
      <c r="H1530" s="73"/>
      <c r="I1530" s="73"/>
      <c r="J1530" s="73"/>
      <c r="K1530" s="73"/>
      <c r="L1530" s="73"/>
      <c r="M1530" s="73"/>
      <c r="N1530" s="73"/>
      <c r="O1530" s="73"/>
      <c r="P1530" s="73"/>
      <c r="Q1530" s="73"/>
      <c r="R1530" s="73"/>
      <c r="S1530" s="73"/>
      <c r="T1530" s="73"/>
      <c r="U1530" s="73"/>
      <c r="V1530" s="73"/>
      <c r="W1530" s="73"/>
      <c r="X1530" s="73"/>
      <c r="Y1530" s="73"/>
      <c r="Z1530" s="73"/>
      <c r="AA1530" s="75"/>
      <c r="AB1530" s="75"/>
      <c r="AC1530" s="55"/>
      <c r="AD1530" s="89"/>
      <c r="AE1530" s="89"/>
      <c r="AF1530" s="89"/>
      <c r="AG1530" s="57"/>
      <c r="AH1530" s="58"/>
      <c r="AI1530" s="39"/>
      <c r="AK1530" s="41"/>
    </row>
    <row r="1531" spans="1:37" ht="21">
      <c r="A1531" s="32" t="s">
        <v>2067</v>
      </c>
      <c r="B1531" s="94" t="s">
        <v>48</v>
      </c>
      <c r="C1531" s="95" t="s">
        <v>650</v>
      </c>
      <c r="D1531" s="88"/>
      <c r="E1531" s="73"/>
      <c r="F1531" s="73"/>
      <c r="G1531" s="73"/>
      <c r="H1531" s="73"/>
      <c r="I1531" s="73"/>
      <c r="J1531" s="73"/>
      <c r="K1531" s="73"/>
      <c r="L1531" s="73"/>
      <c r="M1531" s="73"/>
      <c r="N1531" s="73"/>
      <c r="O1531" s="73"/>
      <c r="P1531" s="73"/>
      <c r="Q1531" s="73"/>
      <c r="R1531" s="73"/>
      <c r="S1531" s="73"/>
      <c r="T1531" s="73"/>
      <c r="U1531" s="73"/>
      <c r="V1531" s="73"/>
      <c r="W1531" s="73"/>
      <c r="X1531" s="73"/>
      <c r="Y1531" s="73"/>
      <c r="Z1531" s="73"/>
      <c r="AA1531" s="75"/>
      <c r="AB1531" s="75"/>
      <c r="AC1531" s="55"/>
      <c r="AD1531" s="89"/>
      <c r="AE1531" s="89"/>
      <c r="AF1531" s="89"/>
      <c r="AG1531" s="91"/>
      <c r="AH1531" s="48"/>
      <c r="AI1531" s="39"/>
      <c r="AK1531" s="41"/>
    </row>
    <row r="1532" spans="1:37" ht="21">
      <c r="A1532" s="32" t="s">
        <v>2068</v>
      </c>
      <c r="B1532" s="92" t="s">
        <v>104</v>
      </c>
      <c r="C1532" s="93" t="s">
        <v>404</v>
      </c>
      <c r="D1532" s="88" t="s">
        <v>739</v>
      </c>
      <c r="E1532" s="73"/>
      <c r="F1532" s="73"/>
      <c r="G1532" s="73"/>
      <c r="H1532" s="73"/>
      <c r="I1532" s="73"/>
      <c r="J1532" s="73"/>
      <c r="K1532" s="73"/>
      <c r="L1532" s="73"/>
      <c r="M1532" s="73"/>
      <c r="N1532" s="73"/>
      <c r="O1532" s="73"/>
      <c r="P1532" s="73"/>
      <c r="Q1532" s="73"/>
      <c r="R1532" s="73"/>
      <c r="S1532" s="73"/>
      <c r="T1532" s="73"/>
      <c r="U1532" s="73"/>
      <c r="V1532" s="73"/>
      <c r="W1532" s="73"/>
      <c r="X1532" s="73"/>
      <c r="Y1532" s="73"/>
      <c r="Z1532" s="73"/>
      <c r="AA1532" s="75"/>
      <c r="AB1532" s="75"/>
      <c r="AC1532" s="55"/>
      <c r="AD1532" s="89"/>
      <c r="AE1532" s="89"/>
      <c r="AF1532" s="89"/>
      <c r="AG1532" s="57"/>
      <c r="AH1532" s="58"/>
      <c r="AI1532" s="39"/>
      <c r="AK1532" s="41"/>
    </row>
    <row r="1533" spans="1:37" ht="21">
      <c r="A1533" s="32" t="s">
        <v>2069</v>
      </c>
      <c r="B1533" s="94" t="s">
        <v>55</v>
      </c>
      <c r="C1533" s="95" t="s">
        <v>413</v>
      </c>
      <c r="D1533" s="88"/>
      <c r="E1533" s="73"/>
      <c r="F1533" s="73"/>
      <c r="G1533" s="73"/>
      <c r="H1533" s="73"/>
      <c r="I1533" s="73"/>
      <c r="J1533" s="73"/>
      <c r="K1533" s="73"/>
      <c r="L1533" s="73"/>
      <c r="M1533" s="73"/>
      <c r="N1533" s="73"/>
      <c r="O1533" s="73"/>
      <c r="P1533" s="73"/>
      <c r="Q1533" s="73"/>
      <c r="R1533" s="73"/>
      <c r="S1533" s="73"/>
      <c r="T1533" s="73"/>
      <c r="U1533" s="73"/>
      <c r="V1533" s="73"/>
      <c r="W1533" s="73"/>
      <c r="X1533" s="73"/>
      <c r="Y1533" s="73"/>
      <c r="Z1533" s="73"/>
      <c r="AA1533" s="75"/>
      <c r="AB1533" s="75"/>
      <c r="AC1533" s="55"/>
      <c r="AD1533" s="89"/>
      <c r="AE1533" s="89"/>
      <c r="AF1533" s="89"/>
      <c r="AG1533" s="91"/>
      <c r="AH1533" s="48"/>
      <c r="AI1533" s="39"/>
      <c r="AK1533" s="41"/>
    </row>
    <row r="1534" spans="1:37" ht="21">
      <c r="A1534" s="32" t="s">
        <v>2070</v>
      </c>
      <c r="B1534" s="92" t="s">
        <v>104</v>
      </c>
      <c r="C1534" s="93" t="s">
        <v>404</v>
      </c>
      <c r="D1534" s="88" t="s">
        <v>739</v>
      </c>
      <c r="E1534" s="73"/>
      <c r="F1534" s="73"/>
      <c r="G1534" s="73"/>
      <c r="H1534" s="73"/>
      <c r="I1534" s="73"/>
      <c r="J1534" s="73"/>
      <c r="K1534" s="73"/>
      <c r="L1534" s="73"/>
      <c r="M1534" s="73"/>
      <c r="N1534" s="73"/>
      <c r="O1534" s="73"/>
      <c r="P1534" s="73"/>
      <c r="Q1534" s="73"/>
      <c r="R1534" s="73"/>
      <c r="S1534" s="73"/>
      <c r="T1534" s="73"/>
      <c r="U1534" s="73"/>
      <c r="V1534" s="73"/>
      <c r="W1534" s="73"/>
      <c r="X1534" s="73"/>
      <c r="Y1534" s="73"/>
      <c r="Z1534" s="73"/>
      <c r="AA1534" s="75"/>
      <c r="AB1534" s="75"/>
      <c r="AC1534" s="55"/>
      <c r="AD1534" s="89"/>
      <c r="AE1534" s="89"/>
      <c r="AF1534" s="89"/>
      <c r="AG1534" s="57"/>
      <c r="AH1534" s="58"/>
      <c r="AI1534" s="39"/>
      <c r="AK1534" s="41"/>
    </row>
    <row r="1535" spans="1:37" ht="21">
      <c r="A1535" s="32" t="s">
        <v>2071</v>
      </c>
      <c r="B1535" s="94" t="s">
        <v>57</v>
      </c>
      <c r="C1535" s="95" t="s">
        <v>480</v>
      </c>
      <c r="D1535" s="88"/>
      <c r="E1535" s="73"/>
      <c r="F1535" s="73"/>
      <c r="G1535" s="73"/>
      <c r="H1535" s="73"/>
      <c r="I1535" s="73"/>
      <c r="J1535" s="73"/>
      <c r="K1535" s="73"/>
      <c r="L1535" s="73"/>
      <c r="M1535" s="73"/>
      <c r="N1535" s="73"/>
      <c r="O1535" s="73"/>
      <c r="P1535" s="73"/>
      <c r="Q1535" s="73"/>
      <c r="R1535" s="73"/>
      <c r="S1535" s="73"/>
      <c r="T1535" s="73"/>
      <c r="U1535" s="73"/>
      <c r="V1535" s="73"/>
      <c r="W1535" s="73"/>
      <c r="X1535" s="73"/>
      <c r="Y1535" s="73"/>
      <c r="Z1535" s="73"/>
      <c r="AA1535" s="75"/>
      <c r="AB1535" s="75"/>
      <c r="AC1535" s="55"/>
      <c r="AD1535" s="89"/>
      <c r="AE1535" s="89"/>
      <c r="AF1535" s="89"/>
      <c r="AG1535" s="91"/>
      <c r="AH1535" s="48"/>
      <c r="AI1535" s="39"/>
      <c r="AK1535" s="41"/>
    </row>
    <row r="1536" spans="1:37" ht="21">
      <c r="A1536" s="32" t="s">
        <v>2072</v>
      </c>
      <c r="B1536" s="92" t="s">
        <v>104</v>
      </c>
      <c r="C1536" s="93" t="s">
        <v>404</v>
      </c>
      <c r="D1536" s="88" t="s">
        <v>739</v>
      </c>
      <c r="E1536" s="73"/>
      <c r="F1536" s="73"/>
      <c r="G1536" s="73"/>
      <c r="H1536" s="73"/>
      <c r="I1536" s="73"/>
      <c r="J1536" s="73"/>
      <c r="K1536" s="73"/>
      <c r="L1536" s="73"/>
      <c r="M1536" s="73"/>
      <c r="N1536" s="73"/>
      <c r="O1536" s="73"/>
      <c r="P1536" s="73"/>
      <c r="Q1536" s="73"/>
      <c r="R1536" s="73"/>
      <c r="S1536" s="73"/>
      <c r="T1536" s="73"/>
      <c r="U1536" s="73"/>
      <c r="V1536" s="73"/>
      <c r="W1536" s="73"/>
      <c r="X1536" s="73"/>
      <c r="Y1536" s="73"/>
      <c r="Z1536" s="73"/>
      <c r="AA1536" s="75"/>
      <c r="AB1536" s="75"/>
      <c r="AC1536" s="55"/>
      <c r="AD1536" s="89"/>
      <c r="AE1536" s="89"/>
      <c r="AF1536" s="89"/>
      <c r="AG1536" s="57"/>
      <c r="AH1536" s="58"/>
      <c r="AI1536" s="39"/>
      <c r="AK1536" s="41"/>
    </row>
    <row r="1537" spans="1:39" ht="21">
      <c r="A1537" s="32" t="s">
        <v>2073</v>
      </c>
      <c r="B1537" s="94" t="s">
        <v>360</v>
      </c>
      <c r="C1537" s="95" t="s">
        <v>652</v>
      </c>
      <c r="D1537" s="88"/>
      <c r="E1537" s="73"/>
      <c r="F1537" s="73"/>
      <c r="G1537" s="73"/>
      <c r="H1537" s="73"/>
      <c r="I1537" s="73"/>
      <c r="J1537" s="73"/>
      <c r="K1537" s="73"/>
      <c r="L1537" s="73"/>
      <c r="M1537" s="73"/>
      <c r="N1537" s="73"/>
      <c r="O1537" s="73"/>
      <c r="P1537" s="73"/>
      <c r="Q1537" s="73"/>
      <c r="R1537" s="73"/>
      <c r="S1537" s="73"/>
      <c r="T1537" s="73"/>
      <c r="U1537" s="73"/>
      <c r="V1537" s="73"/>
      <c r="W1537" s="73"/>
      <c r="X1537" s="73"/>
      <c r="Y1537" s="73"/>
      <c r="Z1537" s="73"/>
      <c r="AA1537" s="75"/>
      <c r="AB1537" s="75"/>
      <c r="AC1537" s="55"/>
      <c r="AD1537" s="89"/>
      <c r="AE1537" s="89"/>
      <c r="AF1537" s="89"/>
      <c r="AG1537" s="91"/>
      <c r="AH1537" s="48"/>
      <c r="AI1537" s="39"/>
      <c r="AK1537" s="41"/>
    </row>
    <row r="1538" spans="1:39" ht="21">
      <c r="A1538" s="32" t="s">
        <v>2074</v>
      </c>
      <c r="B1538" s="92" t="s">
        <v>104</v>
      </c>
      <c r="C1538" s="93" t="s">
        <v>404</v>
      </c>
      <c r="D1538" s="88" t="s">
        <v>739</v>
      </c>
      <c r="E1538" s="73"/>
      <c r="F1538" s="73"/>
      <c r="G1538" s="73"/>
      <c r="H1538" s="73"/>
      <c r="I1538" s="73"/>
      <c r="J1538" s="73"/>
      <c r="K1538" s="73"/>
      <c r="L1538" s="73"/>
      <c r="M1538" s="73"/>
      <c r="N1538" s="73"/>
      <c r="O1538" s="73"/>
      <c r="P1538" s="73"/>
      <c r="Q1538" s="73"/>
      <c r="R1538" s="73"/>
      <c r="S1538" s="73"/>
      <c r="T1538" s="73"/>
      <c r="U1538" s="73"/>
      <c r="V1538" s="73"/>
      <c r="W1538" s="73"/>
      <c r="X1538" s="73"/>
      <c r="Y1538" s="73"/>
      <c r="Z1538" s="73"/>
      <c r="AA1538" s="75"/>
      <c r="AB1538" s="75"/>
      <c r="AC1538" s="55"/>
      <c r="AD1538" s="89"/>
      <c r="AE1538" s="89"/>
      <c r="AF1538" s="89"/>
      <c r="AG1538" s="57"/>
      <c r="AH1538" s="58"/>
      <c r="AI1538" s="39"/>
      <c r="AK1538" s="41"/>
    </row>
    <row r="1539" spans="1:39" ht="21">
      <c r="A1539" s="32" t="s">
        <v>2075</v>
      </c>
      <c r="B1539" s="94" t="s">
        <v>365</v>
      </c>
      <c r="C1539" s="95" t="s">
        <v>740</v>
      </c>
      <c r="D1539" s="88"/>
      <c r="E1539" s="73"/>
      <c r="F1539" s="73"/>
      <c r="G1539" s="73"/>
      <c r="H1539" s="73"/>
      <c r="I1539" s="73"/>
      <c r="J1539" s="73"/>
      <c r="K1539" s="73"/>
      <c r="L1539" s="73"/>
      <c r="M1539" s="73"/>
      <c r="N1539" s="73"/>
      <c r="O1539" s="73"/>
      <c r="P1539" s="73"/>
      <c r="Q1539" s="73"/>
      <c r="R1539" s="73"/>
      <c r="S1539" s="73"/>
      <c r="T1539" s="73"/>
      <c r="U1539" s="73"/>
      <c r="V1539" s="73"/>
      <c r="W1539" s="73"/>
      <c r="X1539" s="73"/>
      <c r="Y1539" s="73"/>
      <c r="Z1539" s="73"/>
      <c r="AA1539" s="75"/>
      <c r="AB1539" s="75"/>
      <c r="AC1539" s="55"/>
      <c r="AD1539" s="89"/>
      <c r="AE1539" s="89"/>
      <c r="AF1539" s="89"/>
      <c r="AG1539" s="91"/>
      <c r="AH1539" s="48"/>
      <c r="AI1539" s="39"/>
      <c r="AK1539" s="41"/>
    </row>
    <row r="1540" spans="1:39" ht="21">
      <c r="A1540" s="32" t="s">
        <v>2076</v>
      </c>
      <c r="B1540" s="92" t="s">
        <v>104</v>
      </c>
      <c r="C1540" s="93" t="s">
        <v>404</v>
      </c>
      <c r="D1540" s="88" t="s">
        <v>739</v>
      </c>
      <c r="E1540" s="73"/>
      <c r="F1540" s="73"/>
      <c r="G1540" s="73"/>
      <c r="H1540" s="73"/>
      <c r="I1540" s="73"/>
      <c r="J1540" s="73"/>
      <c r="K1540" s="73"/>
      <c r="L1540" s="73"/>
      <c r="M1540" s="73"/>
      <c r="N1540" s="73"/>
      <c r="O1540" s="73"/>
      <c r="P1540" s="73"/>
      <c r="Q1540" s="73"/>
      <c r="R1540" s="73"/>
      <c r="S1540" s="73"/>
      <c r="T1540" s="73"/>
      <c r="U1540" s="73"/>
      <c r="V1540" s="73"/>
      <c r="W1540" s="73"/>
      <c r="X1540" s="73"/>
      <c r="Y1540" s="73"/>
      <c r="Z1540" s="73"/>
      <c r="AA1540" s="75"/>
      <c r="AB1540" s="75"/>
      <c r="AC1540" s="55"/>
      <c r="AD1540" s="89"/>
      <c r="AE1540" s="89"/>
      <c r="AF1540" s="89"/>
      <c r="AG1540" s="57"/>
      <c r="AH1540" s="58"/>
      <c r="AI1540" s="39"/>
      <c r="AK1540" s="41"/>
    </row>
    <row r="1541" spans="1:39" ht="21">
      <c r="A1541" s="32" t="s">
        <v>2077</v>
      </c>
      <c r="B1541" s="94" t="s">
        <v>35</v>
      </c>
      <c r="C1541" s="95" t="s">
        <v>741</v>
      </c>
      <c r="D1541" s="88"/>
      <c r="E1541" s="73"/>
      <c r="F1541" s="73"/>
      <c r="G1541" s="73"/>
      <c r="H1541" s="73"/>
      <c r="I1541" s="73"/>
      <c r="J1541" s="73"/>
      <c r="K1541" s="73"/>
      <c r="L1541" s="73"/>
      <c r="M1541" s="73"/>
      <c r="N1541" s="73"/>
      <c r="O1541" s="73"/>
      <c r="P1541" s="73"/>
      <c r="Q1541" s="73"/>
      <c r="R1541" s="73"/>
      <c r="S1541" s="73"/>
      <c r="T1541" s="73"/>
      <c r="U1541" s="73"/>
      <c r="V1541" s="73"/>
      <c r="W1541" s="73"/>
      <c r="X1541" s="73"/>
      <c r="Y1541" s="73"/>
      <c r="Z1541" s="73"/>
      <c r="AA1541" s="75"/>
      <c r="AB1541" s="75"/>
      <c r="AC1541" s="55"/>
      <c r="AD1541" s="89"/>
      <c r="AE1541" s="89"/>
      <c r="AF1541" s="89"/>
      <c r="AG1541" s="91"/>
      <c r="AH1541" s="48"/>
      <c r="AI1541" s="39"/>
      <c r="AK1541" s="41"/>
    </row>
    <row r="1542" spans="1:39" ht="21">
      <c r="A1542" s="32" t="s">
        <v>2078</v>
      </c>
      <c r="B1542" s="92" t="s">
        <v>104</v>
      </c>
      <c r="C1542" s="93" t="s">
        <v>404</v>
      </c>
      <c r="D1542" s="88" t="s">
        <v>739</v>
      </c>
      <c r="E1542" s="73"/>
      <c r="F1542" s="73"/>
      <c r="G1542" s="73"/>
      <c r="H1542" s="73"/>
      <c r="I1542" s="73"/>
      <c r="J1542" s="73"/>
      <c r="K1542" s="73"/>
      <c r="L1542" s="73"/>
      <c r="M1542" s="73"/>
      <c r="N1542" s="73"/>
      <c r="O1542" s="73"/>
      <c r="P1542" s="73"/>
      <c r="Q1542" s="73"/>
      <c r="R1542" s="73"/>
      <c r="S1542" s="73"/>
      <c r="T1542" s="73"/>
      <c r="U1542" s="73"/>
      <c r="V1542" s="73"/>
      <c r="W1542" s="73"/>
      <c r="X1542" s="73"/>
      <c r="Y1542" s="73"/>
      <c r="Z1542" s="73"/>
      <c r="AA1542" s="75"/>
      <c r="AB1542" s="75"/>
      <c r="AC1542" s="55"/>
      <c r="AD1542" s="89"/>
      <c r="AE1542" s="89"/>
      <c r="AF1542" s="89"/>
      <c r="AG1542" s="57"/>
      <c r="AH1542" s="58"/>
      <c r="AI1542" s="39"/>
      <c r="AK1542" s="41"/>
    </row>
    <row r="1543" spans="1:39" ht="21">
      <c r="A1543" s="32" t="s">
        <v>2079</v>
      </c>
      <c r="B1543" s="94" t="s">
        <v>479</v>
      </c>
      <c r="C1543" s="95" t="s">
        <v>742</v>
      </c>
      <c r="D1543" s="88"/>
      <c r="E1543" s="73"/>
      <c r="F1543" s="73"/>
      <c r="G1543" s="73"/>
      <c r="H1543" s="73"/>
      <c r="I1543" s="73"/>
      <c r="J1543" s="73"/>
      <c r="K1543" s="73"/>
      <c r="L1543" s="73"/>
      <c r="M1543" s="73"/>
      <c r="N1543" s="73"/>
      <c r="O1543" s="73"/>
      <c r="P1543" s="73"/>
      <c r="Q1543" s="73"/>
      <c r="R1543" s="73"/>
      <c r="S1543" s="73"/>
      <c r="T1543" s="73"/>
      <c r="U1543" s="73"/>
      <c r="V1543" s="73"/>
      <c r="W1543" s="73"/>
      <c r="X1543" s="73"/>
      <c r="Y1543" s="73"/>
      <c r="Z1543" s="73"/>
      <c r="AA1543" s="75"/>
      <c r="AB1543" s="75"/>
      <c r="AC1543" s="55"/>
      <c r="AD1543" s="89"/>
      <c r="AE1543" s="89"/>
      <c r="AF1543" s="89"/>
      <c r="AG1543" s="91"/>
      <c r="AH1543" s="48"/>
      <c r="AI1543" s="39"/>
      <c r="AK1543" s="41"/>
    </row>
    <row r="1544" spans="1:39" ht="21">
      <c r="A1544" s="32" t="s">
        <v>2080</v>
      </c>
      <c r="B1544" s="92" t="s">
        <v>104</v>
      </c>
      <c r="C1544" s="93" t="s">
        <v>404</v>
      </c>
      <c r="D1544" s="88" t="s">
        <v>739</v>
      </c>
      <c r="E1544" s="73"/>
      <c r="F1544" s="73"/>
      <c r="G1544" s="73"/>
      <c r="H1544" s="73"/>
      <c r="I1544" s="73"/>
      <c r="J1544" s="73"/>
      <c r="K1544" s="73"/>
      <c r="L1544" s="73"/>
      <c r="M1544" s="73"/>
      <c r="N1544" s="73"/>
      <c r="O1544" s="73"/>
      <c r="P1544" s="73"/>
      <c r="Q1544" s="73"/>
      <c r="R1544" s="73"/>
      <c r="S1544" s="73"/>
      <c r="T1544" s="73"/>
      <c r="U1544" s="73"/>
      <c r="V1544" s="73"/>
      <c r="W1544" s="73"/>
      <c r="X1544" s="73"/>
      <c r="Y1544" s="73"/>
      <c r="Z1544" s="73"/>
      <c r="AA1544" s="75"/>
      <c r="AB1544" s="75"/>
      <c r="AC1544" s="55"/>
      <c r="AD1544" s="89"/>
      <c r="AE1544" s="89"/>
      <c r="AF1544" s="89"/>
      <c r="AG1544" s="57"/>
      <c r="AH1544" s="58"/>
      <c r="AI1544" s="39"/>
      <c r="AK1544" s="41"/>
    </row>
    <row r="1545" spans="1:39" ht="27.75">
      <c r="A1545" s="32" t="s">
        <v>1609</v>
      </c>
      <c r="B1545" s="86">
        <v>18.13</v>
      </c>
      <c r="C1545" s="87" t="s">
        <v>2648</v>
      </c>
      <c r="D1545" s="88" t="s">
        <v>13</v>
      </c>
      <c r="E1545" s="73"/>
      <c r="F1545" s="73"/>
      <c r="G1545" s="73"/>
      <c r="H1545" s="73"/>
      <c r="I1545" s="73"/>
      <c r="J1545" s="73"/>
      <c r="K1545" s="73"/>
      <c r="L1545" s="73"/>
      <c r="M1545" s="73"/>
      <c r="N1545" s="73"/>
      <c r="O1545" s="73"/>
      <c r="P1545" s="73"/>
      <c r="Q1545" s="73"/>
      <c r="R1545" s="73"/>
      <c r="S1545" s="73"/>
      <c r="T1545" s="73"/>
      <c r="U1545" s="73"/>
      <c r="V1545" s="73"/>
      <c r="W1545" s="73"/>
      <c r="X1545" s="73"/>
      <c r="Y1545" s="73"/>
      <c r="Z1545" s="73"/>
      <c r="AA1545" s="75"/>
      <c r="AB1545" s="75"/>
      <c r="AC1545" s="55"/>
      <c r="AD1545" s="89"/>
      <c r="AE1545" s="89"/>
      <c r="AF1545" s="89"/>
      <c r="AG1545" s="57"/>
      <c r="AH1545" s="58"/>
      <c r="AI1545" s="39"/>
      <c r="AK1545" s="41"/>
    </row>
    <row r="1546" spans="1:39" s="208" customFormat="1" ht="53.25">
      <c r="A1546" s="195"/>
      <c r="B1546" s="196">
        <v>18.14</v>
      </c>
      <c r="C1546" s="197" t="s">
        <v>2716</v>
      </c>
      <c r="D1546" s="198" t="s">
        <v>204</v>
      </c>
      <c r="E1546" s="199"/>
      <c r="F1546" s="199"/>
      <c r="G1546" s="199"/>
      <c r="H1546" s="199"/>
      <c r="I1546" s="199"/>
      <c r="J1546" s="199"/>
      <c r="K1546" s="199"/>
      <c r="L1546" s="199"/>
      <c r="M1546" s="199"/>
      <c r="N1546" s="199"/>
      <c r="O1546" s="199"/>
      <c r="P1546" s="199"/>
      <c r="Q1546" s="199"/>
      <c r="R1546" s="199"/>
      <c r="S1546" s="199"/>
      <c r="T1546" s="199"/>
      <c r="U1546" s="199"/>
      <c r="V1546" s="199"/>
      <c r="W1546" s="199"/>
      <c r="X1546" s="199"/>
      <c r="Y1546" s="199"/>
      <c r="Z1546" s="199"/>
      <c r="AA1546" s="199"/>
      <c r="AB1546" s="199"/>
      <c r="AC1546" s="200"/>
      <c r="AD1546" s="201"/>
      <c r="AE1546" s="201"/>
      <c r="AF1546" s="201"/>
      <c r="AG1546" s="202"/>
      <c r="AH1546" s="203"/>
      <c r="AI1546" s="204"/>
      <c r="AJ1546" s="205"/>
      <c r="AK1546" s="206"/>
      <c r="AL1546" s="207"/>
    </row>
    <row r="1547" spans="1:39" s="208" customFormat="1" ht="40.5">
      <c r="A1547" s="195"/>
      <c r="B1547" s="196">
        <v>18.149999999999999</v>
      </c>
      <c r="C1547" s="197" t="s">
        <v>2717</v>
      </c>
      <c r="D1547" s="198" t="s">
        <v>204</v>
      </c>
      <c r="E1547" s="199"/>
      <c r="F1547" s="199"/>
      <c r="G1547" s="199"/>
      <c r="H1547" s="199"/>
      <c r="I1547" s="199"/>
      <c r="J1547" s="199"/>
      <c r="K1547" s="199"/>
      <c r="L1547" s="199"/>
      <c r="M1547" s="199"/>
      <c r="N1547" s="199"/>
      <c r="O1547" s="199"/>
      <c r="P1547" s="199"/>
      <c r="Q1547" s="199"/>
      <c r="R1547" s="199"/>
      <c r="S1547" s="199"/>
      <c r="T1547" s="199"/>
      <c r="U1547" s="199"/>
      <c r="V1547" s="199"/>
      <c r="W1547" s="199"/>
      <c r="X1547" s="199"/>
      <c r="Y1547" s="199"/>
      <c r="Z1547" s="199"/>
      <c r="AA1547" s="199"/>
      <c r="AB1547" s="199"/>
      <c r="AC1547" s="200"/>
      <c r="AD1547" s="201"/>
      <c r="AE1547" s="201"/>
      <c r="AF1547" s="201"/>
      <c r="AG1547" s="202"/>
      <c r="AH1547" s="203"/>
      <c r="AI1547" s="204"/>
      <c r="AJ1547" s="205"/>
      <c r="AK1547" s="206"/>
      <c r="AL1547" s="207"/>
    </row>
    <row r="1548" spans="1:39" s="208" customFormat="1" ht="25.5">
      <c r="A1548" s="195"/>
      <c r="B1548" s="196">
        <v>18.16</v>
      </c>
      <c r="C1548" s="197" t="s">
        <v>2718</v>
      </c>
      <c r="D1548" s="198" t="s">
        <v>2719</v>
      </c>
      <c r="E1548" s="199"/>
      <c r="F1548" s="199"/>
      <c r="G1548" s="199"/>
      <c r="H1548" s="199"/>
      <c r="I1548" s="199"/>
      <c r="J1548" s="199"/>
      <c r="K1548" s="199"/>
      <c r="L1548" s="199"/>
      <c r="M1548" s="199"/>
      <c r="N1548" s="199"/>
      <c r="O1548" s="199"/>
      <c r="P1548" s="199"/>
      <c r="Q1548" s="199"/>
      <c r="R1548" s="199"/>
      <c r="S1548" s="199"/>
      <c r="T1548" s="199"/>
      <c r="U1548" s="199"/>
      <c r="V1548" s="199"/>
      <c r="W1548" s="199"/>
      <c r="X1548" s="199"/>
      <c r="Y1548" s="199"/>
      <c r="Z1548" s="199"/>
      <c r="AA1548" s="199"/>
      <c r="AB1548" s="199"/>
      <c r="AC1548" s="200"/>
      <c r="AD1548" s="201"/>
      <c r="AE1548" s="201"/>
      <c r="AF1548" s="201"/>
      <c r="AG1548" s="202"/>
      <c r="AH1548" s="203"/>
      <c r="AI1548" s="204"/>
      <c r="AJ1548" s="205"/>
      <c r="AK1548" s="206"/>
    </row>
    <row r="1549" spans="1:39" s="208" customFormat="1" ht="25.5">
      <c r="A1549" s="195"/>
      <c r="B1549" s="196">
        <v>18.170000000000002</v>
      </c>
      <c r="C1549" s="197" t="s">
        <v>2720</v>
      </c>
      <c r="D1549" s="198" t="s">
        <v>2719</v>
      </c>
      <c r="E1549" s="199"/>
      <c r="F1549" s="199"/>
      <c r="G1549" s="199"/>
      <c r="H1549" s="199"/>
      <c r="I1549" s="199"/>
      <c r="J1549" s="199"/>
      <c r="K1549" s="199"/>
      <c r="L1549" s="199"/>
      <c r="M1549" s="199"/>
      <c r="N1549" s="199"/>
      <c r="O1549" s="199"/>
      <c r="P1549" s="199"/>
      <c r="Q1549" s="199"/>
      <c r="R1549" s="199"/>
      <c r="S1549" s="199"/>
      <c r="T1549" s="199"/>
      <c r="U1549" s="199"/>
      <c r="V1549" s="199"/>
      <c r="W1549" s="199"/>
      <c r="X1549" s="199"/>
      <c r="Y1549" s="199"/>
      <c r="Z1549" s="199"/>
      <c r="AA1549" s="199"/>
      <c r="AB1549" s="199"/>
      <c r="AC1549" s="200"/>
      <c r="AD1549" s="201"/>
      <c r="AE1549" s="201"/>
      <c r="AF1549" s="201"/>
      <c r="AG1549" s="202"/>
      <c r="AH1549" s="203"/>
      <c r="AI1549" s="204"/>
      <c r="AJ1549" s="205"/>
      <c r="AK1549" s="206"/>
    </row>
    <row r="1550" spans="1:39" s="208" customFormat="1" ht="27.75">
      <c r="A1550" s="195"/>
      <c r="B1550" s="196">
        <v>18.18</v>
      </c>
      <c r="C1550" s="197" t="s">
        <v>2721</v>
      </c>
      <c r="D1550" s="198" t="s">
        <v>2719</v>
      </c>
      <c r="E1550" s="199"/>
      <c r="F1550" s="199"/>
      <c r="G1550" s="199"/>
      <c r="H1550" s="199"/>
      <c r="I1550" s="199"/>
      <c r="J1550" s="199"/>
      <c r="K1550" s="199"/>
      <c r="L1550" s="199"/>
      <c r="M1550" s="199"/>
      <c r="N1550" s="199"/>
      <c r="O1550" s="199"/>
      <c r="P1550" s="199"/>
      <c r="Q1550" s="199"/>
      <c r="R1550" s="199"/>
      <c r="S1550" s="199"/>
      <c r="T1550" s="199"/>
      <c r="U1550" s="199"/>
      <c r="V1550" s="199"/>
      <c r="W1550" s="199"/>
      <c r="X1550" s="199"/>
      <c r="Y1550" s="199"/>
      <c r="Z1550" s="199"/>
      <c r="AA1550" s="199"/>
      <c r="AB1550" s="199"/>
      <c r="AC1550" s="200"/>
      <c r="AD1550" s="201"/>
      <c r="AE1550" s="201"/>
      <c r="AF1550" s="201"/>
      <c r="AG1550" s="202"/>
      <c r="AH1550" s="203"/>
      <c r="AI1550" s="204"/>
      <c r="AJ1550" s="205"/>
      <c r="AK1550" s="206"/>
      <c r="AL1550" s="207"/>
    </row>
    <row r="1551" spans="1:39" ht="21">
      <c r="A1551" s="32" t="s">
        <v>1610</v>
      </c>
      <c r="B1551" s="80"/>
      <c r="C1551" s="33" t="s">
        <v>1611</v>
      </c>
      <c r="D1551" s="80"/>
      <c r="E1551" s="81"/>
      <c r="F1551" s="81"/>
      <c r="G1551" s="81"/>
      <c r="H1551" s="81"/>
      <c r="I1551" s="81"/>
      <c r="J1551" s="81"/>
      <c r="K1551" s="81"/>
      <c r="L1551" s="81"/>
      <c r="M1551" s="81"/>
      <c r="N1551" s="81"/>
      <c r="O1551" s="81"/>
      <c r="P1551" s="81"/>
      <c r="Q1551" s="81"/>
      <c r="R1551" s="81"/>
      <c r="S1551" s="81"/>
      <c r="T1551" s="81"/>
      <c r="U1551" s="81"/>
      <c r="V1551" s="81"/>
      <c r="W1551" s="81"/>
      <c r="X1551" s="81"/>
      <c r="Y1551" s="81"/>
      <c r="Z1551" s="81"/>
      <c r="AA1551" s="83"/>
      <c r="AB1551" s="83"/>
      <c r="AC1551" s="55"/>
      <c r="AD1551" s="89"/>
      <c r="AE1551" s="89"/>
      <c r="AF1551" s="89"/>
      <c r="AG1551" s="91"/>
      <c r="AH1551" s="48"/>
      <c r="AI1551" s="39"/>
      <c r="AK1551" s="41"/>
      <c r="AL1551" s="132"/>
    </row>
    <row r="1552" spans="1:39" ht="21">
      <c r="A1552" s="32" t="s">
        <v>1613</v>
      </c>
      <c r="B1552" s="59">
        <v>19.010000000000002</v>
      </c>
      <c r="C1552" s="60" t="s">
        <v>2649</v>
      </c>
      <c r="D1552" s="52"/>
      <c r="E1552" s="73"/>
      <c r="F1552" s="73"/>
      <c r="G1552" s="73"/>
      <c r="H1552" s="73"/>
      <c r="I1552" s="73"/>
      <c r="J1552" s="73"/>
      <c r="K1552" s="73"/>
      <c r="L1552" s="73"/>
      <c r="M1552" s="73"/>
      <c r="N1552" s="73"/>
      <c r="O1552" s="73"/>
      <c r="P1552" s="73"/>
      <c r="Q1552" s="73"/>
      <c r="R1552" s="73"/>
      <c r="S1552" s="73"/>
      <c r="T1552" s="73"/>
      <c r="U1552" s="73"/>
      <c r="V1552" s="73"/>
      <c r="W1552" s="73"/>
      <c r="X1552" s="73"/>
      <c r="Y1552" s="73"/>
      <c r="Z1552" s="73"/>
      <c r="AA1552" s="75"/>
      <c r="AB1552" s="75"/>
      <c r="AC1552" s="55"/>
      <c r="AD1552" s="89"/>
      <c r="AE1552" s="89"/>
      <c r="AF1552" s="89"/>
      <c r="AG1552" s="57"/>
      <c r="AH1552" s="58"/>
      <c r="AI1552" s="39"/>
      <c r="AK1552" s="41"/>
      <c r="AM1552" s="207"/>
    </row>
    <row r="1553" spans="1:39" ht="21">
      <c r="A1553" s="32" t="s">
        <v>1614</v>
      </c>
      <c r="B1553" s="153" t="s">
        <v>104</v>
      </c>
      <c r="C1553" s="60" t="s">
        <v>1615</v>
      </c>
      <c r="D1553" s="52" t="s">
        <v>739</v>
      </c>
      <c r="E1553" s="73"/>
      <c r="F1553" s="73"/>
      <c r="G1553" s="73"/>
      <c r="H1553" s="73"/>
      <c r="I1553" s="73"/>
      <c r="J1553" s="73"/>
      <c r="K1553" s="73"/>
      <c r="L1553" s="73"/>
      <c r="M1553" s="73"/>
      <c r="N1553" s="73"/>
      <c r="O1553" s="73"/>
      <c r="P1553" s="73"/>
      <c r="Q1553" s="73"/>
      <c r="R1553" s="73"/>
      <c r="S1553" s="73"/>
      <c r="T1553" s="73"/>
      <c r="U1553" s="73"/>
      <c r="V1553" s="73"/>
      <c r="W1553" s="73"/>
      <c r="X1553" s="73"/>
      <c r="Y1553" s="73"/>
      <c r="Z1553" s="73"/>
      <c r="AA1553" s="75"/>
      <c r="AB1553" s="75"/>
      <c r="AC1553" s="55"/>
      <c r="AD1553" s="89"/>
      <c r="AE1553" s="89"/>
      <c r="AF1553" s="89"/>
      <c r="AG1553" s="57"/>
      <c r="AH1553" s="58"/>
      <c r="AI1553" s="39"/>
      <c r="AK1553" s="41"/>
      <c r="AM1553" s="207"/>
    </row>
    <row r="1554" spans="1:39" ht="21">
      <c r="A1554" s="32" t="s">
        <v>1626</v>
      </c>
      <c r="B1554" s="153" t="s">
        <v>24</v>
      </c>
      <c r="C1554" s="60" t="s">
        <v>1616</v>
      </c>
      <c r="D1554" s="52" t="s">
        <v>8</v>
      </c>
      <c r="E1554" s="73"/>
      <c r="F1554" s="73"/>
      <c r="G1554" s="73"/>
      <c r="H1554" s="73"/>
      <c r="I1554" s="73"/>
      <c r="J1554" s="73"/>
      <c r="K1554" s="73"/>
      <c r="L1554" s="73"/>
      <c r="M1554" s="73"/>
      <c r="N1554" s="73"/>
      <c r="O1554" s="73"/>
      <c r="P1554" s="73"/>
      <c r="Q1554" s="73"/>
      <c r="R1554" s="73"/>
      <c r="S1554" s="73"/>
      <c r="T1554" s="73"/>
      <c r="U1554" s="73"/>
      <c r="V1554" s="73"/>
      <c r="W1554" s="73"/>
      <c r="X1554" s="73"/>
      <c r="Y1554" s="73"/>
      <c r="Z1554" s="73"/>
      <c r="AA1554" s="75"/>
      <c r="AB1554" s="75"/>
      <c r="AC1554" s="55"/>
      <c r="AD1554" s="89"/>
      <c r="AE1554" s="89"/>
      <c r="AF1554" s="89"/>
      <c r="AG1554" s="57"/>
      <c r="AH1554" s="58"/>
      <c r="AI1554" s="39"/>
      <c r="AK1554" s="41"/>
      <c r="AL1554" s="132"/>
    </row>
    <row r="1555" spans="1:39" ht="21">
      <c r="A1555" s="32" t="s">
        <v>1627</v>
      </c>
      <c r="B1555" s="153" t="s">
        <v>25</v>
      </c>
      <c r="C1555" s="60" t="s">
        <v>1617</v>
      </c>
      <c r="D1555" s="52" t="s">
        <v>8</v>
      </c>
      <c r="E1555" s="73"/>
      <c r="F1555" s="73"/>
      <c r="G1555" s="73"/>
      <c r="H1555" s="73"/>
      <c r="I1555" s="73"/>
      <c r="J1555" s="73"/>
      <c r="K1555" s="73"/>
      <c r="L1555" s="73"/>
      <c r="M1555" s="73"/>
      <c r="N1555" s="73"/>
      <c r="O1555" s="73"/>
      <c r="P1555" s="73"/>
      <c r="Q1555" s="73"/>
      <c r="R1555" s="73"/>
      <c r="S1555" s="73"/>
      <c r="T1555" s="73"/>
      <c r="U1555" s="73"/>
      <c r="V1555" s="73"/>
      <c r="W1555" s="73"/>
      <c r="X1555" s="73"/>
      <c r="Y1555" s="73"/>
      <c r="Z1555" s="73"/>
      <c r="AA1555" s="75"/>
      <c r="AB1555" s="75"/>
      <c r="AC1555" s="55"/>
      <c r="AD1555" s="89"/>
      <c r="AE1555" s="89"/>
      <c r="AF1555" s="89"/>
      <c r="AG1555" s="57"/>
      <c r="AH1555" s="58"/>
      <c r="AI1555" s="39"/>
      <c r="AK1555" s="41"/>
    </row>
    <row r="1556" spans="1:39" ht="21">
      <c r="A1556" s="32" t="s">
        <v>1628</v>
      </c>
      <c r="B1556" s="59">
        <v>19.02</v>
      </c>
      <c r="C1556" s="60" t="s">
        <v>2650</v>
      </c>
      <c r="D1556" s="52" t="s">
        <v>12</v>
      </c>
      <c r="E1556" s="73"/>
      <c r="F1556" s="73"/>
      <c r="G1556" s="73"/>
      <c r="H1556" s="73"/>
      <c r="I1556" s="73"/>
      <c r="J1556" s="73"/>
      <c r="K1556" s="73"/>
      <c r="L1556" s="73"/>
      <c r="M1556" s="73"/>
      <c r="N1556" s="73"/>
      <c r="O1556" s="73"/>
      <c r="P1556" s="73"/>
      <c r="Q1556" s="73"/>
      <c r="R1556" s="73"/>
      <c r="S1556" s="73"/>
      <c r="T1556" s="73"/>
      <c r="U1556" s="73"/>
      <c r="V1556" s="73"/>
      <c r="W1556" s="73"/>
      <c r="X1556" s="73"/>
      <c r="Y1556" s="73"/>
      <c r="Z1556" s="73"/>
      <c r="AA1556" s="75"/>
      <c r="AB1556" s="75"/>
      <c r="AC1556" s="55"/>
      <c r="AD1556" s="89"/>
      <c r="AE1556" s="89"/>
      <c r="AF1556" s="89"/>
      <c r="AG1556" s="57"/>
      <c r="AH1556" s="58"/>
      <c r="AI1556" s="39"/>
      <c r="AK1556" s="41"/>
    </row>
    <row r="1557" spans="1:39" ht="21">
      <c r="A1557" s="32" t="s">
        <v>1629</v>
      </c>
      <c r="B1557" s="153">
        <v>19.03</v>
      </c>
      <c r="C1557" s="60" t="s">
        <v>2651</v>
      </c>
      <c r="D1557" s="52" t="s">
        <v>12</v>
      </c>
      <c r="E1557" s="73"/>
      <c r="F1557" s="73"/>
      <c r="G1557" s="73"/>
      <c r="H1557" s="73"/>
      <c r="I1557" s="73"/>
      <c r="J1557" s="73"/>
      <c r="K1557" s="73"/>
      <c r="L1557" s="73"/>
      <c r="M1557" s="73"/>
      <c r="N1557" s="73"/>
      <c r="O1557" s="73"/>
      <c r="P1557" s="73"/>
      <c r="Q1557" s="73"/>
      <c r="R1557" s="73"/>
      <c r="S1557" s="73"/>
      <c r="T1557" s="73"/>
      <c r="U1557" s="73"/>
      <c r="V1557" s="73"/>
      <c r="W1557" s="73"/>
      <c r="X1557" s="73"/>
      <c r="Y1557" s="73"/>
      <c r="Z1557" s="73"/>
      <c r="AA1557" s="75"/>
      <c r="AB1557" s="75"/>
      <c r="AC1557" s="55"/>
      <c r="AD1557" s="89"/>
      <c r="AE1557" s="89"/>
      <c r="AF1557" s="89"/>
      <c r="AG1557" s="57"/>
      <c r="AH1557" s="58"/>
      <c r="AI1557" s="39"/>
      <c r="AK1557" s="41"/>
    </row>
    <row r="1558" spans="1:39" ht="27.75">
      <c r="A1558" s="32">
        <v>19.04</v>
      </c>
      <c r="B1558" s="153">
        <v>19.04</v>
      </c>
      <c r="C1558" s="60" t="s">
        <v>2652</v>
      </c>
      <c r="D1558" s="52" t="s">
        <v>8</v>
      </c>
      <c r="E1558" s="73"/>
      <c r="F1558" s="73"/>
      <c r="G1558" s="73"/>
      <c r="H1558" s="73"/>
      <c r="I1558" s="73"/>
      <c r="J1558" s="73"/>
      <c r="K1558" s="73"/>
      <c r="L1558" s="73"/>
      <c r="M1558" s="73"/>
      <c r="N1558" s="73"/>
      <c r="O1558" s="73"/>
      <c r="P1558" s="73"/>
      <c r="Q1558" s="73"/>
      <c r="R1558" s="73"/>
      <c r="S1558" s="73"/>
      <c r="T1558" s="73"/>
      <c r="U1558" s="73"/>
      <c r="V1558" s="73"/>
      <c r="W1558" s="73"/>
      <c r="X1558" s="73"/>
      <c r="Y1558" s="73"/>
      <c r="Z1558" s="73"/>
      <c r="AA1558" s="75"/>
      <c r="AB1558" s="75"/>
      <c r="AC1558" s="55"/>
      <c r="AD1558" s="89"/>
      <c r="AE1558" s="89"/>
      <c r="AF1558" s="89"/>
      <c r="AG1558" s="57"/>
      <c r="AH1558" s="58"/>
      <c r="AI1558" s="39"/>
      <c r="AK1558" s="41"/>
    </row>
    <row r="1559" spans="1:39" ht="27.75">
      <c r="A1559" s="32">
        <v>19.05</v>
      </c>
      <c r="B1559" s="153">
        <v>19.05</v>
      </c>
      <c r="C1559" s="60" t="s">
        <v>2653</v>
      </c>
      <c r="D1559" s="52" t="s">
        <v>12</v>
      </c>
      <c r="E1559" s="73"/>
      <c r="F1559" s="73"/>
      <c r="G1559" s="73"/>
      <c r="H1559" s="73"/>
      <c r="I1559" s="73"/>
      <c r="J1559" s="73"/>
      <c r="K1559" s="73"/>
      <c r="L1559" s="73"/>
      <c r="M1559" s="73"/>
      <c r="N1559" s="73"/>
      <c r="O1559" s="73"/>
      <c r="P1559" s="73"/>
      <c r="Q1559" s="73"/>
      <c r="R1559" s="73"/>
      <c r="S1559" s="73"/>
      <c r="T1559" s="73"/>
      <c r="U1559" s="73"/>
      <c r="V1559" s="73"/>
      <c r="W1559" s="73"/>
      <c r="X1559" s="73"/>
      <c r="Y1559" s="73"/>
      <c r="Z1559" s="73"/>
      <c r="AA1559" s="75"/>
      <c r="AB1559" s="75"/>
      <c r="AC1559" s="55"/>
      <c r="AD1559" s="89"/>
      <c r="AE1559" s="89"/>
      <c r="AF1559" s="89"/>
      <c r="AG1559" s="57"/>
      <c r="AH1559" s="58"/>
      <c r="AI1559" s="39"/>
      <c r="AK1559" s="41"/>
    </row>
    <row r="1560" spans="1:39" ht="21">
      <c r="A1560" s="32">
        <v>19.059999999999999</v>
      </c>
      <c r="B1560" s="153">
        <v>19.059999999999999</v>
      </c>
      <c r="C1560" s="60" t="s">
        <v>2654</v>
      </c>
      <c r="D1560" s="52" t="s">
        <v>8</v>
      </c>
      <c r="E1560" s="73"/>
      <c r="F1560" s="73"/>
      <c r="G1560" s="73"/>
      <c r="H1560" s="73"/>
      <c r="I1560" s="73"/>
      <c r="J1560" s="73"/>
      <c r="K1560" s="73"/>
      <c r="L1560" s="73"/>
      <c r="M1560" s="73"/>
      <c r="N1560" s="73"/>
      <c r="O1560" s="73"/>
      <c r="P1560" s="73"/>
      <c r="Q1560" s="73"/>
      <c r="R1560" s="73"/>
      <c r="S1560" s="73"/>
      <c r="T1560" s="73"/>
      <c r="U1560" s="73"/>
      <c r="V1560" s="73"/>
      <c r="W1560" s="73"/>
      <c r="X1560" s="73"/>
      <c r="Y1560" s="73"/>
      <c r="Z1560" s="73"/>
      <c r="AA1560" s="75"/>
      <c r="AB1560" s="75"/>
      <c r="AC1560" s="55"/>
      <c r="AD1560" s="89"/>
      <c r="AE1560" s="89"/>
      <c r="AF1560" s="89"/>
      <c r="AG1560" s="57"/>
      <c r="AH1560" s="58"/>
      <c r="AI1560" s="39"/>
      <c r="AK1560" s="41"/>
    </row>
    <row r="1561" spans="1:39" ht="27.75">
      <c r="A1561" s="32">
        <v>19.07</v>
      </c>
      <c r="B1561" s="154">
        <v>19.07</v>
      </c>
      <c r="C1561" s="155" t="s">
        <v>2655</v>
      </c>
      <c r="D1561" s="156" t="s">
        <v>1631</v>
      </c>
      <c r="E1561" s="73"/>
      <c r="F1561" s="73"/>
      <c r="G1561" s="73"/>
      <c r="H1561" s="73"/>
      <c r="I1561" s="73"/>
      <c r="J1561" s="73"/>
      <c r="K1561" s="73"/>
      <c r="L1561" s="73"/>
      <c r="M1561" s="73"/>
      <c r="N1561" s="73"/>
      <c r="O1561" s="73"/>
      <c r="P1561" s="73"/>
      <c r="Q1561" s="73"/>
      <c r="R1561" s="73"/>
      <c r="S1561" s="73"/>
      <c r="T1561" s="73"/>
      <c r="U1561" s="73"/>
      <c r="V1561" s="73"/>
      <c r="W1561" s="73"/>
      <c r="X1561" s="73"/>
      <c r="Y1561" s="73"/>
      <c r="Z1561" s="73"/>
      <c r="AA1561" s="75"/>
      <c r="AB1561" s="75"/>
      <c r="AC1561" s="55"/>
      <c r="AD1561" s="89"/>
      <c r="AE1561" s="89"/>
      <c r="AF1561" s="89"/>
      <c r="AG1561" s="57"/>
      <c r="AH1561" s="58"/>
      <c r="AI1561" s="39"/>
      <c r="AK1561" s="41"/>
    </row>
    <row r="1562" spans="1:39" ht="40.5">
      <c r="A1562" s="32">
        <v>19.079999999999998</v>
      </c>
      <c r="B1562" s="154">
        <v>19.079999999999998</v>
      </c>
      <c r="C1562" s="155" t="s">
        <v>2656</v>
      </c>
      <c r="D1562" s="156" t="s">
        <v>322</v>
      </c>
      <c r="E1562" s="73"/>
      <c r="F1562" s="73"/>
      <c r="G1562" s="73"/>
      <c r="H1562" s="73"/>
      <c r="I1562" s="73"/>
      <c r="J1562" s="73"/>
      <c r="K1562" s="73"/>
      <c r="L1562" s="73"/>
      <c r="M1562" s="73"/>
      <c r="N1562" s="73"/>
      <c r="O1562" s="73"/>
      <c r="P1562" s="73"/>
      <c r="Q1562" s="73"/>
      <c r="R1562" s="73"/>
      <c r="S1562" s="73"/>
      <c r="T1562" s="73"/>
      <c r="U1562" s="73"/>
      <c r="V1562" s="73"/>
      <c r="W1562" s="73"/>
      <c r="X1562" s="73"/>
      <c r="Y1562" s="73"/>
      <c r="Z1562" s="73"/>
      <c r="AA1562" s="75"/>
      <c r="AB1562" s="75"/>
      <c r="AC1562" s="55"/>
      <c r="AD1562" s="89"/>
      <c r="AE1562" s="89"/>
      <c r="AF1562" s="89"/>
      <c r="AG1562" s="57"/>
      <c r="AH1562" s="58"/>
      <c r="AI1562" s="39"/>
      <c r="AK1562" s="41"/>
    </row>
    <row r="1563" spans="1:39" ht="53.25">
      <c r="A1563" s="32">
        <v>19.09</v>
      </c>
      <c r="B1563" s="154">
        <v>19.09</v>
      </c>
      <c r="C1563" s="155" t="s">
        <v>1618</v>
      </c>
      <c r="D1563" s="156" t="s">
        <v>322</v>
      </c>
      <c r="E1563" s="73"/>
      <c r="F1563" s="73"/>
      <c r="G1563" s="73"/>
      <c r="H1563" s="73"/>
      <c r="I1563" s="73"/>
      <c r="J1563" s="73"/>
      <c r="K1563" s="73"/>
      <c r="L1563" s="73"/>
      <c r="M1563" s="73"/>
      <c r="N1563" s="73"/>
      <c r="O1563" s="73"/>
      <c r="P1563" s="73"/>
      <c r="Q1563" s="73"/>
      <c r="R1563" s="73"/>
      <c r="S1563" s="73"/>
      <c r="T1563" s="73"/>
      <c r="U1563" s="73"/>
      <c r="V1563" s="73"/>
      <c r="W1563" s="73"/>
      <c r="X1563" s="73"/>
      <c r="Y1563" s="73"/>
      <c r="Z1563" s="73"/>
      <c r="AA1563" s="75"/>
      <c r="AB1563" s="75"/>
      <c r="AC1563" s="55"/>
      <c r="AD1563" s="89"/>
      <c r="AE1563" s="89"/>
      <c r="AF1563" s="89"/>
      <c r="AG1563" s="57"/>
      <c r="AH1563" s="58"/>
      <c r="AI1563" s="39"/>
      <c r="AK1563" s="41"/>
    </row>
    <row r="1564" spans="1:39" s="68" customFormat="1" ht="40.5">
      <c r="A1564" s="64">
        <v>19.100000000000001</v>
      </c>
      <c r="B1564" s="157">
        <v>19.100000000000001</v>
      </c>
      <c r="C1564" s="158" t="s">
        <v>1619</v>
      </c>
      <c r="D1564" s="159" t="s">
        <v>322</v>
      </c>
      <c r="E1564" s="119"/>
      <c r="F1564" s="119"/>
      <c r="G1564" s="119"/>
      <c r="H1564" s="119"/>
      <c r="I1564" s="119"/>
      <c r="J1564" s="119"/>
      <c r="K1564" s="119"/>
      <c r="L1564" s="119"/>
      <c r="M1564" s="119"/>
      <c r="N1564" s="119"/>
      <c r="O1564" s="119"/>
      <c r="P1564" s="119"/>
      <c r="Q1564" s="119"/>
      <c r="R1564" s="119"/>
      <c r="S1564" s="119"/>
      <c r="T1564" s="119"/>
      <c r="U1564" s="119"/>
      <c r="V1564" s="119"/>
      <c r="W1564" s="119"/>
      <c r="X1564" s="119"/>
      <c r="Y1564" s="119"/>
      <c r="Z1564" s="119"/>
      <c r="AA1564" s="119"/>
      <c r="AB1564" s="119"/>
      <c r="AC1564" s="55"/>
      <c r="AD1564" s="89"/>
      <c r="AE1564" s="89"/>
      <c r="AF1564" s="89"/>
      <c r="AG1564" s="65"/>
      <c r="AH1564" s="66"/>
      <c r="AI1564" s="160"/>
      <c r="AJ1564" s="121"/>
      <c r="AK1564" s="122"/>
      <c r="AL1564" s="67"/>
    </row>
    <row r="1565" spans="1:39" ht="27.75">
      <c r="A1565" s="32">
        <v>19.11</v>
      </c>
      <c r="B1565" s="153">
        <v>19.11</v>
      </c>
      <c r="C1565" s="155" t="s">
        <v>1620</v>
      </c>
      <c r="D1565" s="156" t="s">
        <v>322</v>
      </c>
      <c r="E1565" s="73"/>
      <c r="F1565" s="73"/>
      <c r="G1565" s="73"/>
      <c r="H1565" s="73"/>
      <c r="I1565" s="73"/>
      <c r="J1565" s="73"/>
      <c r="K1565" s="73"/>
      <c r="L1565" s="73"/>
      <c r="M1565" s="73"/>
      <c r="N1565" s="73"/>
      <c r="O1565" s="73"/>
      <c r="P1565" s="73"/>
      <c r="Q1565" s="73"/>
      <c r="R1565" s="73"/>
      <c r="S1565" s="73"/>
      <c r="T1565" s="73"/>
      <c r="U1565" s="73"/>
      <c r="V1565" s="73"/>
      <c r="W1565" s="73"/>
      <c r="X1565" s="73"/>
      <c r="Y1565" s="73"/>
      <c r="Z1565" s="73"/>
      <c r="AA1565" s="75"/>
      <c r="AB1565" s="75"/>
      <c r="AC1565" s="55"/>
      <c r="AD1565" s="89"/>
      <c r="AE1565" s="89"/>
      <c r="AF1565" s="89"/>
      <c r="AG1565" s="57"/>
      <c r="AH1565" s="58"/>
      <c r="AI1565" s="39"/>
      <c r="AK1565" s="41"/>
    </row>
    <row r="1566" spans="1:39" ht="21">
      <c r="A1566" s="32">
        <v>19.12</v>
      </c>
      <c r="B1566" s="153">
        <v>19.12</v>
      </c>
      <c r="C1566" s="155" t="s">
        <v>1621</v>
      </c>
      <c r="D1566" s="156" t="s">
        <v>322</v>
      </c>
      <c r="E1566" s="73"/>
      <c r="F1566" s="73"/>
      <c r="G1566" s="73"/>
      <c r="H1566" s="73"/>
      <c r="I1566" s="73"/>
      <c r="J1566" s="73"/>
      <c r="K1566" s="73"/>
      <c r="L1566" s="73"/>
      <c r="M1566" s="73"/>
      <c r="N1566" s="73"/>
      <c r="O1566" s="73"/>
      <c r="P1566" s="73"/>
      <c r="Q1566" s="73"/>
      <c r="R1566" s="73"/>
      <c r="S1566" s="73"/>
      <c r="T1566" s="73"/>
      <c r="U1566" s="73"/>
      <c r="V1566" s="73"/>
      <c r="W1566" s="73"/>
      <c r="X1566" s="73"/>
      <c r="Y1566" s="73"/>
      <c r="Z1566" s="73"/>
      <c r="AA1566" s="75"/>
      <c r="AB1566" s="75"/>
      <c r="AC1566" s="55"/>
      <c r="AD1566" s="89"/>
      <c r="AE1566" s="89"/>
      <c r="AF1566" s="89"/>
      <c r="AG1566" s="57"/>
      <c r="AH1566" s="58"/>
      <c r="AI1566" s="39"/>
      <c r="AK1566" s="41"/>
    </row>
    <row r="1567" spans="1:39" ht="27.75">
      <c r="A1567" s="32">
        <v>19.13</v>
      </c>
      <c r="B1567" s="153">
        <v>19.13</v>
      </c>
      <c r="C1567" s="155" t="s">
        <v>1622</v>
      </c>
      <c r="D1567" s="156"/>
      <c r="E1567" s="73"/>
      <c r="F1567" s="73"/>
      <c r="G1567" s="73"/>
      <c r="H1567" s="73"/>
      <c r="I1567" s="73"/>
      <c r="J1567" s="73"/>
      <c r="K1567" s="73"/>
      <c r="L1567" s="73"/>
      <c r="M1567" s="73"/>
      <c r="N1567" s="73"/>
      <c r="O1567" s="73"/>
      <c r="P1567" s="73"/>
      <c r="Q1567" s="73"/>
      <c r="R1567" s="73"/>
      <c r="S1567" s="73"/>
      <c r="T1567" s="73"/>
      <c r="U1567" s="73"/>
      <c r="V1567" s="73"/>
      <c r="W1567" s="73"/>
      <c r="X1567" s="73"/>
      <c r="Y1567" s="73"/>
      <c r="Z1567" s="73"/>
      <c r="AA1567" s="75"/>
      <c r="AB1567" s="75"/>
      <c r="AC1567" s="55"/>
      <c r="AD1567" s="89"/>
      <c r="AE1567" s="89"/>
      <c r="AF1567" s="89"/>
      <c r="AG1567" s="57"/>
      <c r="AH1567" s="58"/>
      <c r="AI1567" s="39"/>
      <c r="AK1567" s="41"/>
    </row>
    <row r="1568" spans="1:39" ht="21">
      <c r="B1568" s="153"/>
      <c r="C1568" s="155" t="s">
        <v>1623</v>
      </c>
      <c r="D1568" s="156" t="s">
        <v>322</v>
      </c>
      <c r="E1568" s="73"/>
      <c r="F1568" s="73"/>
      <c r="G1568" s="73"/>
      <c r="H1568" s="73"/>
      <c r="I1568" s="73"/>
      <c r="J1568" s="73"/>
      <c r="K1568" s="73"/>
      <c r="L1568" s="73"/>
      <c r="M1568" s="73"/>
      <c r="N1568" s="73"/>
      <c r="O1568" s="73"/>
      <c r="P1568" s="73"/>
      <c r="Q1568" s="73"/>
      <c r="R1568" s="73"/>
      <c r="S1568" s="73"/>
      <c r="T1568" s="73"/>
      <c r="U1568" s="73"/>
      <c r="V1568" s="73"/>
      <c r="W1568" s="73"/>
      <c r="X1568" s="73"/>
      <c r="Y1568" s="73"/>
      <c r="Z1568" s="73"/>
      <c r="AA1568" s="75"/>
      <c r="AB1568" s="75"/>
      <c r="AC1568" s="55"/>
      <c r="AD1568" s="89"/>
      <c r="AE1568" s="89"/>
      <c r="AF1568" s="89"/>
      <c r="AG1568" s="57"/>
      <c r="AH1568" s="58"/>
      <c r="AI1568" s="39"/>
      <c r="AK1568" s="41"/>
    </row>
    <row r="1569" spans="1:38" ht="21">
      <c r="B1569" s="153"/>
      <c r="C1569" s="155" t="s">
        <v>1624</v>
      </c>
      <c r="D1569" s="156" t="s">
        <v>322</v>
      </c>
      <c r="E1569" s="73"/>
      <c r="F1569" s="73"/>
      <c r="G1569" s="73"/>
      <c r="H1569" s="73"/>
      <c r="I1569" s="73"/>
      <c r="J1569" s="73"/>
      <c r="K1569" s="73"/>
      <c r="L1569" s="73"/>
      <c r="M1569" s="73"/>
      <c r="N1569" s="73"/>
      <c r="O1569" s="73"/>
      <c r="P1569" s="73"/>
      <c r="Q1569" s="73"/>
      <c r="R1569" s="73"/>
      <c r="S1569" s="73"/>
      <c r="T1569" s="73"/>
      <c r="U1569" s="73"/>
      <c r="V1569" s="73"/>
      <c r="W1569" s="73"/>
      <c r="X1569" s="73"/>
      <c r="Y1569" s="73"/>
      <c r="Z1569" s="73"/>
      <c r="AA1569" s="75"/>
      <c r="AB1569" s="75"/>
      <c r="AC1569" s="55"/>
      <c r="AD1569" s="89"/>
      <c r="AE1569" s="89"/>
      <c r="AF1569" s="89"/>
      <c r="AG1569" s="57"/>
      <c r="AH1569" s="58"/>
      <c r="AI1569" s="39"/>
      <c r="AK1569" s="41"/>
    </row>
    <row r="1570" spans="1:38" ht="21">
      <c r="A1570" s="32">
        <v>19.14</v>
      </c>
      <c r="B1570" s="153">
        <v>19.14</v>
      </c>
      <c r="C1570" s="155" t="s">
        <v>1625</v>
      </c>
      <c r="D1570" s="156" t="s">
        <v>322</v>
      </c>
      <c r="E1570" s="73"/>
      <c r="F1570" s="73"/>
      <c r="G1570" s="73"/>
      <c r="H1570" s="73"/>
      <c r="I1570" s="73"/>
      <c r="J1570" s="73"/>
      <c r="K1570" s="73"/>
      <c r="L1570" s="73"/>
      <c r="M1570" s="73"/>
      <c r="N1570" s="73"/>
      <c r="O1570" s="73"/>
      <c r="P1570" s="73"/>
      <c r="Q1570" s="73"/>
      <c r="R1570" s="73"/>
      <c r="S1570" s="73"/>
      <c r="T1570" s="73"/>
      <c r="U1570" s="73"/>
      <c r="V1570" s="73"/>
      <c r="W1570" s="73"/>
      <c r="X1570" s="73"/>
      <c r="Y1570" s="73"/>
      <c r="Z1570" s="73"/>
      <c r="AA1570" s="75"/>
      <c r="AB1570" s="75"/>
      <c r="AC1570" s="55"/>
      <c r="AD1570" s="89"/>
      <c r="AE1570" s="89"/>
      <c r="AF1570" s="89"/>
      <c r="AG1570" s="57"/>
      <c r="AH1570" s="58"/>
      <c r="AI1570" s="39"/>
      <c r="AK1570" s="41"/>
    </row>
    <row r="1571" spans="1:38" ht="21">
      <c r="A1571" s="32" t="s">
        <v>1419</v>
      </c>
      <c r="B1571" s="161">
        <v>19.149999999999999</v>
      </c>
      <c r="C1571" s="155" t="s">
        <v>1630</v>
      </c>
      <c r="D1571" s="156" t="s">
        <v>322</v>
      </c>
      <c r="E1571" s="73"/>
      <c r="F1571" s="73"/>
      <c r="G1571" s="73"/>
      <c r="H1571" s="73"/>
      <c r="I1571" s="73"/>
      <c r="J1571" s="73"/>
      <c r="K1571" s="73"/>
      <c r="L1571" s="73"/>
      <c r="M1571" s="73"/>
      <c r="N1571" s="73"/>
      <c r="O1571" s="73"/>
      <c r="P1571" s="73"/>
      <c r="Q1571" s="73"/>
      <c r="R1571" s="73"/>
      <c r="S1571" s="73"/>
      <c r="T1571" s="73"/>
      <c r="U1571" s="73"/>
      <c r="V1571" s="73"/>
      <c r="W1571" s="73"/>
      <c r="X1571" s="73"/>
      <c r="Y1571" s="73"/>
      <c r="Z1571" s="73"/>
      <c r="AA1571" s="75"/>
      <c r="AB1571" s="75"/>
      <c r="AC1571" s="55"/>
      <c r="AD1571" s="89"/>
      <c r="AE1571" s="89"/>
      <c r="AF1571" s="89"/>
      <c r="AG1571" s="57"/>
      <c r="AH1571" s="58"/>
      <c r="AI1571" s="39"/>
      <c r="AK1571" s="41"/>
    </row>
    <row r="1572" spans="1:38" ht="27.75">
      <c r="A1572" s="32">
        <v>19.16</v>
      </c>
      <c r="B1572" s="154">
        <v>19.16</v>
      </c>
      <c r="C1572" s="155" t="s">
        <v>2657</v>
      </c>
      <c r="D1572" s="162" t="s">
        <v>12</v>
      </c>
      <c r="E1572" s="73"/>
      <c r="F1572" s="73"/>
      <c r="G1572" s="73"/>
      <c r="H1572" s="73"/>
      <c r="I1572" s="73"/>
      <c r="J1572" s="73"/>
      <c r="K1572" s="73"/>
      <c r="L1572" s="73"/>
      <c r="M1572" s="73"/>
      <c r="N1572" s="73"/>
      <c r="O1572" s="73"/>
      <c r="P1572" s="73"/>
      <c r="Q1572" s="73"/>
      <c r="R1572" s="73"/>
      <c r="S1572" s="73"/>
      <c r="T1572" s="73"/>
      <c r="U1572" s="73"/>
      <c r="V1572" s="73"/>
      <c r="W1572" s="73"/>
      <c r="X1572" s="73"/>
      <c r="Y1572" s="73"/>
      <c r="Z1572" s="73"/>
      <c r="AA1572" s="75"/>
      <c r="AB1572" s="75"/>
      <c r="AC1572" s="55"/>
      <c r="AD1572" s="89"/>
      <c r="AE1572" s="89"/>
      <c r="AF1572" s="89"/>
      <c r="AG1572" s="57"/>
      <c r="AH1572" s="58"/>
      <c r="AI1572" s="39"/>
      <c r="AK1572" s="41"/>
    </row>
    <row r="1573" spans="1:38" ht="78.75">
      <c r="B1573" s="163">
        <v>19.170000000000002</v>
      </c>
      <c r="C1573" s="164" t="s">
        <v>2714</v>
      </c>
      <c r="D1573" s="156"/>
      <c r="E1573" s="73"/>
      <c r="F1573" s="73"/>
      <c r="G1573" s="73"/>
      <c r="H1573" s="73"/>
      <c r="I1573" s="73"/>
      <c r="J1573" s="73"/>
      <c r="K1573" s="73"/>
      <c r="L1573" s="73"/>
      <c r="M1573" s="73"/>
      <c r="N1573" s="73"/>
      <c r="O1573" s="73"/>
      <c r="P1573" s="73"/>
      <c r="Q1573" s="73"/>
      <c r="R1573" s="73"/>
      <c r="S1573" s="73"/>
      <c r="T1573" s="73"/>
      <c r="U1573" s="73"/>
      <c r="V1573" s="73"/>
      <c r="W1573" s="73"/>
      <c r="X1573" s="73"/>
      <c r="Y1573" s="73"/>
      <c r="Z1573" s="73"/>
      <c r="AA1573" s="75"/>
      <c r="AB1573" s="75"/>
      <c r="AC1573" s="55"/>
      <c r="AD1573" s="89"/>
      <c r="AE1573" s="89"/>
      <c r="AF1573" s="89"/>
      <c r="AG1573" s="165"/>
      <c r="AH1573" s="58"/>
      <c r="AI1573" s="39"/>
      <c r="AK1573" s="41"/>
    </row>
    <row r="1574" spans="1:38" ht="21">
      <c r="B1574" s="166" t="s">
        <v>14</v>
      </c>
      <c r="C1574" s="164" t="s">
        <v>2711</v>
      </c>
      <c r="D1574" s="156" t="s">
        <v>877</v>
      </c>
      <c r="E1574" s="73"/>
      <c r="F1574" s="73"/>
      <c r="G1574" s="73"/>
      <c r="H1574" s="73"/>
      <c r="I1574" s="73"/>
      <c r="J1574" s="73"/>
      <c r="K1574" s="73"/>
      <c r="L1574" s="73"/>
      <c r="M1574" s="73"/>
      <c r="N1574" s="73"/>
      <c r="O1574" s="73"/>
      <c r="P1574" s="73"/>
      <c r="Q1574" s="73"/>
      <c r="R1574" s="73"/>
      <c r="S1574" s="73"/>
      <c r="T1574" s="73"/>
      <c r="U1574" s="73"/>
      <c r="V1574" s="73"/>
      <c r="W1574" s="73"/>
      <c r="X1574" s="73"/>
      <c r="Y1574" s="73"/>
      <c r="Z1574" s="73"/>
      <c r="AA1574" s="75"/>
      <c r="AB1574" s="75"/>
      <c r="AC1574" s="55"/>
      <c r="AD1574" s="89"/>
      <c r="AE1574" s="89"/>
      <c r="AF1574" s="89"/>
      <c r="AG1574" s="165"/>
      <c r="AH1574" s="58"/>
      <c r="AI1574" s="39"/>
      <c r="AK1574" s="41"/>
    </row>
    <row r="1575" spans="1:38" ht="21">
      <c r="B1575" s="166" t="s">
        <v>15</v>
      </c>
      <c r="C1575" s="164" t="s">
        <v>2712</v>
      </c>
      <c r="D1575" s="156" t="s">
        <v>877</v>
      </c>
      <c r="E1575" s="73"/>
      <c r="F1575" s="73"/>
      <c r="G1575" s="73"/>
      <c r="H1575" s="73"/>
      <c r="I1575" s="73"/>
      <c r="J1575" s="73"/>
      <c r="K1575" s="73"/>
      <c r="L1575" s="73"/>
      <c r="M1575" s="73"/>
      <c r="N1575" s="73"/>
      <c r="O1575" s="73"/>
      <c r="P1575" s="73"/>
      <c r="Q1575" s="73"/>
      <c r="R1575" s="73"/>
      <c r="S1575" s="73"/>
      <c r="T1575" s="73"/>
      <c r="U1575" s="73"/>
      <c r="V1575" s="73"/>
      <c r="W1575" s="73"/>
      <c r="X1575" s="73"/>
      <c r="Y1575" s="73"/>
      <c r="Z1575" s="73"/>
      <c r="AA1575" s="75"/>
      <c r="AB1575" s="75"/>
      <c r="AC1575" s="55"/>
      <c r="AD1575" s="89"/>
      <c r="AE1575" s="89"/>
      <c r="AF1575" s="89"/>
      <c r="AG1575" s="165"/>
      <c r="AH1575" s="58"/>
      <c r="AI1575" s="39"/>
      <c r="AK1575" s="41"/>
    </row>
    <row r="1576" spans="1:38" ht="21">
      <c r="B1576" s="166" t="s">
        <v>40</v>
      </c>
      <c r="C1576" s="164" t="s">
        <v>2713</v>
      </c>
      <c r="D1576" s="156" t="s">
        <v>877</v>
      </c>
      <c r="E1576" s="73"/>
      <c r="F1576" s="73"/>
      <c r="G1576" s="73"/>
      <c r="H1576" s="73"/>
      <c r="I1576" s="73"/>
      <c r="J1576" s="73"/>
      <c r="K1576" s="73"/>
      <c r="L1576" s="73"/>
      <c r="M1576" s="73"/>
      <c r="N1576" s="73"/>
      <c r="O1576" s="73"/>
      <c r="P1576" s="73"/>
      <c r="Q1576" s="73"/>
      <c r="R1576" s="73"/>
      <c r="S1576" s="73"/>
      <c r="T1576" s="73"/>
      <c r="U1576" s="73"/>
      <c r="V1576" s="73"/>
      <c r="W1576" s="73"/>
      <c r="X1576" s="73"/>
      <c r="Y1576" s="73"/>
      <c r="Z1576" s="73"/>
      <c r="AA1576" s="75"/>
      <c r="AB1576" s="75"/>
      <c r="AC1576" s="55"/>
      <c r="AD1576" s="89"/>
      <c r="AE1576" s="89"/>
      <c r="AF1576" s="89"/>
      <c r="AG1576" s="165"/>
      <c r="AH1576" s="58"/>
      <c r="AI1576" s="39"/>
      <c r="AK1576" s="41"/>
    </row>
    <row r="1577" spans="1:38" ht="78.75">
      <c r="B1577" s="163">
        <v>19.18</v>
      </c>
      <c r="C1577" s="164" t="s">
        <v>2715</v>
      </c>
      <c r="D1577" s="156"/>
      <c r="E1577" s="73"/>
      <c r="F1577" s="73"/>
      <c r="G1577" s="73"/>
      <c r="H1577" s="73"/>
      <c r="I1577" s="73"/>
      <c r="J1577" s="73"/>
      <c r="K1577" s="73"/>
      <c r="L1577" s="73"/>
      <c r="M1577" s="73"/>
      <c r="N1577" s="73"/>
      <c r="O1577" s="73"/>
      <c r="P1577" s="73"/>
      <c r="Q1577" s="73"/>
      <c r="R1577" s="73"/>
      <c r="S1577" s="73"/>
      <c r="T1577" s="73"/>
      <c r="U1577" s="73"/>
      <c r="V1577" s="73"/>
      <c r="W1577" s="73"/>
      <c r="X1577" s="73"/>
      <c r="Y1577" s="73"/>
      <c r="Z1577" s="73"/>
      <c r="AA1577" s="75"/>
      <c r="AB1577" s="75"/>
      <c r="AC1577" s="55"/>
      <c r="AD1577" s="89"/>
      <c r="AE1577" s="89"/>
      <c r="AF1577" s="89"/>
      <c r="AG1577" s="165"/>
      <c r="AH1577" s="58"/>
      <c r="AI1577" s="39"/>
      <c r="AK1577" s="41"/>
    </row>
    <row r="1578" spans="1:38" ht="21">
      <c r="B1578" s="166" t="s">
        <v>14</v>
      </c>
      <c r="C1578" s="164" t="s">
        <v>2711</v>
      </c>
      <c r="D1578" s="156" t="s">
        <v>877</v>
      </c>
      <c r="E1578" s="73"/>
      <c r="F1578" s="73"/>
      <c r="G1578" s="73"/>
      <c r="H1578" s="73"/>
      <c r="I1578" s="73"/>
      <c r="J1578" s="73"/>
      <c r="K1578" s="73"/>
      <c r="L1578" s="73"/>
      <c r="M1578" s="73"/>
      <c r="N1578" s="73"/>
      <c r="O1578" s="73"/>
      <c r="P1578" s="73"/>
      <c r="Q1578" s="73"/>
      <c r="R1578" s="73"/>
      <c r="S1578" s="73"/>
      <c r="T1578" s="73"/>
      <c r="U1578" s="73"/>
      <c r="V1578" s="73"/>
      <c r="W1578" s="73"/>
      <c r="X1578" s="73"/>
      <c r="Y1578" s="73"/>
      <c r="Z1578" s="73"/>
      <c r="AA1578" s="75"/>
      <c r="AB1578" s="75"/>
      <c r="AC1578" s="55"/>
      <c r="AD1578" s="89"/>
      <c r="AE1578" s="89"/>
      <c r="AF1578" s="89"/>
      <c r="AG1578" s="165"/>
      <c r="AH1578" s="58"/>
      <c r="AI1578" s="39"/>
      <c r="AK1578" s="41"/>
    </row>
    <row r="1579" spans="1:38" ht="21">
      <c r="B1579" s="166" t="s">
        <v>15</v>
      </c>
      <c r="C1579" s="164" t="s">
        <v>2712</v>
      </c>
      <c r="D1579" s="156" t="s">
        <v>877</v>
      </c>
      <c r="E1579" s="73"/>
      <c r="F1579" s="73"/>
      <c r="G1579" s="73"/>
      <c r="H1579" s="73"/>
      <c r="I1579" s="73"/>
      <c r="J1579" s="73"/>
      <c r="K1579" s="73"/>
      <c r="L1579" s="73"/>
      <c r="M1579" s="73"/>
      <c r="N1579" s="73"/>
      <c r="O1579" s="73"/>
      <c r="P1579" s="73"/>
      <c r="Q1579" s="73"/>
      <c r="R1579" s="73"/>
      <c r="S1579" s="73"/>
      <c r="T1579" s="73"/>
      <c r="U1579" s="73"/>
      <c r="V1579" s="73"/>
      <c r="W1579" s="73"/>
      <c r="X1579" s="73"/>
      <c r="Y1579" s="73"/>
      <c r="Z1579" s="73"/>
      <c r="AA1579" s="75"/>
      <c r="AB1579" s="75"/>
      <c r="AC1579" s="55"/>
      <c r="AD1579" s="89"/>
      <c r="AE1579" s="89"/>
      <c r="AF1579" s="89"/>
      <c r="AG1579" s="165"/>
      <c r="AH1579" s="58"/>
      <c r="AI1579" s="39"/>
      <c r="AK1579" s="41"/>
    </row>
    <row r="1580" spans="1:38" ht="21">
      <c r="B1580" s="166" t="s">
        <v>40</v>
      </c>
      <c r="C1580" s="164" t="s">
        <v>2713</v>
      </c>
      <c r="D1580" s="156" t="s">
        <v>877</v>
      </c>
      <c r="E1580" s="73"/>
      <c r="F1580" s="73"/>
      <c r="G1580" s="73"/>
      <c r="H1580" s="73"/>
      <c r="I1580" s="73"/>
      <c r="J1580" s="73"/>
      <c r="K1580" s="73"/>
      <c r="L1580" s="73"/>
      <c r="M1580" s="73"/>
      <c r="N1580" s="73"/>
      <c r="O1580" s="73"/>
      <c r="P1580" s="73"/>
      <c r="Q1580" s="73"/>
      <c r="R1580" s="73"/>
      <c r="S1580" s="73"/>
      <c r="T1580" s="73"/>
      <c r="U1580" s="73"/>
      <c r="V1580" s="73"/>
      <c r="W1580" s="73"/>
      <c r="X1580" s="73"/>
      <c r="Y1580" s="73"/>
      <c r="Z1580" s="73"/>
      <c r="AA1580" s="75"/>
      <c r="AB1580" s="75"/>
      <c r="AC1580" s="55"/>
      <c r="AD1580" s="89"/>
      <c r="AE1580" s="89"/>
      <c r="AF1580" s="89"/>
      <c r="AG1580" s="165"/>
      <c r="AH1580" s="58"/>
      <c r="AI1580" s="39"/>
      <c r="AK1580" s="41"/>
      <c r="AL1580" s="85"/>
    </row>
    <row r="1581" spans="1:38" ht="21">
      <c r="A1581" s="32" t="s">
        <v>2186</v>
      </c>
      <c r="B1581" s="80"/>
      <c r="C1581" s="33" t="s">
        <v>2185</v>
      </c>
      <c r="D1581" s="80"/>
      <c r="E1581" s="81"/>
      <c r="F1581" s="81"/>
      <c r="G1581" s="81"/>
      <c r="H1581" s="81"/>
      <c r="I1581" s="81"/>
      <c r="J1581" s="81"/>
      <c r="K1581" s="81"/>
      <c r="L1581" s="81"/>
      <c r="M1581" s="81"/>
      <c r="N1581" s="81"/>
      <c r="O1581" s="81"/>
      <c r="P1581" s="81"/>
      <c r="Q1581" s="81"/>
      <c r="R1581" s="81"/>
      <c r="S1581" s="81"/>
      <c r="T1581" s="81"/>
      <c r="U1581" s="81"/>
      <c r="V1581" s="81"/>
      <c r="W1581" s="81"/>
      <c r="X1581" s="81"/>
      <c r="Y1581" s="81"/>
      <c r="Z1581" s="81"/>
      <c r="AA1581" s="83"/>
      <c r="AB1581" s="83"/>
      <c r="AC1581" s="55"/>
      <c r="AD1581" s="89"/>
      <c r="AE1581" s="89"/>
      <c r="AF1581" s="89"/>
      <c r="AG1581" s="91"/>
      <c r="AH1581" s="48"/>
      <c r="AI1581" s="39"/>
      <c r="AK1581" s="41"/>
      <c r="AL1581" s="132"/>
    </row>
    <row r="1582" spans="1:38" ht="40.5">
      <c r="A1582" s="32" t="s">
        <v>2184</v>
      </c>
      <c r="B1582" s="154">
        <v>22.01</v>
      </c>
      <c r="C1582" s="155" t="s">
        <v>2187</v>
      </c>
      <c r="D1582" s="156" t="s">
        <v>12</v>
      </c>
      <c r="E1582" s="73"/>
      <c r="F1582" s="73"/>
      <c r="G1582" s="73"/>
      <c r="H1582" s="73"/>
      <c r="I1582" s="73"/>
      <c r="J1582" s="73"/>
      <c r="K1582" s="73"/>
      <c r="L1582" s="73"/>
      <c r="M1582" s="73"/>
      <c r="N1582" s="73"/>
      <c r="O1582" s="73"/>
      <c r="P1582" s="73"/>
      <c r="Q1582" s="73"/>
      <c r="R1582" s="73"/>
      <c r="S1582" s="73"/>
      <c r="T1582" s="73"/>
      <c r="U1582" s="73"/>
      <c r="V1582" s="73"/>
      <c r="W1582" s="73"/>
      <c r="X1582" s="73"/>
      <c r="Y1582" s="73"/>
      <c r="Z1582" s="73"/>
      <c r="AA1582" s="75"/>
      <c r="AB1582" s="75"/>
      <c r="AC1582" s="55"/>
      <c r="AD1582" s="120"/>
      <c r="AE1582" s="89"/>
      <c r="AF1582" s="89"/>
      <c r="AG1582" s="57"/>
      <c r="AH1582" s="58"/>
      <c r="AI1582" s="39"/>
      <c r="AK1582" s="41"/>
      <c r="AL1582" s="85"/>
    </row>
    <row r="1583" spans="1:38" ht="29.25" customHeight="1">
      <c r="A1583" s="32">
        <v>22.02</v>
      </c>
      <c r="B1583" s="86">
        <v>22.02</v>
      </c>
      <c r="C1583" s="155" t="s">
        <v>2188</v>
      </c>
      <c r="D1583" s="88" t="s">
        <v>845</v>
      </c>
      <c r="E1583" s="73"/>
      <c r="F1583" s="73"/>
      <c r="G1583" s="73"/>
      <c r="H1583" s="73"/>
      <c r="I1583" s="73"/>
      <c r="J1583" s="73"/>
      <c r="K1583" s="73"/>
      <c r="L1583" s="73"/>
      <c r="M1583" s="73"/>
      <c r="N1583" s="73"/>
      <c r="O1583" s="73"/>
      <c r="P1583" s="73"/>
      <c r="Q1583" s="73"/>
      <c r="R1583" s="73"/>
      <c r="S1583" s="73"/>
      <c r="T1583" s="73"/>
      <c r="U1583" s="73"/>
      <c r="V1583" s="73"/>
      <c r="W1583" s="73"/>
      <c r="X1583" s="73"/>
      <c r="Y1583" s="73"/>
      <c r="Z1583" s="73"/>
      <c r="AA1583" s="75"/>
      <c r="AB1583" s="75"/>
      <c r="AC1583" s="55"/>
      <c r="AD1583" s="120"/>
      <c r="AE1583" s="89"/>
      <c r="AF1583" s="89"/>
      <c r="AG1583" s="57"/>
      <c r="AH1583" s="58"/>
      <c r="AI1583" s="39"/>
      <c r="AK1583" s="41"/>
      <c r="AL1583" s="85"/>
    </row>
    <row r="1584" spans="1:38" ht="27.75">
      <c r="A1584" s="32">
        <v>22.03</v>
      </c>
      <c r="B1584" s="86">
        <v>22.03</v>
      </c>
      <c r="C1584" s="87" t="s">
        <v>2189</v>
      </c>
      <c r="D1584" s="88" t="s">
        <v>845</v>
      </c>
      <c r="E1584" s="73"/>
      <c r="F1584" s="73"/>
      <c r="G1584" s="73"/>
      <c r="H1584" s="73"/>
      <c r="I1584" s="73"/>
      <c r="J1584" s="73"/>
      <c r="K1584" s="73"/>
      <c r="L1584" s="73"/>
      <c r="M1584" s="73"/>
      <c r="N1584" s="73"/>
      <c r="O1584" s="73"/>
      <c r="P1584" s="73"/>
      <c r="Q1584" s="73"/>
      <c r="R1584" s="73"/>
      <c r="S1584" s="73"/>
      <c r="T1584" s="73"/>
      <c r="U1584" s="73"/>
      <c r="V1584" s="73"/>
      <c r="W1584" s="73"/>
      <c r="X1584" s="73"/>
      <c r="Y1584" s="73"/>
      <c r="Z1584" s="73"/>
      <c r="AA1584" s="75"/>
      <c r="AB1584" s="75"/>
      <c r="AC1584" s="55"/>
      <c r="AD1584" s="120"/>
      <c r="AE1584" s="89"/>
      <c r="AF1584" s="89"/>
      <c r="AG1584" s="57"/>
      <c r="AH1584" s="58"/>
      <c r="AI1584" s="39"/>
      <c r="AK1584" s="41"/>
      <c r="AL1584" s="85"/>
    </row>
    <row r="1585" spans="1:38" ht="27.75">
      <c r="A1585" s="32">
        <v>22.04</v>
      </c>
      <c r="B1585" s="86">
        <v>22.04</v>
      </c>
      <c r="C1585" s="87" t="s">
        <v>2242</v>
      </c>
      <c r="D1585" s="88" t="s">
        <v>204</v>
      </c>
      <c r="E1585" s="73"/>
      <c r="F1585" s="73"/>
      <c r="G1585" s="73"/>
      <c r="H1585" s="73"/>
      <c r="I1585" s="73"/>
      <c r="J1585" s="73"/>
      <c r="K1585" s="73"/>
      <c r="L1585" s="73"/>
      <c r="M1585" s="73"/>
      <c r="N1585" s="73"/>
      <c r="O1585" s="73"/>
      <c r="P1585" s="73"/>
      <c r="Q1585" s="73"/>
      <c r="R1585" s="73"/>
      <c r="S1585" s="73"/>
      <c r="T1585" s="73"/>
      <c r="U1585" s="73"/>
      <c r="V1585" s="73"/>
      <c r="W1585" s="73"/>
      <c r="X1585" s="73"/>
      <c r="Y1585" s="73"/>
      <c r="Z1585" s="73"/>
      <c r="AA1585" s="75"/>
      <c r="AB1585" s="75"/>
      <c r="AC1585" s="55"/>
      <c r="AD1585" s="66"/>
      <c r="AE1585" s="58"/>
      <c r="AF1585" s="58"/>
      <c r="AG1585" s="57"/>
      <c r="AH1585" s="58"/>
      <c r="AI1585" s="39"/>
      <c r="AK1585" s="41"/>
      <c r="AL1585" s="85"/>
    </row>
    <row r="1586" spans="1:38" ht="21">
      <c r="B1586" s="86"/>
      <c r="C1586" s="87"/>
      <c r="D1586" s="88"/>
      <c r="E1586" s="73"/>
      <c r="F1586" s="73"/>
      <c r="G1586" s="73"/>
      <c r="H1586" s="73"/>
      <c r="I1586" s="73"/>
      <c r="J1586" s="73"/>
      <c r="K1586" s="73"/>
      <c r="L1586" s="73"/>
      <c r="M1586" s="73"/>
      <c r="N1586" s="73"/>
      <c r="O1586" s="73"/>
      <c r="P1586" s="73"/>
      <c r="Q1586" s="73"/>
      <c r="R1586" s="73"/>
      <c r="S1586" s="73"/>
      <c r="T1586" s="73"/>
      <c r="U1586" s="73"/>
      <c r="V1586" s="73"/>
      <c r="W1586" s="73"/>
      <c r="X1586" s="73"/>
      <c r="Y1586" s="73"/>
      <c r="Z1586" s="73"/>
      <c r="AA1586" s="75"/>
      <c r="AB1586" s="75"/>
      <c r="AC1586" s="55"/>
      <c r="AD1586" s="89"/>
      <c r="AE1586" s="89"/>
      <c r="AF1586" s="89"/>
      <c r="AG1586" s="165"/>
      <c r="AH1586" s="58"/>
      <c r="AI1586" s="39"/>
      <c r="AK1586" s="41"/>
      <c r="AL1586" s="85"/>
    </row>
    <row r="1587" spans="1:38" ht="21">
      <c r="B1587" s="86"/>
      <c r="C1587" s="87"/>
      <c r="D1587" s="88"/>
      <c r="E1587" s="73"/>
      <c r="F1587" s="73"/>
      <c r="G1587" s="73"/>
      <c r="H1587" s="73"/>
      <c r="I1587" s="73"/>
      <c r="J1587" s="73"/>
      <c r="K1587" s="73"/>
      <c r="L1587" s="73"/>
      <c r="M1587" s="73"/>
      <c r="N1587" s="73"/>
      <c r="O1587" s="73"/>
      <c r="P1587" s="73"/>
      <c r="Q1587" s="73"/>
      <c r="R1587" s="73"/>
      <c r="S1587" s="73"/>
      <c r="T1587" s="73"/>
      <c r="U1587" s="73"/>
      <c r="V1587" s="73"/>
      <c r="W1587" s="73"/>
      <c r="X1587" s="73"/>
      <c r="Y1587" s="73"/>
      <c r="Z1587" s="73"/>
      <c r="AA1587" s="75"/>
      <c r="AB1587" s="75"/>
      <c r="AC1587" s="55"/>
      <c r="AD1587" s="89"/>
      <c r="AE1587" s="89"/>
      <c r="AF1587" s="89"/>
      <c r="AG1587" s="165"/>
      <c r="AH1587" s="58"/>
      <c r="AI1587" s="39"/>
      <c r="AK1587" s="41"/>
      <c r="AL1587" s="85"/>
    </row>
    <row r="1588" spans="1:38" ht="21">
      <c r="B1588" s="86"/>
      <c r="C1588" s="87"/>
      <c r="D1588" s="88"/>
      <c r="E1588" s="73"/>
      <c r="F1588" s="73"/>
      <c r="G1588" s="73"/>
      <c r="H1588" s="73"/>
      <c r="I1588" s="73"/>
      <c r="J1588" s="73"/>
      <c r="K1588" s="73"/>
      <c r="L1588" s="73"/>
      <c r="M1588" s="73"/>
      <c r="N1588" s="73"/>
      <c r="O1588" s="73"/>
      <c r="P1588" s="73"/>
      <c r="Q1588" s="73"/>
      <c r="R1588" s="73"/>
      <c r="S1588" s="73"/>
      <c r="T1588" s="73"/>
      <c r="U1588" s="73"/>
      <c r="V1588" s="73"/>
      <c r="W1588" s="73"/>
      <c r="X1588" s="73"/>
      <c r="Y1588" s="73"/>
      <c r="Z1588" s="73"/>
      <c r="AA1588" s="75"/>
      <c r="AB1588" s="75"/>
      <c r="AC1588" s="55"/>
      <c r="AD1588" s="89"/>
      <c r="AE1588" s="89"/>
      <c r="AF1588" s="89"/>
      <c r="AG1588" s="165"/>
      <c r="AH1588" s="58"/>
      <c r="AI1588" s="39"/>
      <c r="AK1588" s="41"/>
      <c r="AL1588" s="85"/>
    </row>
    <row r="1589" spans="1:38" ht="21">
      <c r="B1589" s="86"/>
      <c r="C1589" s="33" t="s">
        <v>2441</v>
      </c>
      <c r="D1589" s="88"/>
      <c r="E1589" s="73"/>
      <c r="F1589" s="73"/>
      <c r="G1589" s="73"/>
      <c r="H1589" s="73"/>
      <c r="I1589" s="73"/>
      <c r="J1589" s="73"/>
      <c r="K1589" s="73"/>
      <c r="L1589" s="73"/>
      <c r="M1589" s="73"/>
      <c r="N1589" s="73"/>
      <c r="O1589" s="73"/>
      <c r="P1589" s="73"/>
      <c r="Q1589" s="73"/>
      <c r="R1589" s="73"/>
      <c r="S1589" s="73"/>
      <c r="T1589" s="73"/>
      <c r="U1589" s="73"/>
      <c r="V1589" s="73"/>
      <c r="W1589" s="73"/>
      <c r="X1589" s="73"/>
      <c r="Y1589" s="73"/>
      <c r="Z1589" s="73"/>
      <c r="AA1589" s="75"/>
      <c r="AB1589" s="75"/>
      <c r="AC1589" s="55"/>
      <c r="AD1589" s="89"/>
      <c r="AE1589" s="89"/>
      <c r="AF1589" s="89"/>
      <c r="AG1589" s="165"/>
      <c r="AH1589" s="58"/>
      <c r="AI1589" s="39"/>
      <c r="AK1589" s="41"/>
      <c r="AL1589" s="85"/>
    </row>
    <row r="1590" spans="1:38" ht="38.1" customHeight="1">
      <c r="B1590" s="87" t="s">
        <v>853</v>
      </c>
      <c r="C1590" s="87" t="s">
        <v>851</v>
      </c>
      <c r="D1590" s="88" t="s">
        <v>204</v>
      </c>
      <c r="E1590" s="143"/>
      <c r="F1590" s="143"/>
      <c r="G1590" s="143"/>
      <c r="H1590" s="143"/>
      <c r="I1590" s="143"/>
      <c r="J1590" s="73"/>
      <c r="K1590" s="143"/>
      <c r="L1590" s="143"/>
      <c r="M1590" s="143"/>
      <c r="N1590" s="143"/>
      <c r="O1590" s="143"/>
      <c r="P1590" s="143"/>
      <c r="Q1590" s="143"/>
      <c r="R1590" s="143"/>
      <c r="S1590" s="143"/>
      <c r="T1590" s="143"/>
      <c r="U1590" s="143"/>
      <c r="V1590" s="143"/>
      <c r="W1590" s="143"/>
      <c r="X1590" s="143"/>
      <c r="Y1590" s="143"/>
      <c r="Z1590" s="143"/>
      <c r="AA1590" s="144"/>
      <c r="AB1590" s="144"/>
      <c r="AC1590" s="55"/>
      <c r="AD1590" s="144"/>
      <c r="AE1590" s="144"/>
      <c r="AF1590" s="144"/>
      <c r="AG1590" s="167"/>
      <c r="AH1590" s="58"/>
      <c r="AI1590" s="39"/>
      <c r="AK1590" s="41"/>
    </row>
    <row r="1591" spans="1:38" ht="27.6" customHeight="1">
      <c r="B1591" s="87" t="s">
        <v>854</v>
      </c>
      <c r="C1591" s="87" t="s">
        <v>2243</v>
      </c>
      <c r="D1591" s="88" t="s">
        <v>322</v>
      </c>
      <c r="E1591" s="143"/>
      <c r="F1591" s="143"/>
      <c r="G1591" s="143"/>
      <c r="H1591" s="143"/>
      <c r="I1591" s="143"/>
      <c r="J1591" s="73"/>
      <c r="K1591" s="143"/>
      <c r="L1591" s="143"/>
      <c r="M1591" s="143"/>
      <c r="N1591" s="143"/>
      <c r="O1591" s="143"/>
      <c r="P1591" s="143"/>
      <c r="Q1591" s="143"/>
      <c r="R1591" s="143"/>
      <c r="S1591" s="143"/>
      <c r="T1591" s="143"/>
      <c r="U1591" s="143"/>
      <c r="V1591" s="143"/>
      <c r="W1591" s="143"/>
      <c r="X1591" s="143"/>
      <c r="Y1591" s="143"/>
      <c r="Z1591" s="143"/>
      <c r="AA1591" s="144"/>
      <c r="AB1591" s="144"/>
      <c r="AC1591" s="55"/>
      <c r="AD1591" s="144"/>
      <c r="AE1591" s="144"/>
      <c r="AF1591" s="144"/>
      <c r="AG1591" s="167"/>
      <c r="AH1591" s="58"/>
      <c r="AI1591" s="39"/>
      <c r="AK1591" s="41"/>
    </row>
    <row r="1592" spans="1:38" ht="25.35" customHeight="1">
      <c r="B1592" s="87" t="s">
        <v>855</v>
      </c>
      <c r="C1592" s="87" t="s">
        <v>847</v>
      </c>
      <c r="D1592" s="168" t="s">
        <v>845</v>
      </c>
      <c r="E1592" s="143"/>
      <c r="F1592" s="143"/>
      <c r="G1592" s="143"/>
      <c r="H1592" s="143"/>
      <c r="I1592" s="143"/>
      <c r="J1592" s="73"/>
      <c r="K1592" s="143"/>
      <c r="L1592" s="143"/>
      <c r="M1592" s="143"/>
      <c r="N1592" s="143"/>
      <c r="O1592" s="143"/>
      <c r="P1592" s="143"/>
      <c r="Q1592" s="143"/>
      <c r="R1592" s="143"/>
      <c r="S1592" s="143"/>
      <c r="T1592" s="143"/>
      <c r="U1592" s="143"/>
      <c r="V1592" s="143"/>
      <c r="W1592" s="143"/>
      <c r="X1592" s="143"/>
      <c r="Y1592" s="143"/>
      <c r="Z1592" s="143"/>
      <c r="AA1592" s="144"/>
      <c r="AB1592" s="144"/>
      <c r="AC1592" s="55"/>
      <c r="AD1592" s="144"/>
      <c r="AE1592" s="144"/>
      <c r="AF1592" s="144"/>
      <c r="AG1592" s="167"/>
      <c r="AH1592" s="58"/>
      <c r="AI1592" s="39"/>
      <c r="AK1592" s="41"/>
    </row>
    <row r="1593" spans="1:38" ht="24.6" customHeight="1">
      <c r="B1593" s="87" t="s">
        <v>856</v>
      </c>
      <c r="C1593" s="87" t="s">
        <v>848</v>
      </c>
      <c r="D1593" s="168" t="s">
        <v>845</v>
      </c>
      <c r="E1593" s="143"/>
      <c r="F1593" s="143"/>
      <c r="G1593" s="143"/>
      <c r="H1593" s="143"/>
      <c r="I1593" s="143"/>
      <c r="J1593" s="73"/>
      <c r="K1593" s="143"/>
      <c r="L1593" s="143"/>
      <c r="M1593" s="143"/>
      <c r="N1593" s="143"/>
      <c r="O1593" s="143"/>
      <c r="P1593" s="143"/>
      <c r="Q1593" s="143"/>
      <c r="R1593" s="143"/>
      <c r="S1593" s="143"/>
      <c r="T1593" s="143"/>
      <c r="U1593" s="143"/>
      <c r="V1593" s="143"/>
      <c r="W1593" s="143"/>
      <c r="X1593" s="143"/>
      <c r="Y1593" s="143"/>
      <c r="Z1593" s="143"/>
      <c r="AA1593" s="144"/>
      <c r="AB1593" s="144"/>
      <c r="AC1593" s="55"/>
      <c r="AD1593" s="144"/>
      <c r="AE1593" s="144"/>
      <c r="AF1593" s="144"/>
      <c r="AG1593" s="167"/>
      <c r="AH1593" s="58"/>
      <c r="AI1593" s="39"/>
      <c r="AK1593" s="41"/>
    </row>
    <row r="1594" spans="1:38" ht="27.75">
      <c r="B1594" s="87" t="s">
        <v>857</v>
      </c>
      <c r="C1594" s="87" t="s">
        <v>849</v>
      </c>
      <c r="D1594" s="168" t="s">
        <v>845</v>
      </c>
      <c r="E1594" s="143"/>
      <c r="F1594" s="143"/>
      <c r="G1594" s="143"/>
      <c r="H1594" s="143"/>
      <c r="I1594" s="143"/>
      <c r="J1594" s="73"/>
      <c r="K1594" s="143"/>
      <c r="L1594" s="143"/>
      <c r="M1594" s="143"/>
      <c r="N1594" s="143"/>
      <c r="O1594" s="143"/>
      <c r="P1594" s="143"/>
      <c r="Q1594" s="143"/>
      <c r="R1594" s="143"/>
      <c r="S1594" s="143"/>
      <c r="T1594" s="143"/>
      <c r="U1594" s="143"/>
      <c r="V1594" s="143"/>
      <c r="W1594" s="143"/>
      <c r="X1594" s="143"/>
      <c r="Y1594" s="143"/>
      <c r="Z1594" s="143"/>
      <c r="AA1594" s="144"/>
      <c r="AB1594" s="144"/>
      <c r="AC1594" s="55"/>
      <c r="AD1594" s="144"/>
      <c r="AE1594" s="144"/>
      <c r="AF1594" s="144"/>
      <c r="AG1594" s="167"/>
      <c r="AH1594" s="58"/>
      <c r="AI1594" s="39"/>
      <c r="AK1594" s="41"/>
    </row>
    <row r="1595" spans="1:38" ht="36.6" customHeight="1">
      <c r="B1595" s="87" t="s">
        <v>858</v>
      </c>
      <c r="C1595" s="87" t="s">
        <v>850</v>
      </c>
      <c r="D1595" s="168" t="s">
        <v>845</v>
      </c>
      <c r="E1595" s="143"/>
      <c r="F1595" s="143"/>
      <c r="G1595" s="143"/>
      <c r="H1595" s="143"/>
      <c r="I1595" s="143"/>
      <c r="J1595" s="73"/>
      <c r="K1595" s="143"/>
      <c r="L1595" s="143"/>
      <c r="M1595" s="143"/>
      <c r="N1595" s="143"/>
      <c r="O1595" s="143"/>
      <c r="P1595" s="143"/>
      <c r="Q1595" s="143"/>
      <c r="R1595" s="143"/>
      <c r="S1595" s="143"/>
      <c r="T1595" s="143"/>
      <c r="U1595" s="143"/>
      <c r="V1595" s="143"/>
      <c r="W1595" s="143"/>
      <c r="X1595" s="143"/>
      <c r="Y1595" s="143"/>
      <c r="Z1595" s="143"/>
      <c r="AA1595" s="144"/>
      <c r="AB1595" s="144"/>
      <c r="AC1595" s="55"/>
      <c r="AD1595" s="144"/>
      <c r="AE1595" s="144"/>
      <c r="AF1595" s="144"/>
      <c r="AG1595" s="167"/>
      <c r="AH1595" s="58"/>
      <c r="AI1595" s="39"/>
      <c r="AK1595" s="41"/>
    </row>
    <row r="1596" spans="1:38" ht="29.1" customHeight="1">
      <c r="B1596" s="87" t="s">
        <v>859</v>
      </c>
      <c r="C1596" s="87" t="s">
        <v>852</v>
      </c>
      <c r="D1596" s="88" t="s">
        <v>371</v>
      </c>
      <c r="E1596" s="143"/>
      <c r="F1596" s="143"/>
      <c r="G1596" s="143"/>
      <c r="H1596" s="143"/>
      <c r="I1596" s="143"/>
      <c r="J1596" s="73"/>
      <c r="K1596" s="143"/>
      <c r="L1596" s="143"/>
      <c r="M1596" s="143"/>
      <c r="N1596" s="143"/>
      <c r="O1596" s="143"/>
      <c r="P1596" s="143"/>
      <c r="Q1596" s="143"/>
      <c r="R1596" s="143"/>
      <c r="S1596" s="143"/>
      <c r="T1596" s="143"/>
      <c r="U1596" s="143"/>
      <c r="V1596" s="143"/>
      <c r="W1596" s="143"/>
      <c r="X1596" s="143"/>
      <c r="Y1596" s="143"/>
      <c r="Z1596" s="143"/>
      <c r="AA1596" s="144"/>
      <c r="AB1596" s="144"/>
      <c r="AC1596" s="55"/>
      <c r="AD1596" s="144"/>
      <c r="AE1596" s="144"/>
      <c r="AF1596" s="144"/>
      <c r="AG1596" s="167"/>
      <c r="AH1596" s="58"/>
      <c r="AI1596" s="39"/>
      <c r="AK1596" s="41"/>
    </row>
    <row r="1597" spans="1:38" ht="33.6" customHeight="1">
      <c r="B1597" s="87" t="s">
        <v>860</v>
      </c>
      <c r="C1597" s="87" t="s">
        <v>846</v>
      </c>
      <c r="D1597" s="168" t="s">
        <v>845</v>
      </c>
      <c r="E1597" s="143"/>
      <c r="F1597" s="143"/>
      <c r="G1597" s="143"/>
      <c r="H1597" s="143"/>
      <c r="I1597" s="73"/>
      <c r="J1597" s="143"/>
      <c r="K1597" s="143"/>
      <c r="L1597" s="143"/>
      <c r="M1597" s="143"/>
      <c r="N1597" s="143"/>
      <c r="O1597" s="143"/>
      <c r="P1597" s="143"/>
      <c r="Q1597" s="143"/>
      <c r="R1597" s="143"/>
      <c r="S1597" s="143"/>
      <c r="T1597" s="143"/>
      <c r="U1597" s="143"/>
      <c r="V1597" s="143"/>
      <c r="W1597" s="143"/>
      <c r="X1597" s="143"/>
      <c r="Y1597" s="143"/>
      <c r="Z1597" s="143"/>
      <c r="AA1597" s="144"/>
      <c r="AB1597" s="144"/>
      <c r="AC1597" s="55"/>
      <c r="AD1597" s="144"/>
      <c r="AE1597" s="144"/>
      <c r="AF1597" s="144"/>
      <c r="AG1597" s="167"/>
      <c r="AH1597" s="58"/>
      <c r="AI1597" s="39"/>
      <c r="AK1597" s="41"/>
    </row>
    <row r="1598" spans="1:38" ht="45.6" customHeight="1">
      <c r="B1598" s="87" t="s">
        <v>861</v>
      </c>
      <c r="C1598" s="87" t="s">
        <v>876</v>
      </c>
      <c r="D1598" s="88" t="s">
        <v>371</v>
      </c>
      <c r="E1598" s="143"/>
      <c r="F1598" s="143"/>
      <c r="G1598" s="143"/>
      <c r="H1598" s="143"/>
      <c r="I1598" s="73"/>
      <c r="J1598" s="143"/>
      <c r="K1598" s="143"/>
      <c r="L1598" s="143"/>
      <c r="M1598" s="143"/>
      <c r="N1598" s="143"/>
      <c r="O1598" s="143"/>
      <c r="P1598" s="143"/>
      <c r="Q1598" s="143"/>
      <c r="R1598" s="143"/>
      <c r="S1598" s="143"/>
      <c r="T1598" s="143"/>
      <c r="U1598" s="143"/>
      <c r="V1598" s="143"/>
      <c r="W1598" s="143"/>
      <c r="X1598" s="143"/>
      <c r="Y1598" s="143"/>
      <c r="Z1598" s="143"/>
      <c r="AA1598" s="144"/>
      <c r="AB1598" s="144"/>
      <c r="AC1598" s="55"/>
      <c r="AD1598" s="144"/>
      <c r="AE1598" s="144"/>
      <c r="AF1598" s="144"/>
      <c r="AG1598" s="167"/>
      <c r="AH1598" s="58"/>
      <c r="AI1598" s="39"/>
      <c r="AK1598" s="41"/>
    </row>
    <row r="1599" spans="1:38" ht="20.25" customHeight="1">
      <c r="B1599" s="87" t="s">
        <v>862</v>
      </c>
      <c r="C1599" s="87" t="s">
        <v>2200</v>
      </c>
      <c r="D1599" s="168" t="s">
        <v>845</v>
      </c>
      <c r="E1599" s="143"/>
      <c r="F1599" s="143"/>
      <c r="G1599" s="143"/>
      <c r="H1599" s="143"/>
      <c r="I1599" s="73"/>
      <c r="J1599" s="143"/>
      <c r="K1599" s="143"/>
      <c r="L1599" s="143"/>
      <c r="M1599" s="143"/>
      <c r="N1599" s="143"/>
      <c r="O1599" s="143"/>
      <c r="P1599" s="143"/>
      <c r="Q1599" s="143"/>
      <c r="R1599" s="143"/>
      <c r="S1599" s="143"/>
      <c r="T1599" s="143"/>
      <c r="U1599" s="143"/>
      <c r="V1599" s="143"/>
      <c r="W1599" s="143"/>
      <c r="X1599" s="143"/>
      <c r="Y1599" s="143"/>
      <c r="Z1599" s="143"/>
      <c r="AA1599" s="144"/>
      <c r="AB1599" s="144"/>
      <c r="AC1599" s="55"/>
      <c r="AD1599" s="144"/>
      <c r="AE1599" s="144"/>
      <c r="AF1599" s="144"/>
      <c r="AG1599" s="167"/>
      <c r="AH1599" s="58"/>
      <c r="AI1599" s="39"/>
      <c r="AK1599" s="41"/>
    </row>
    <row r="1600" spans="1:38" ht="19.5" customHeight="1">
      <c r="B1600" s="87"/>
      <c r="C1600" s="87" t="s">
        <v>2199</v>
      </c>
      <c r="D1600" s="169"/>
      <c r="E1600" s="143"/>
      <c r="F1600" s="143"/>
      <c r="G1600" s="143"/>
      <c r="H1600" s="143"/>
      <c r="I1600" s="143"/>
      <c r="J1600" s="143"/>
      <c r="K1600" s="143"/>
      <c r="L1600" s="143"/>
      <c r="M1600" s="143"/>
      <c r="N1600" s="143"/>
      <c r="O1600" s="143"/>
      <c r="P1600" s="143"/>
      <c r="Q1600" s="143"/>
      <c r="R1600" s="143"/>
      <c r="S1600" s="143"/>
      <c r="T1600" s="143"/>
      <c r="U1600" s="143"/>
      <c r="V1600" s="143"/>
      <c r="W1600" s="143"/>
      <c r="X1600" s="143"/>
      <c r="Y1600" s="143"/>
      <c r="Z1600" s="143"/>
      <c r="AA1600" s="144"/>
      <c r="AB1600" s="144"/>
      <c r="AC1600" s="55"/>
      <c r="AD1600" s="169"/>
      <c r="AE1600" s="170"/>
      <c r="AF1600" s="170"/>
      <c r="AG1600" s="167"/>
      <c r="AH1600" s="58"/>
      <c r="AI1600" s="39"/>
      <c r="AK1600" s="41"/>
    </row>
    <row r="1601" spans="2:37" ht="19.5" customHeight="1">
      <c r="B1601" s="87" t="s">
        <v>863</v>
      </c>
      <c r="C1601" s="87" t="s">
        <v>2190</v>
      </c>
      <c r="D1601" s="168" t="s">
        <v>845</v>
      </c>
      <c r="E1601" s="143"/>
      <c r="F1601" s="143"/>
      <c r="G1601" s="143"/>
      <c r="H1601" s="143"/>
      <c r="I1601" s="143"/>
      <c r="J1601" s="143"/>
      <c r="K1601" s="143"/>
      <c r="L1601" s="143"/>
      <c r="M1601" s="143"/>
      <c r="N1601" s="143"/>
      <c r="O1601" s="143"/>
      <c r="P1601" s="143"/>
      <c r="Q1601" s="143"/>
      <c r="R1601" s="143"/>
      <c r="S1601" s="143"/>
      <c r="T1601" s="143"/>
      <c r="U1601" s="143"/>
      <c r="V1601" s="143"/>
      <c r="W1601" s="143"/>
      <c r="X1601" s="143"/>
      <c r="Y1601" s="143"/>
      <c r="Z1601" s="143"/>
      <c r="AA1601" s="144"/>
      <c r="AB1601" s="144"/>
      <c r="AC1601" s="55"/>
      <c r="AD1601" s="171"/>
      <c r="AE1601" s="171"/>
      <c r="AF1601" s="171"/>
      <c r="AG1601" s="167"/>
      <c r="AH1601" s="58"/>
      <c r="AI1601" s="39"/>
      <c r="AK1601" s="41"/>
    </row>
    <row r="1602" spans="2:37" ht="19.5" customHeight="1">
      <c r="B1602" s="87" t="s">
        <v>864</v>
      </c>
      <c r="C1602" s="87" t="s">
        <v>2191</v>
      </c>
      <c r="D1602" s="168" t="s">
        <v>845</v>
      </c>
      <c r="E1602" s="143"/>
      <c r="F1602" s="143"/>
      <c r="G1602" s="143"/>
      <c r="H1602" s="143"/>
      <c r="I1602" s="143"/>
      <c r="J1602" s="143"/>
      <c r="K1602" s="143"/>
      <c r="L1602" s="143"/>
      <c r="M1602" s="143"/>
      <c r="N1602" s="143"/>
      <c r="O1602" s="143"/>
      <c r="P1602" s="143"/>
      <c r="Q1602" s="143"/>
      <c r="R1602" s="143"/>
      <c r="S1602" s="143"/>
      <c r="T1602" s="143"/>
      <c r="U1602" s="143"/>
      <c r="V1602" s="143"/>
      <c r="W1602" s="143"/>
      <c r="X1602" s="143"/>
      <c r="Y1602" s="143"/>
      <c r="Z1602" s="143"/>
      <c r="AA1602" s="144"/>
      <c r="AB1602" s="144"/>
      <c r="AC1602" s="55"/>
      <c r="AD1602" s="171"/>
      <c r="AE1602" s="171"/>
      <c r="AF1602" s="171"/>
      <c r="AG1602" s="167"/>
      <c r="AH1602" s="58"/>
      <c r="AI1602" s="39"/>
      <c r="AK1602" s="41"/>
    </row>
    <row r="1603" spans="2:37" ht="48" customHeight="1">
      <c r="B1603" s="87" t="s">
        <v>865</v>
      </c>
      <c r="C1603" s="87" t="s">
        <v>2689</v>
      </c>
      <c r="D1603" s="168" t="s">
        <v>204</v>
      </c>
      <c r="E1603" s="143"/>
      <c r="F1603" s="143"/>
      <c r="G1603" s="143"/>
      <c r="H1603" s="143"/>
      <c r="I1603" s="143"/>
      <c r="J1603" s="143"/>
      <c r="K1603" s="143"/>
      <c r="L1603" s="143"/>
      <c r="M1603" s="143"/>
      <c r="N1603" s="143"/>
      <c r="O1603" s="143"/>
      <c r="P1603" s="143"/>
      <c r="Q1603" s="143"/>
      <c r="R1603" s="143"/>
      <c r="S1603" s="143"/>
      <c r="T1603" s="143"/>
      <c r="U1603" s="143"/>
      <c r="V1603" s="143"/>
      <c r="W1603" s="143"/>
      <c r="X1603" s="143"/>
      <c r="Y1603" s="143"/>
      <c r="Z1603" s="143"/>
      <c r="AA1603" s="144"/>
      <c r="AB1603" s="144"/>
      <c r="AC1603" s="55"/>
      <c r="AD1603" s="171"/>
      <c r="AE1603" s="171"/>
      <c r="AF1603" s="171"/>
      <c r="AG1603" s="167"/>
      <c r="AH1603" s="58"/>
      <c r="AI1603" s="39"/>
      <c r="AK1603" s="41"/>
    </row>
    <row r="1604" spans="2:37" ht="19.5" customHeight="1">
      <c r="B1604" s="87"/>
      <c r="C1604" s="172" t="s">
        <v>2198</v>
      </c>
      <c r="D1604" s="173"/>
      <c r="E1604" s="143"/>
      <c r="F1604" s="143"/>
      <c r="G1604" s="143"/>
      <c r="H1604" s="143"/>
      <c r="I1604" s="143"/>
      <c r="J1604" s="143"/>
      <c r="K1604" s="143"/>
      <c r="L1604" s="143"/>
      <c r="M1604" s="143"/>
      <c r="N1604" s="143"/>
      <c r="O1604" s="143"/>
      <c r="P1604" s="143"/>
      <c r="Q1604" s="143"/>
      <c r="R1604" s="143"/>
      <c r="S1604" s="143"/>
      <c r="T1604" s="143"/>
      <c r="U1604" s="143"/>
      <c r="V1604" s="143"/>
      <c r="W1604" s="143"/>
      <c r="X1604" s="143"/>
      <c r="Y1604" s="143"/>
      <c r="Z1604" s="143"/>
      <c r="AA1604" s="144"/>
      <c r="AB1604" s="144"/>
      <c r="AC1604" s="55"/>
      <c r="AD1604" s="169"/>
      <c r="AE1604" s="170"/>
      <c r="AF1604" s="170"/>
      <c r="AG1604" s="167"/>
      <c r="AH1604" s="58"/>
      <c r="AI1604" s="39"/>
      <c r="AK1604" s="41"/>
    </row>
    <row r="1605" spans="2:37" ht="19.5" customHeight="1">
      <c r="B1605" s="87" t="s">
        <v>866</v>
      </c>
      <c r="C1605" s="172" t="s">
        <v>2685</v>
      </c>
      <c r="D1605" s="173" t="s">
        <v>845</v>
      </c>
      <c r="E1605" s="143"/>
      <c r="F1605" s="143"/>
      <c r="G1605" s="143"/>
      <c r="H1605" s="143"/>
      <c r="I1605" s="143"/>
      <c r="J1605" s="143"/>
      <c r="K1605" s="143"/>
      <c r="L1605" s="143"/>
      <c r="M1605" s="143"/>
      <c r="N1605" s="143"/>
      <c r="O1605" s="143"/>
      <c r="P1605" s="143"/>
      <c r="Q1605" s="143"/>
      <c r="R1605" s="143"/>
      <c r="S1605" s="143"/>
      <c r="T1605" s="143"/>
      <c r="U1605" s="143"/>
      <c r="V1605" s="143"/>
      <c r="W1605" s="143"/>
      <c r="X1605" s="143"/>
      <c r="Y1605" s="143"/>
      <c r="Z1605" s="143"/>
      <c r="AA1605" s="144"/>
      <c r="AB1605" s="144"/>
      <c r="AC1605" s="55"/>
      <c r="AD1605" s="171"/>
      <c r="AE1605" s="171"/>
      <c r="AF1605" s="171"/>
      <c r="AG1605" s="167"/>
      <c r="AH1605" s="58"/>
      <c r="AI1605" s="39"/>
      <c r="AK1605" s="41"/>
    </row>
    <row r="1606" spans="2:37" ht="19.5" customHeight="1">
      <c r="B1606" s="87" t="s">
        <v>867</v>
      </c>
      <c r="C1606" s="172" t="s">
        <v>2686</v>
      </c>
      <c r="D1606" s="173" t="s">
        <v>845</v>
      </c>
      <c r="E1606" s="143"/>
      <c r="F1606" s="143"/>
      <c r="G1606" s="143"/>
      <c r="H1606" s="143"/>
      <c r="I1606" s="143"/>
      <c r="J1606" s="143"/>
      <c r="K1606" s="143"/>
      <c r="L1606" s="143"/>
      <c r="M1606" s="143"/>
      <c r="N1606" s="143"/>
      <c r="O1606" s="143"/>
      <c r="P1606" s="143"/>
      <c r="Q1606" s="143"/>
      <c r="R1606" s="143"/>
      <c r="S1606" s="143"/>
      <c r="T1606" s="143"/>
      <c r="U1606" s="143"/>
      <c r="V1606" s="143"/>
      <c r="W1606" s="143"/>
      <c r="X1606" s="143"/>
      <c r="Y1606" s="143"/>
      <c r="Z1606" s="143"/>
      <c r="AA1606" s="144"/>
      <c r="AB1606" s="144"/>
      <c r="AC1606" s="55"/>
      <c r="AD1606" s="171"/>
      <c r="AE1606" s="171"/>
      <c r="AF1606" s="171"/>
      <c r="AG1606" s="167"/>
      <c r="AH1606" s="58"/>
      <c r="AI1606" s="39"/>
      <c r="AK1606" s="41"/>
    </row>
    <row r="1607" spans="2:37" ht="19.5" customHeight="1">
      <c r="B1607" s="87" t="s">
        <v>868</v>
      </c>
      <c r="C1607" s="172" t="s">
        <v>2202</v>
      </c>
      <c r="D1607" s="173" t="s">
        <v>204</v>
      </c>
      <c r="E1607" s="143"/>
      <c r="F1607" s="143"/>
      <c r="G1607" s="143"/>
      <c r="H1607" s="143"/>
      <c r="I1607" s="143"/>
      <c r="J1607" s="143"/>
      <c r="K1607" s="143"/>
      <c r="L1607" s="143"/>
      <c r="M1607" s="143"/>
      <c r="N1607" s="143"/>
      <c r="O1607" s="143"/>
      <c r="P1607" s="143"/>
      <c r="Q1607" s="143"/>
      <c r="R1607" s="143"/>
      <c r="S1607" s="143"/>
      <c r="T1607" s="143"/>
      <c r="U1607" s="143"/>
      <c r="V1607" s="143"/>
      <c r="W1607" s="143"/>
      <c r="X1607" s="143"/>
      <c r="Y1607" s="143"/>
      <c r="Z1607" s="143"/>
      <c r="AA1607" s="144"/>
      <c r="AB1607" s="144"/>
      <c r="AC1607" s="55"/>
      <c r="AD1607" s="171"/>
      <c r="AE1607" s="171"/>
      <c r="AF1607" s="171"/>
      <c r="AG1607" s="167"/>
      <c r="AH1607" s="58"/>
      <c r="AI1607" s="39"/>
      <c r="AK1607" s="41"/>
    </row>
    <row r="1608" spans="2:37" ht="19.5" customHeight="1">
      <c r="B1608" s="87" t="s">
        <v>869</v>
      </c>
      <c r="C1608" s="87" t="s">
        <v>2192</v>
      </c>
      <c r="D1608" s="173" t="s">
        <v>845</v>
      </c>
      <c r="E1608" s="143"/>
      <c r="F1608" s="143"/>
      <c r="G1608" s="143"/>
      <c r="H1608" s="143"/>
      <c r="I1608" s="143"/>
      <c r="J1608" s="143"/>
      <c r="K1608" s="143"/>
      <c r="L1608" s="143"/>
      <c r="M1608" s="143"/>
      <c r="N1608" s="143"/>
      <c r="O1608" s="143"/>
      <c r="P1608" s="143"/>
      <c r="Q1608" s="143"/>
      <c r="R1608" s="143"/>
      <c r="S1608" s="143"/>
      <c r="T1608" s="143"/>
      <c r="U1608" s="143"/>
      <c r="V1608" s="143"/>
      <c r="W1608" s="143"/>
      <c r="X1608" s="143"/>
      <c r="Y1608" s="143"/>
      <c r="Z1608" s="143"/>
      <c r="AA1608" s="144"/>
      <c r="AB1608" s="144"/>
      <c r="AC1608" s="55"/>
      <c r="AD1608" s="171"/>
      <c r="AE1608" s="171"/>
      <c r="AF1608" s="171"/>
      <c r="AG1608" s="167"/>
      <c r="AH1608" s="58"/>
      <c r="AI1608" s="39"/>
      <c r="AK1608" s="41"/>
    </row>
    <row r="1609" spans="2:37" ht="19.5" customHeight="1">
      <c r="B1609" s="87" t="s">
        <v>870</v>
      </c>
      <c r="C1609" s="87" t="s">
        <v>2193</v>
      </c>
      <c r="D1609" s="173" t="s">
        <v>845</v>
      </c>
      <c r="E1609" s="143"/>
      <c r="F1609" s="143"/>
      <c r="G1609" s="143"/>
      <c r="H1609" s="143"/>
      <c r="I1609" s="143"/>
      <c r="J1609" s="143"/>
      <c r="K1609" s="143"/>
      <c r="L1609" s="143"/>
      <c r="M1609" s="143"/>
      <c r="N1609" s="143"/>
      <c r="O1609" s="143"/>
      <c r="P1609" s="143"/>
      <c r="Q1609" s="143"/>
      <c r="R1609" s="143"/>
      <c r="S1609" s="143"/>
      <c r="T1609" s="143"/>
      <c r="U1609" s="143"/>
      <c r="V1609" s="143"/>
      <c r="W1609" s="143"/>
      <c r="X1609" s="143"/>
      <c r="Y1609" s="143"/>
      <c r="Z1609" s="143"/>
      <c r="AA1609" s="144"/>
      <c r="AB1609" s="144"/>
      <c r="AC1609" s="55"/>
      <c r="AD1609" s="171"/>
      <c r="AE1609" s="171"/>
      <c r="AF1609" s="171"/>
      <c r="AG1609" s="167"/>
      <c r="AH1609" s="58"/>
      <c r="AI1609" s="39"/>
      <c r="AK1609" s="41"/>
    </row>
    <row r="1610" spans="2:37" ht="19.5" customHeight="1">
      <c r="B1610" s="87" t="s">
        <v>871</v>
      </c>
      <c r="C1610" s="87" t="s">
        <v>2194</v>
      </c>
      <c r="D1610" s="173" t="s">
        <v>845</v>
      </c>
      <c r="E1610" s="143"/>
      <c r="F1610" s="143"/>
      <c r="G1610" s="143"/>
      <c r="H1610" s="143"/>
      <c r="I1610" s="143"/>
      <c r="J1610" s="143"/>
      <c r="K1610" s="143"/>
      <c r="L1610" s="143"/>
      <c r="M1610" s="143"/>
      <c r="N1610" s="143"/>
      <c r="O1610" s="143"/>
      <c r="P1610" s="143"/>
      <c r="Q1610" s="143"/>
      <c r="R1610" s="143"/>
      <c r="S1610" s="143"/>
      <c r="T1610" s="143"/>
      <c r="U1610" s="143"/>
      <c r="V1610" s="143"/>
      <c r="W1610" s="143"/>
      <c r="X1610" s="143"/>
      <c r="Y1610" s="143"/>
      <c r="Z1610" s="143"/>
      <c r="AA1610" s="144"/>
      <c r="AB1610" s="144"/>
      <c r="AC1610" s="55"/>
      <c r="AD1610" s="171"/>
      <c r="AE1610" s="171"/>
      <c r="AF1610" s="171"/>
      <c r="AG1610" s="167"/>
      <c r="AH1610" s="58"/>
      <c r="AI1610" s="39"/>
      <c r="AK1610" s="41"/>
    </row>
    <row r="1611" spans="2:37" ht="19.5" customHeight="1">
      <c r="B1611" s="87" t="s">
        <v>872</v>
      </c>
      <c r="C1611" s="87" t="s">
        <v>2195</v>
      </c>
      <c r="D1611" s="173" t="s">
        <v>845</v>
      </c>
      <c r="E1611" s="143"/>
      <c r="F1611" s="143"/>
      <c r="G1611" s="143"/>
      <c r="H1611" s="143"/>
      <c r="I1611" s="143"/>
      <c r="J1611" s="143"/>
      <c r="K1611" s="143"/>
      <c r="L1611" s="143"/>
      <c r="M1611" s="143"/>
      <c r="N1611" s="143"/>
      <c r="O1611" s="143"/>
      <c r="P1611" s="143"/>
      <c r="Q1611" s="143"/>
      <c r="R1611" s="143"/>
      <c r="S1611" s="143"/>
      <c r="T1611" s="143"/>
      <c r="U1611" s="143"/>
      <c r="V1611" s="143"/>
      <c r="W1611" s="143"/>
      <c r="X1611" s="143"/>
      <c r="Y1611" s="143"/>
      <c r="Z1611" s="143"/>
      <c r="AA1611" s="144"/>
      <c r="AB1611" s="144"/>
      <c r="AC1611" s="55"/>
      <c r="AD1611" s="171"/>
      <c r="AE1611" s="171"/>
      <c r="AF1611" s="171"/>
      <c r="AG1611" s="167"/>
      <c r="AH1611" s="58"/>
      <c r="AI1611" s="39"/>
      <c r="AK1611" s="41"/>
    </row>
    <row r="1612" spans="2:37" ht="19.5" customHeight="1">
      <c r="B1612" s="87" t="s">
        <v>873</v>
      </c>
      <c r="C1612" s="87" t="s">
        <v>2684</v>
      </c>
      <c r="D1612" s="173" t="s">
        <v>845</v>
      </c>
      <c r="E1612" s="143"/>
      <c r="F1612" s="143"/>
      <c r="G1612" s="143"/>
      <c r="H1612" s="143"/>
      <c r="I1612" s="143"/>
      <c r="J1612" s="143"/>
      <c r="K1612" s="143"/>
      <c r="L1612" s="143"/>
      <c r="M1612" s="143"/>
      <c r="N1612" s="143"/>
      <c r="O1612" s="143"/>
      <c r="P1612" s="143"/>
      <c r="Q1612" s="143"/>
      <c r="R1612" s="143"/>
      <c r="S1612" s="143"/>
      <c r="T1612" s="143"/>
      <c r="U1612" s="143"/>
      <c r="V1612" s="143"/>
      <c r="W1612" s="143"/>
      <c r="X1612" s="143"/>
      <c r="Y1612" s="143"/>
      <c r="Z1612" s="143"/>
      <c r="AA1612" s="144"/>
      <c r="AB1612" s="144"/>
      <c r="AC1612" s="55"/>
      <c r="AD1612" s="171"/>
      <c r="AE1612" s="171"/>
      <c r="AF1612" s="171"/>
      <c r="AG1612" s="167"/>
      <c r="AH1612" s="58"/>
      <c r="AI1612" s="39"/>
      <c r="AK1612" s="41"/>
    </row>
    <row r="1613" spans="2:37" ht="19.5" customHeight="1">
      <c r="B1613" s="87" t="s">
        <v>874</v>
      </c>
      <c r="C1613" s="87" t="s">
        <v>2196</v>
      </c>
      <c r="D1613" s="173" t="s">
        <v>845</v>
      </c>
      <c r="E1613" s="143"/>
      <c r="F1613" s="143"/>
      <c r="G1613" s="143"/>
      <c r="H1613" s="143"/>
      <c r="I1613" s="143"/>
      <c r="J1613" s="143"/>
      <c r="K1613" s="143"/>
      <c r="L1613" s="143"/>
      <c r="M1613" s="143"/>
      <c r="N1613" s="143"/>
      <c r="O1613" s="143"/>
      <c r="P1613" s="143"/>
      <c r="Q1613" s="143"/>
      <c r="R1613" s="143"/>
      <c r="S1613" s="143"/>
      <c r="T1613" s="143"/>
      <c r="U1613" s="143"/>
      <c r="V1613" s="143"/>
      <c r="W1613" s="143"/>
      <c r="X1613" s="143"/>
      <c r="Y1613" s="143"/>
      <c r="Z1613" s="143"/>
      <c r="AA1613" s="144"/>
      <c r="AB1613" s="144"/>
      <c r="AC1613" s="55"/>
      <c r="AD1613" s="171"/>
      <c r="AE1613" s="171"/>
      <c r="AF1613" s="171"/>
      <c r="AG1613" s="167"/>
      <c r="AH1613" s="58"/>
      <c r="AI1613" s="39"/>
      <c r="AK1613" s="41"/>
    </row>
    <row r="1614" spans="2:37" ht="19.5" customHeight="1">
      <c r="B1614" s="87" t="s">
        <v>875</v>
      </c>
      <c r="C1614" s="87" t="s">
        <v>2197</v>
      </c>
      <c r="D1614" s="173" t="s">
        <v>845</v>
      </c>
      <c r="E1614" s="143"/>
      <c r="F1614" s="143"/>
      <c r="G1614" s="143"/>
      <c r="H1614" s="143"/>
      <c r="I1614" s="143"/>
      <c r="J1614" s="143"/>
      <c r="K1614" s="143"/>
      <c r="L1614" s="143"/>
      <c r="M1614" s="143"/>
      <c r="N1614" s="143"/>
      <c r="O1614" s="143"/>
      <c r="P1614" s="143"/>
      <c r="Q1614" s="143"/>
      <c r="R1614" s="143"/>
      <c r="S1614" s="143"/>
      <c r="T1614" s="143"/>
      <c r="U1614" s="143"/>
      <c r="V1614" s="143"/>
      <c r="W1614" s="143"/>
      <c r="X1614" s="143"/>
      <c r="Y1614" s="143"/>
      <c r="Z1614" s="143"/>
      <c r="AA1614" s="144"/>
      <c r="AB1614" s="144"/>
      <c r="AC1614" s="55"/>
      <c r="AD1614" s="171"/>
      <c r="AE1614" s="171"/>
      <c r="AF1614" s="171"/>
      <c r="AG1614" s="167"/>
      <c r="AH1614" s="58"/>
      <c r="AI1614" s="39"/>
      <c r="AK1614" s="41"/>
    </row>
    <row r="1615" spans="2:37" ht="19.5" customHeight="1">
      <c r="B1615" s="87" t="s">
        <v>2207</v>
      </c>
      <c r="C1615" s="172" t="s">
        <v>2203</v>
      </c>
      <c r="D1615" s="173" t="s">
        <v>845</v>
      </c>
      <c r="E1615" s="143"/>
      <c r="F1615" s="143"/>
      <c r="G1615" s="143"/>
      <c r="H1615" s="143"/>
      <c r="I1615" s="143"/>
      <c r="J1615" s="143"/>
      <c r="K1615" s="143"/>
      <c r="L1615" s="143"/>
      <c r="M1615" s="143"/>
      <c r="N1615" s="143"/>
      <c r="O1615" s="143"/>
      <c r="P1615" s="143"/>
      <c r="Q1615" s="143"/>
      <c r="R1615" s="143"/>
      <c r="S1615" s="143"/>
      <c r="T1615" s="143"/>
      <c r="U1615" s="143"/>
      <c r="V1615" s="143"/>
      <c r="W1615" s="143"/>
      <c r="X1615" s="143"/>
      <c r="Y1615" s="143"/>
      <c r="Z1615" s="143"/>
      <c r="AA1615" s="144"/>
      <c r="AB1615" s="144"/>
      <c r="AC1615" s="55"/>
      <c r="AD1615" s="171"/>
      <c r="AE1615" s="171"/>
      <c r="AF1615" s="171"/>
      <c r="AG1615" s="167"/>
      <c r="AH1615" s="58"/>
      <c r="AI1615" s="39"/>
      <c r="AK1615" s="41"/>
    </row>
    <row r="1616" spans="2:37" ht="19.5" customHeight="1">
      <c r="B1616" s="87" t="s">
        <v>2208</v>
      </c>
      <c r="C1616" s="172" t="s">
        <v>2204</v>
      </c>
      <c r="D1616" s="173" t="s">
        <v>204</v>
      </c>
      <c r="E1616" s="143"/>
      <c r="F1616" s="143"/>
      <c r="G1616" s="143"/>
      <c r="H1616" s="143"/>
      <c r="I1616" s="143"/>
      <c r="J1616" s="143"/>
      <c r="K1616" s="143"/>
      <c r="L1616" s="143"/>
      <c r="M1616" s="143"/>
      <c r="N1616" s="143"/>
      <c r="O1616" s="143"/>
      <c r="P1616" s="143"/>
      <c r="Q1616" s="143"/>
      <c r="R1616" s="143"/>
      <c r="S1616" s="143"/>
      <c r="T1616" s="143"/>
      <c r="U1616" s="143"/>
      <c r="V1616" s="143"/>
      <c r="W1616" s="143"/>
      <c r="X1616" s="143"/>
      <c r="Y1616" s="143"/>
      <c r="Z1616" s="143"/>
      <c r="AA1616" s="144"/>
      <c r="AB1616" s="144"/>
      <c r="AC1616" s="55"/>
      <c r="AD1616" s="171"/>
      <c r="AE1616" s="171"/>
      <c r="AF1616" s="171"/>
      <c r="AG1616" s="167"/>
      <c r="AH1616" s="58"/>
      <c r="AI1616" s="39"/>
      <c r="AK1616" s="41"/>
    </row>
    <row r="1617" spans="2:37" ht="19.5" customHeight="1">
      <c r="B1617" s="87" t="s">
        <v>2209</v>
      </c>
      <c r="C1617" s="172" t="s">
        <v>2205</v>
      </c>
      <c r="D1617" s="173" t="s">
        <v>204</v>
      </c>
      <c r="E1617" s="143"/>
      <c r="F1617" s="143"/>
      <c r="G1617" s="143"/>
      <c r="H1617" s="143"/>
      <c r="I1617" s="143"/>
      <c r="J1617" s="143"/>
      <c r="K1617" s="143"/>
      <c r="L1617" s="143"/>
      <c r="M1617" s="143"/>
      <c r="N1617" s="143"/>
      <c r="O1617" s="143"/>
      <c r="P1617" s="143"/>
      <c r="Q1617" s="143"/>
      <c r="R1617" s="143"/>
      <c r="S1617" s="143"/>
      <c r="T1617" s="143"/>
      <c r="U1617" s="143"/>
      <c r="V1617" s="143"/>
      <c r="W1617" s="143"/>
      <c r="X1617" s="143"/>
      <c r="Y1617" s="143"/>
      <c r="Z1617" s="143"/>
      <c r="AA1617" s="144"/>
      <c r="AB1617" s="144"/>
      <c r="AC1617" s="55"/>
      <c r="AD1617" s="171"/>
      <c r="AE1617" s="171"/>
      <c r="AF1617" s="171"/>
      <c r="AG1617" s="167"/>
      <c r="AH1617" s="58"/>
      <c r="AI1617" s="39"/>
      <c r="AK1617" s="41"/>
    </row>
    <row r="1618" spans="2:37" ht="19.5" customHeight="1">
      <c r="B1618" s="87" t="s">
        <v>2210</v>
      </c>
      <c r="C1618" s="172" t="s">
        <v>2206</v>
      </c>
      <c r="D1618" s="173" t="s">
        <v>204</v>
      </c>
      <c r="E1618" s="143"/>
      <c r="F1618" s="143"/>
      <c r="G1618" s="143"/>
      <c r="H1618" s="143"/>
      <c r="I1618" s="143"/>
      <c r="J1618" s="143"/>
      <c r="K1618" s="143"/>
      <c r="L1618" s="143"/>
      <c r="M1618" s="143"/>
      <c r="N1618" s="143"/>
      <c r="O1618" s="143"/>
      <c r="P1618" s="143"/>
      <c r="Q1618" s="143"/>
      <c r="R1618" s="143"/>
      <c r="S1618" s="143"/>
      <c r="T1618" s="143"/>
      <c r="U1618" s="143"/>
      <c r="V1618" s="143"/>
      <c r="W1618" s="143"/>
      <c r="X1618" s="143"/>
      <c r="Y1618" s="143"/>
      <c r="Z1618" s="143"/>
      <c r="AA1618" s="144"/>
      <c r="AB1618" s="144"/>
      <c r="AC1618" s="55"/>
      <c r="AD1618" s="171"/>
      <c r="AE1618" s="171"/>
      <c r="AF1618" s="171"/>
      <c r="AG1618" s="167"/>
      <c r="AH1618" s="58"/>
      <c r="AI1618" s="39"/>
      <c r="AK1618" s="41"/>
    </row>
    <row r="1619" spans="2:37" ht="19.5" customHeight="1">
      <c r="B1619" s="87" t="s">
        <v>2211</v>
      </c>
      <c r="C1619" s="172" t="s">
        <v>2219</v>
      </c>
      <c r="D1619" s="173" t="s">
        <v>2220</v>
      </c>
      <c r="E1619" s="143"/>
      <c r="F1619" s="143"/>
      <c r="G1619" s="143"/>
      <c r="H1619" s="143"/>
      <c r="I1619" s="143"/>
      <c r="J1619" s="143"/>
      <c r="K1619" s="143"/>
      <c r="L1619" s="143"/>
      <c r="M1619" s="143"/>
      <c r="N1619" s="143"/>
      <c r="O1619" s="143"/>
      <c r="P1619" s="143"/>
      <c r="Q1619" s="143"/>
      <c r="R1619" s="143"/>
      <c r="S1619" s="143"/>
      <c r="T1619" s="143"/>
      <c r="U1619" s="143"/>
      <c r="V1619" s="143"/>
      <c r="W1619" s="143"/>
      <c r="X1619" s="143"/>
      <c r="Y1619" s="143"/>
      <c r="Z1619" s="143"/>
      <c r="AA1619" s="144"/>
      <c r="AB1619" s="144"/>
      <c r="AC1619" s="55"/>
      <c r="AD1619" s="171"/>
      <c r="AE1619" s="171"/>
      <c r="AF1619" s="171"/>
      <c r="AG1619" s="167"/>
      <c r="AH1619" s="58"/>
      <c r="AI1619" s="39"/>
      <c r="AK1619" s="41"/>
    </row>
    <row r="1620" spans="2:37" ht="19.5" customHeight="1">
      <c r="B1620" s="87" t="s">
        <v>2212</v>
      </c>
      <c r="C1620" s="172" t="s">
        <v>2221</v>
      </c>
      <c r="D1620" s="173" t="s">
        <v>2222</v>
      </c>
      <c r="E1620" s="143"/>
      <c r="F1620" s="143"/>
      <c r="G1620" s="143"/>
      <c r="H1620" s="143"/>
      <c r="I1620" s="143"/>
      <c r="J1620" s="143"/>
      <c r="K1620" s="143"/>
      <c r="L1620" s="143"/>
      <c r="M1620" s="143"/>
      <c r="N1620" s="143"/>
      <c r="O1620" s="143"/>
      <c r="P1620" s="143"/>
      <c r="Q1620" s="143"/>
      <c r="R1620" s="143"/>
      <c r="S1620" s="143"/>
      <c r="T1620" s="143"/>
      <c r="U1620" s="143"/>
      <c r="V1620" s="143"/>
      <c r="W1620" s="143"/>
      <c r="X1620" s="143"/>
      <c r="Y1620" s="143"/>
      <c r="Z1620" s="143"/>
      <c r="AA1620" s="144"/>
      <c r="AB1620" s="144"/>
      <c r="AC1620" s="55"/>
      <c r="AD1620" s="171"/>
      <c r="AE1620" s="171"/>
      <c r="AF1620" s="171"/>
      <c r="AG1620" s="167"/>
      <c r="AH1620" s="58"/>
      <c r="AI1620" s="39"/>
      <c r="AK1620" s="41"/>
    </row>
    <row r="1621" spans="2:37" ht="19.5" customHeight="1">
      <c r="B1621" s="87" t="s">
        <v>2213</v>
      </c>
      <c r="C1621" s="172" t="s">
        <v>2223</v>
      </c>
      <c r="D1621" s="173" t="s">
        <v>845</v>
      </c>
      <c r="E1621" s="143"/>
      <c r="F1621" s="143"/>
      <c r="G1621" s="143"/>
      <c r="H1621" s="143"/>
      <c r="I1621" s="143"/>
      <c r="J1621" s="143"/>
      <c r="K1621" s="143"/>
      <c r="L1621" s="143"/>
      <c r="M1621" s="143"/>
      <c r="N1621" s="143"/>
      <c r="O1621" s="143"/>
      <c r="P1621" s="143"/>
      <c r="Q1621" s="143"/>
      <c r="R1621" s="143"/>
      <c r="S1621" s="143"/>
      <c r="T1621" s="143"/>
      <c r="U1621" s="143"/>
      <c r="V1621" s="143"/>
      <c r="W1621" s="143"/>
      <c r="X1621" s="143"/>
      <c r="Y1621" s="143"/>
      <c r="Z1621" s="143"/>
      <c r="AA1621" s="144"/>
      <c r="AB1621" s="144"/>
      <c r="AC1621" s="55"/>
      <c r="AD1621" s="171"/>
      <c r="AE1621" s="171"/>
      <c r="AF1621" s="171"/>
      <c r="AG1621" s="167"/>
      <c r="AH1621" s="58"/>
      <c r="AI1621" s="39"/>
      <c r="AK1621" s="41"/>
    </row>
    <row r="1622" spans="2:37" ht="19.5" customHeight="1">
      <c r="B1622" s="87" t="s">
        <v>2214</v>
      </c>
      <c r="C1622" s="172" t="s">
        <v>2224</v>
      </c>
      <c r="D1622" s="173" t="s">
        <v>845</v>
      </c>
      <c r="E1622" s="143"/>
      <c r="F1622" s="143"/>
      <c r="G1622" s="143"/>
      <c r="H1622" s="143"/>
      <c r="I1622" s="143"/>
      <c r="J1622" s="143"/>
      <c r="K1622" s="143"/>
      <c r="L1622" s="143"/>
      <c r="M1622" s="143"/>
      <c r="N1622" s="143"/>
      <c r="O1622" s="143"/>
      <c r="P1622" s="143"/>
      <c r="Q1622" s="143"/>
      <c r="R1622" s="143"/>
      <c r="S1622" s="143"/>
      <c r="T1622" s="143"/>
      <c r="U1622" s="143"/>
      <c r="V1622" s="143"/>
      <c r="W1622" s="143"/>
      <c r="X1622" s="143"/>
      <c r="Y1622" s="143"/>
      <c r="Z1622" s="143"/>
      <c r="AA1622" s="144"/>
      <c r="AB1622" s="144"/>
      <c r="AC1622" s="55"/>
      <c r="AD1622" s="171"/>
      <c r="AE1622" s="171"/>
      <c r="AF1622" s="171"/>
      <c r="AG1622" s="167"/>
      <c r="AH1622" s="58"/>
      <c r="AI1622" s="39"/>
      <c r="AK1622" s="41"/>
    </row>
    <row r="1623" spans="2:37" ht="19.5" customHeight="1">
      <c r="B1623" s="87" t="s">
        <v>2215</v>
      </c>
      <c r="C1623" s="172" t="s">
        <v>2225</v>
      </c>
      <c r="D1623" s="173" t="s">
        <v>845</v>
      </c>
      <c r="E1623" s="143"/>
      <c r="F1623" s="143"/>
      <c r="G1623" s="143"/>
      <c r="H1623" s="143"/>
      <c r="I1623" s="143"/>
      <c r="J1623" s="143"/>
      <c r="K1623" s="143"/>
      <c r="L1623" s="143"/>
      <c r="M1623" s="143"/>
      <c r="N1623" s="143"/>
      <c r="O1623" s="143"/>
      <c r="P1623" s="143"/>
      <c r="Q1623" s="143"/>
      <c r="R1623" s="143"/>
      <c r="S1623" s="143"/>
      <c r="T1623" s="143"/>
      <c r="U1623" s="143"/>
      <c r="V1623" s="143"/>
      <c r="W1623" s="143"/>
      <c r="X1623" s="143"/>
      <c r="Y1623" s="143"/>
      <c r="Z1623" s="143"/>
      <c r="AA1623" s="144"/>
      <c r="AB1623" s="144"/>
      <c r="AC1623" s="55"/>
      <c r="AD1623" s="171"/>
      <c r="AE1623" s="171"/>
      <c r="AF1623" s="171"/>
      <c r="AG1623" s="167"/>
      <c r="AH1623" s="58"/>
      <c r="AI1623" s="39"/>
      <c r="AK1623" s="41"/>
    </row>
    <row r="1624" spans="2:37" ht="19.5" customHeight="1">
      <c r="B1624" s="87" t="s">
        <v>2216</v>
      </c>
      <c r="C1624" s="172" t="s">
        <v>2235</v>
      </c>
      <c r="D1624" s="173" t="s">
        <v>845</v>
      </c>
      <c r="E1624" s="143"/>
      <c r="F1624" s="143"/>
      <c r="G1624" s="143"/>
      <c r="H1624" s="143"/>
      <c r="I1624" s="143"/>
      <c r="J1624" s="143"/>
      <c r="K1624" s="143"/>
      <c r="L1624" s="143"/>
      <c r="M1624" s="143"/>
      <c r="N1624" s="143"/>
      <c r="O1624" s="143"/>
      <c r="P1624" s="143"/>
      <c r="Q1624" s="143"/>
      <c r="R1624" s="143"/>
      <c r="S1624" s="143"/>
      <c r="T1624" s="143"/>
      <c r="U1624" s="143"/>
      <c r="V1624" s="143"/>
      <c r="W1624" s="143"/>
      <c r="X1624" s="143"/>
      <c r="Y1624" s="143"/>
      <c r="Z1624" s="143"/>
      <c r="AA1624" s="144"/>
      <c r="AB1624" s="144"/>
      <c r="AC1624" s="55"/>
      <c r="AD1624" s="171"/>
      <c r="AE1624" s="171"/>
      <c r="AF1624" s="171"/>
      <c r="AG1624" s="167"/>
      <c r="AH1624" s="58"/>
      <c r="AI1624" s="39"/>
      <c r="AK1624" s="41"/>
    </row>
    <row r="1625" spans="2:37" ht="19.5" customHeight="1">
      <c r="B1625" s="87" t="s">
        <v>2217</v>
      </c>
      <c r="C1625" s="172" t="s">
        <v>2234</v>
      </c>
      <c r="D1625" s="173" t="s">
        <v>845</v>
      </c>
      <c r="E1625" s="143"/>
      <c r="F1625" s="143"/>
      <c r="G1625" s="143"/>
      <c r="H1625" s="143"/>
      <c r="I1625" s="143"/>
      <c r="J1625" s="143"/>
      <c r="K1625" s="143"/>
      <c r="L1625" s="143"/>
      <c r="M1625" s="143"/>
      <c r="N1625" s="143"/>
      <c r="O1625" s="143"/>
      <c r="P1625" s="143"/>
      <c r="Q1625" s="143"/>
      <c r="R1625" s="143"/>
      <c r="S1625" s="143"/>
      <c r="T1625" s="143"/>
      <c r="U1625" s="143"/>
      <c r="V1625" s="143"/>
      <c r="W1625" s="143"/>
      <c r="X1625" s="143"/>
      <c r="Y1625" s="143"/>
      <c r="Z1625" s="143"/>
      <c r="AA1625" s="144"/>
      <c r="AB1625" s="144"/>
      <c r="AC1625" s="55"/>
      <c r="AD1625" s="171"/>
      <c r="AE1625" s="171"/>
      <c r="AF1625" s="171"/>
      <c r="AG1625" s="167"/>
      <c r="AH1625" s="58"/>
      <c r="AI1625" s="39"/>
      <c r="AK1625" s="41"/>
    </row>
    <row r="1626" spans="2:37" ht="19.5" customHeight="1">
      <c r="B1626" s="87" t="s">
        <v>2218</v>
      </c>
      <c r="C1626" s="172" t="s">
        <v>2230</v>
      </c>
      <c r="D1626" s="173" t="s">
        <v>845</v>
      </c>
      <c r="E1626" s="143"/>
      <c r="F1626" s="143"/>
      <c r="G1626" s="143"/>
      <c r="H1626" s="143"/>
      <c r="I1626" s="143"/>
      <c r="J1626" s="143"/>
      <c r="K1626" s="143"/>
      <c r="L1626" s="143"/>
      <c r="M1626" s="143"/>
      <c r="N1626" s="143"/>
      <c r="O1626" s="143"/>
      <c r="P1626" s="143"/>
      <c r="Q1626" s="143"/>
      <c r="R1626" s="143"/>
      <c r="S1626" s="143"/>
      <c r="T1626" s="143"/>
      <c r="U1626" s="143"/>
      <c r="V1626" s="143"/>
      <c r="W1626" s="143"/>
      <c r="X1626" s="143"/>
      <c r="Y1626" s="143"/>
      <c r="Z1626" s="143"/>
      <c r="AA1626" s="144"/>
      <c r="AB1626" s="144"/>
      <c r="AC1626" s="55"/>
      <c r="AD1626" s="171"/>
      <c r="AE1626" s="171"/>
      <c r="AF1626" s="171"/>
      <c r="AG1626" s="167"/>
      <c r="AH1626" s="58"/>
      <c r="AI1626" s="39"/>
      <c r="AK1626" s="41"/>
    </row>
    <row r="1627" spans="2:37" ht="19.5" customHeight="1">
      <c r="B1627" s="87" t="s">
        <v>2226</v>
      </c>
      <c r="C1627" s="172" t="s">
        <v>2237</v>
      </c>
      <c r="D1627" s="173" t="s">
        <v>845</v>
      </c>
      <c r="E1627" s="143"/>
      <c r="F1627" s="143"/>
      <c r="G1627" s="143"/>
      <c r="H1627" s="143"/>
      <c r="I1627" s="143"/>
      <c r="J1627" s="143"/>
      <c r="K1627" s="143"/>
      <c r="L1627" s="143"/>
      <c r="M1627" s="143"/>
      <c r="N1627" s="143"/>
      <c r="O1627" s="143"/>
      <c r="P1627" s="143"/>
      <c r="Q1627" s="143"/>
      <c r="R1627" s="143"/>
      <c r="S1627" s="143"/>
      <c r="T1627" s="143"/>
      <c r="U1627" s="143"/>
      <c r="V1627" s="143"/>
      <c r="W1627" s="143"/>
      <c r="X1627" s="143"/>
      <c r="Y1627" s="143"/>
      <c r="Z1627" s="143"/>
      <c r="AA1627" s="144"/>
      <c r="AB1627" s="144"/>
      <c r="AC1627" s="55"/>
      <c r="AD1627" s="171"/>
      <c r="AE1627" s="171"/>
      <c r="AF1627" s="171"/>
      <c r="AG1627" s="167"/>
      <c r="AH1627" s="58"/>
      <c r="AI1627" s="39"/>
      <c r="AK1627" s="41"/>
    </row>
    <row r="1628" spans="2:37" ht="19.5" customHeight="1">
      <c r="B1628" s="87" t="s">
        <v>2227</v>
      </c>
      <c r="C1628" s="172" t="s">
        <v>2231</v>
      </c>
      <c r="D1628" s="173" t="s">
        <v>845</v>
      </c>
      <c r="E1628" s="143"/>
      <c r="F1628" s="143"/>
      <c r="G1628" s="143"/>
      <c r="H1628" s="143"/>
      <c r="I1628" s="143"/>
      <c r="J1628" s="143"/>
      <c r="K1628" s="143"/>
      <c r="L1628" s="143"/>
      <c r="M1628" s="143"/>
      <c r="N1628" s="143"/>
      <c r="O1628" s="143"/>
      <c r="P1628" s="143"/>
      <c r="Q1628" s="143"/>
      <c r="R1628" s="143"/>
      <c r="S1628" s="143"/>
      <c r="T1628" s="143"/>
      <c r="U1628" s="143"/>
      <c r="V1628" s="143"/>
      <c r="W1628" s="143"/>
      <c r="X1628" s="143"/>
      <c r="Y1628" s="143"/>
      <c r="Z1628" s="143"/>
      <c r="AA1628" s="144"/>
      <c r="AB1628" s="144"/>
      <c r="AC1628" s="55"/>
      <c r="AD1628" s="171"/>
      <c r="AE1628" s="171"/>
      <c r="AF1628" s="171"/>
      <c r="AG1628" s="167"/>
      <c r="AH1628" s="58"/>
      <c r="AI1628" s="39"/>
      <c r="AK1628" s="41"/>
    </row>
    <row r="1629" spans="2:37" ht="19.5" customHeight="1">
      <c r="B1629" s="87" t="s">
        <v>2228</v>
      </c>
      <c r="C1629" s="172" t="s">
        <v>2236</v>
      </c>
      <c r="D1629" s="173" t="s">
        <v>845</v>
      </c>
      <c r="E1629" s="143"/>
      <c r="F1629" s="143"/>
      <c r="G1629" s="143"/>
      <c r="H1629" s="143"/>
      <c r="I1629" s="143"/>
      <c r="J1629" s="143"/>
      <c r="K1629" s="143"/>
      <c r="L1629" s="143"/>
      <c r="M1629" s="143"/>
      <c r="N1629" s="143"/>
      <c r="O1629" s="143"/>
      <c r="P1629" s="143"/>
      <c r="Q1629" s="143"/>
      <c r="R1629" s="143"/>
      <c r="S1629" s="143"/>
      <c r="T1629" s="143"/>
      <c r="U1629" s="143"/>
      <c r="V1629" s="143"/>
      <c r="W1629" s="143"/>
      <c r="X1629" s="143"/>
      <c r="Y1629" s="143"/>
      <c r="Z1629" s="143"/>
      <c r="AA1629" s="144"/>
      <c r="AB1629" s="144"/>
      <c r="AC1629" s="55"/>
      <c r="AD1629" s="171"/>
      <c r="AE1629" s="171"/>
      <c r="AF1629" s="171"/>
      <c r="AG1629" s="167"/>
      <c r="AH1629" s="58"/>
      <c r="AI1629" s="39"/>
      <c r="AK1629" s="41"/>
    </row>
    <row r="1630" spans="2:37" ht="27" customHeight="1">
      <c r="B1630" s="87" t="s">
        <v>2229</v>
      </c>
      <c r="C1630" s="174" t="s">
        <v>2232</v>
      </c>
      <c r="D1630" s="173" t="s">
        <v>845</v>
      </c>
      <c r="E1630" s="143"/>
      <c r="F1630" s="143"/>
      <c r="G1630" s="143"/>
      <c r="H1630" s="143"/>
      <c r="I1630" s="143"/>
      <c r="J1630" s="143"/>
      <c r="K1630" s="143"/>
      <c r="L1630" s="143"/>
      <c r="M1630" s="143"/>
      <c r="N1630" s="143"/>
      <c r="O1630" s="143"/>
      <c r="P1630" s="143"/>
      <c r="Q1630" s="143"/>
      <c r="R1630" s="143"/>
      <c r="S1630" s="143"/>
      <c r="T1630" s="143"/>
      <c r="U1630" s="143"/>
      <c r="V1630" s="143"/>
      <c r="W1630" s="143"/>
      <c r="X1630" s="143"/>
      <c r="Y1630" s="143"/>
      <c r="Z1630" s="143"/>
      <c r="AA1630" s="144"/>
      <c r="AB1630" s="144"/>
      <c r="AC1630" s="55"/>
      <c r="AD1630" s="171"/>
      <c r="AE1630" s="171"/>
      <c r="AF1630" s="171"/>
      <c r="AG1630" s="167"/>
      <c r="AH1630" s="58"/>
      <c r="AI1630" s="39"/>
      <c r="AK1630" s="41"/>
    </row>
    <row r="1631" spans="2:37" ht="19.5" customHeight="1">
      <c r="B1631" s="87" t="s">
        <v>2238</v>
      </c>
      <c r="C1631" s="174" t="s">
        <v>2233</v>
      </c>
      <c r="D1631" s="173" t="s">
        <v>845</v>
      </c>
      <c r="E1631" s="143"/>
      <c r="F1631" s="143"/>
      <c r="G1631" s="143"/>
      <c r="H1631" s="143"/>
      <c r="I1631" s="143"/>
      <c r="J1631" s="143"/>
      <c r="K1631" s="143"/>
      <c r="L1631" s="143"/>
      <c r="M1631" s="143"/>
      <c r="N1631" s="143"/>
      <c r="O1631" s="143"/>
      <c r="P1631" s="143"/>
      <c r="Q1631" s="143"/>
      <c r="R1631" s="143"/>
      <c r="S1631" s="143"/>
      <c r="T1631" s="143"/>
      <c r="U1631" s="143"/>
      <c r="V1631" s="143"/>
      <c r="W1631" s="143"/>
      <c r="X1631" s="143"/>
      <c r="Y1631" s="143"/>
      <c r="Z1631" s="143"/>
      <c r="AA1631" s="144"/>
      <c r="AB1631" s="144"/>
      <c r="AC1631" s="55"/>
      <c r="AD1631" s="171"/>
      <c r="AE1631" s="171"/>
      <c r="AF1631" s="171"/>
      <c r="AG1631" s="167"/>
      <c r="AH1631" s="58"/>
      <c r="AI1631" s="39"/>
      <c r="AK1631" s="41"/>
    </row>
    <row r="1632" spans="2:37" ht="19.5" customHeight="1">
      <c r="B1632" s="87" t="s">
        <v>2679</v>
      </c>
      <c r="C1632" s="174" t="s">
        <v>2239</v>
      </c>
      <c r="D1632" s="175" t="s">
        <v>204</v>
      </c>
      <c r="E1632" s="143"/>
      <c r="F1632" s="143"/>
      <c r="G1632" s="143"/>
      <c r="H1632" s="143"/>
      <c r="I1632" s="143"/>
      <c r="J1632" s="143"/>
      <c r="K1632" s="143"/>
      <c r="L1632" s="143"/>
      <c r="M1632" s="143"/>
      <c r="N1632" s="143"/>
      <c r="O1632" s="143"/>
      <c r="P1632" s="143"/>
      <c r="Q1632" s="143"/>
      <c r="R1632" s="143"/>
      <c r="S1632" s="143"/>
      <c r="T1632" s="143"/>
      <c r="U1632" s="143"/>
      <c r="V1632" s="143"/>
      <c r="W1632" s="143"/>
      <c r="X1632" s="143"/>
      <c r="Y1632" s="143"/>
      <c r="Z1632" s="143"/>
      <c r="AA1632" s="144"/>
      <c r="AB1632" s="144"/>
      <c r="AC1632" s="55"/>
      <c r="AD1632" s="171"/>
      <c r="AE1632" s="171"/>
      <c r="AF1632" s="171"/>
      <c r="AG1632" s="167"/>
      <c r="AH1632" s="58"/>
      <c r="AI1632" s="39"/>
      <c r="AK1632" s="41"/>
    </row>
    <row r="1633" spans="1:38" ht="19.5" customHeight="1">
      <c r="B1633" s="87" t="s">
        <v>2680</v>
      </c>
      <c r="C1633" s="174" t="s">
        <v>2240</v>
      </c>
      <c r="D1633" s="175" t="s">
        <v>204</v>
      </c>
      <c r="E1633" s="143"/>
      <c r="F1633" s="143"/>
      <c r="G1633" s="143"/>
      <c r="H1633" s="143"/>
      <c r="I1633" s="143"/>
      <c r="J1633" s="143"/>
      <c r="K1633" s="143"/>
      <c r="L1633" s="143"/>
      <c r="M1633" s="143"/>
      <c r="N1633" s="143"/>
      <c r="O1633" s="143"/>
      <c r="P1633" s="143"/>
      <c r="Q1633" s="143"/>
      <c r="R1633" s="143"/>
      <c r="S1633" s="143"/>
      <c r="T1633" s="143"/>
      <c r="U1633" s="143"/>
      <c r="V1633" s="143"/>
      <c r="W1633" s="143"/>
      <c r="X1633" s="143"/>
      <c r="Y1633" s="143"/>
      <c r="Z1633" s="143"/>
      <c r="AA1633" s="144"/>
      <c r="AB1633" s="144"/>
      <c r="AC1633" s="55"/>
      <c r="AD1633" s="171"/>
      <c r="AE1633" s="171"/>
      <c r="AF1633" s="171"/>
      <c r="AG1633" s="167"/>
      <c r="AH1633" s="58"/>
      <c r="AI1633" s="39"/>
      <c r="AK1633" s="41"/>
    </row>
    <row r="1634" spans="1:38" ht="19.5" customHeight="1">
      <c r="B1634" s="87" t="s">
        <v>2681</v>
      </c>
      <c r="C1634" s="174" t="s">
        <v>2241</v>
      </c>
      <c r="D1634" s="175" t="s">
        <v>204</v>
      </c>
      <c r="E1634" s="143"/>
      <c r="F1634" s="143"/>
      <c r="G1634" s="143"/>
      <c r="H1634" s="143"/>
      <c r="I1634" s="143"/>
      <c r="J1634" s="143"/>
      <c r="K1634" s="143"/>
      <c r="L1634" s="143"/>
      <c r="M1634" s="143"/>
      <c r="N1634" s="143"/>
      <c r="O1634" s="143"/>
      <c r="P1634" s="143"/>
      <c r="Q1634" s="143"/>
      <c r="R1634" s="143"/>
      <c r="S1634" s="143"/>
      <c r="T1634" s="143"/>
      <c r="U1634" s="143"/>
      <c r="V1634" s="143"/>
      <c r="W1634" s="143"/>
      <c r="X1634" s="143"/>
      <c r="Y1634" s="143"/>
      <c r="Z1634" s="143"/>
      <c r="AA1634" s="144"/>
      <c r="AB1634" s="144"/>
      <c r="AC1634" s="55"/>
      <c r="AD1634" s="171"/>
      <c r="AE1634" s="171"/>
      <c r="AF1634" s="171"/>
      <c r="AG1634" s="167"/>
      <c r="AH1634" s="58"/>
      <c r="AI1634" s="39"/>
      <c r="AK1634" s="41"/>
    </row>
    <row r="1635" spans="1:38" ht="19.5" customHeight="1">
      <c r="B1635" s="87" t="s">
        <v>2682</v>
      </c>
      <c r="C1635" s="174" t="s">
        <v>2244</v>
      </c>
      <c r="D1635" s="173" t="s">
        <v>836</v>
      </c>
      <c r="E1635" s="143"/>
      <c r="F1635" s="143"/>
      <c r="G1635" s="143"/>
      <c r="H1635" s="143"/>
      <c r="I1635" s="143"/>
      <c r="J1635" s="143"/>
      <c r="K1635" s="143"/>
      <c r="L1635" s="143"/>
      <c r="M1635" s="143"/>
      <c r="N1635" s="143"/>
      <c r="O1635" s="143"/>
      <c r="P1635" s="143"/>
      <c r="Q1635" s="143"/>
      <c r="R1635" s="143"/>
      <c r="S1635" s="143"/>
      <c r="T1635" s="143"/>
      <c r="U1635" s="143"/>
      <c r="V1635" s="143"/>
      <c r="W1635" s="143"/>
      <c r="X1635" s="143"/>
      <c r="Y1635" s="143"/>
      <c r="Z1635" s="143"/>
      <c r="AA1635" s="144"/>
      <c r="AB1635" s="144"/>
      <c r="AC1635" s="55"/>
      <c r="AD1635" s="171"/>
      <c r="AE1635" s="171"/>
      <c r="AF1635" s="171"/>
      <c r="AG1635" s="167"/>
      <c r="AH1635" s="58"/>
      <c r="AI1635" s="39"/>
      <c r="AK1635" s="41"/>
    </row>
    <row r="1636" spans="1:38" ht="19.5" customHeight="1">
      <c r="B1636" s="87" t="s">
        <v>2683</v>
      </c>
      <c r="C1636" s="174" t="s">
        <v>2247</v>
      </c>
      <c r="D1636" s="173" t="s">
        <v>204</v>
      </c>
      <c r="E1636" s="143"/>
      <c r="F1636" s="143"/>
      <c r="G1636" s="143"/>
      <c r="H1636" s="143"/>
      <c r="I1636" s="143"/>
      <c r="J1636" s="143"/>
      <c r="K1636" s="143"/>
      <c r="L1636" s="143"/>
      <c r="M1636" s="143"/>
      <c r="N1636" s="143"/>
      <c r="O1636" s="143"/>
      <c r="P1636" s="143"/>
      <c r="Q1636" s="143"/>
      <c r="R1636" s="143"/>
      <c r="S1636" s="143"/>
      <c r="T1636" s="143"/>
      <c r="U1636" s="143"/>
      <c r="V1636" s="143"/>
      <c r="W1636" s="143"/>
      <c r="X1636" s="143"/>
      <c r="Y1636" s="143"/>
      <c r="Z1636" s="143"/>
      <c r="AA1636" s="144"/>
      <c r="AB1636" s="144"/>
      <c r="AC1636" s="55"/>
      <c r="AD1636" s="171"/>
      <c r="AE1636" s="171"/>
      <c r="AF1636" s="171"/>
      <c r="AG1636" s="167"/>
      <c r="AH1636" s="58"/>
      <c r="AI1636" s="39"/>
      <c r="AK1636" s="176"/>
    </row>
    <row r="1637" spans="1:38" s="188" customFormat="1" ht="24.75" customHeight="1">
      <c r="A1637" s="177"/>
      <c r="B1637" s="178"/>
      <c r="C1637" s="179"/>
      <c r="D1637" s="180"/>
      <c r="E1637" s="181"/>
      <c r="F1637" s="181"/>
      <c r="G1637" s="181"/>
      <c r="H1637" s="181"/>
      <c r="I1637" s="181"/>
      <c r="J1637" s="181"/>
      <c r="K1637" s="181"/>
      <c r="L1637" s="181"/>
      <c r="M1637" s="181"/>
      <c r="N1637" s="181"/>
      <c r="O1637" s="181"/>
      <c r="P1637" s="181"/>
      <c r="Q1637" s="181"/>
      <c r="R1637" s="181"/>
      <c r="S1637" s="181"/>
      <c r="T1637" s="182"/>
      <c r="U1637" s="181"/>
      <c r="V1637" s="181"/>
      <c r="W1637" s="182"/>
      <c r="X1637" s="181"/>
      <c r="Y1637" s="181"/>
      <c r="Z1637" s="181"/>
      <c r="AA1637" s="182"/>
      <c r="AB1637" s="182"/>
      <c r="AC1637" s="180"/>
      <c r="AD1637" s="180"/>
      <c r="AE1637" s="225"/>
      <c r="AF1637" s="226"/>
      <c r="AG1637" s="183"/>
      <c r="AH1637" s="184"/>
      <c r="AI1637" s="185"/>
      <c r="AJ1637" s="186"/>
      <c r="AK1637" s="180"/>
      <c r="AL1637" s="187"/>
    </row>
    <row r="1638" spans="1:38" ht="12" customHeight="1">
      <c r="AJ1638" s="146"/>
      <c r="AK1638" s="30"/>
    </row>
    <row r="1639" spans="1:38" ht="12" customHeight="1">
      <c r="Q1639" s="130"/>
      <c r="AJ1639" s="146"/>
      <c r="AK1639" s="30"/>
    </row>
    <row r="1640" spans="1:38" ht="12" customHeight="1">
      <c r="AJ1640" s="146"/>
      <c r="AK1640" s="30"/>
    </row>
    <row r="1641" spans="1:38" ht="12" customHeight="1">
      <c r="AH1641" s="193"/>
      <c r="AJ1641" s="146"/>
      <c r="AK1641" s="30"/>
    </row>
    <row r="1642" spans="1:38" ht="12" customHeight="1">
      <c r="AJ1642" s="146"/>
      <c r="AK1642" s="30"/>
    </row>
    <row r="1643" spans="1:38" ht="12" customHeight="1">
      <c r="AJ1643" s="146"/>
      <c r="AK1643" s="30"/>
    </row>
    <row r="1644" spans="1:38" ht="12" customHeight="1">
      <c r="AJ1644" s="146"/>
      <c r="AK1644" s="30"/>
    </row>
    <row r="1645" spans="1:38" ht="12" customHeight="1">
      <c r="AJ1645" s="146"/>
      <c r="AK1645" s="30"/>
    </row>
    <row r="1646" spans="1:38" ht="12" customHeight="1">
      <c r="AJ1646" s="146"/>
      <c r="AK1646" s="30"/>
    </row>
    <row r="1647" spans="1:38" ht="12" customHeight="1">
      <c r="AJ1647" s="146"/>
      <c r="AK1647" s="30"/>
    </row>
    <row r="1648" spans="1:38" ht="12" customHeight="1">
      <c r="AJ1648" s="146"/>
      <c r="AK1648" s="30"/>
    </row>
    <row r="1649" spans="36:37" ht="12" customHeight="1">
      <c r="AJ1649" s="146"/>
      <c r="AK1649" s="30"/>
    </row>
    <row r="1650" spans="36:37" ht="12" customHeight="1">
      <c r="AJ1650" s="146"/>
      <c r="AK1650" s="30"/>
    </row>
    <row r="1651" spans="36:37" ht="12" customHeight="1">
      <c r="AJ1651" s="146"/>
      <c r="AK1651" s="30"/>
    </row>
    <row r="1652" spans="36:37" ht="12" customHeight="1">
      <c r="AJ1652" s="146"/>
      <c r="AK1652" s="30"/>
    </row>
    <row r="1653" spans="36:37" ht="12" customHeight="1">
      <c r="AJ1653" s="146"/>
      <c r="AK1653" s="30"/>
    </row>
    <row r="1654" spans="36:37" ht="12" customHeight="1">
      <c r="AJ1654" s="146"/>
      <c r="AK1654" s="30"/>
    </row>
    <row r="1655" spans="36:37" ht="12" customHeight="1">
      <c r="AJ1655" s="146"/>
      <c r="AK1655" s="30"/>
    </row>
    <row r="1656" spans="36:37" ht="12" customHeight="1">
      <c r="AJ1656" s="146"/>
      <c r="AK1656" s="30"/>
    </row>
    <row r="1657" spans="36:37" ht="12" customHeight="1">
      <c r="AJ1657" s="146"/>
      <c r="AK1657" s="30"/>
    </row>
    <row r="1658" spans="36:37" ht="12" customHeight="1">
      <c r="AJ1658" s="146"/>
      <c r="AK1658" s="30"/>
    </row>
    <row r="1659" spans="36:37" ht="12" customHeight="1">
      <c r="AJ1659" s="146"/>
      <c r="AK1659" s="30"/>
    </row>
    <row r="1660" spans="36:37" ht="12" customHeight="1">
      <c r="AJ1660" s="146"/>
      <c r="AK1660" s="30"/>
    </row>
    <row r="1661" spans="36:37" ht="12" customHeight="1">
      <c r="AJ1661" s="146"/>
      <c r="AK1661" s="30"/>
    </row>
    <row r="1662" spans="36:37" ht="12" customHeight="1">
      <c r="AJ1662" s="146"/>
      <c r="AK1662" s="30"/>
    </row>
    <row r="1663" spans="36:37" ht="12" customHeight="1">
      <c r="AJ1663" s="146"/>
      <c r="AK1663" s="30"/>
    </row>
    <row r="1664" spans="36:37" ht="12" customHeight="1">
      <c r="AJ1664" s="146"/>
      <c r="AK1664" s="30"/>
    </row>
    <row r="1665" spans="36:37" ht="12" customHeight="1">
      <c r="AJ1665" s="146"/>
      <c r="AK1665" s="30"/>
    </row>
    <row r="1666" spans="36:37" ht="12" customHeight="1">
      <c r="AJ1666" s="146"/>
      <c r="AK1666" s="30"/>
    </row>
    <row r="1667" spans="36:37" ht="12" customHeight="1">
      <c r="AJ1667" s="146"/>
      <c r="AK1667" s="30"/>
    </row>
    <row r="1668" spans="36:37" ht="12" customHeight="1">
      <c r="AJ1668" s="146"/>
      <c r="AK1668" s="30"/>
    </row>
    <row r="1669" spans="36:37" ht="12" customHeight="1">
      <c r="AJ1669" s="146"/>
      <c r="AK1669" s="30"/>
    </row>
    <row r="1670" spans="36:37" ht="12" customHeight="1">
      <c r="AJ1670" s="146"/>
      <c r="AK1670" s="30"/>
    </row>
    <row r="1671" spans="36:37" ht="12" customHeight="1">
      <c r="AJ1671" s="146"/>
      <c r="AK1671" s="30"/>
    </row>
    <row r="1672" spans="36:37" ht="12" customHeight="1">
      <c r="AJ1672" s="146"/>
      <c r="AK1672" s="30"/>
    </row>
    <row r="1673" spans="36:37" ht="12" customHeight="1">
      <c r="AJ1673" s="146"/>
      <c r="AK1673" s="30"/>
    </row>
    <row r="1674" spans="36:37" ht="12" customHeight="1">
      <c r="AJ1674" s="146"/>
      <c r="AK1674" s="30"/>
    </row>
    <row r="1675" spans="36:37" ht="12" customHeight="1">
      <c r="AJ1675" s="146"/>
      <c r="AK1675" s="30"/>
    </row>
    <row r="1676" spans="36:37" ht="12" customHeight="1">
      <c r="AJ1676" s="146"/>
      <c r="AK1676" s="30"/>
    </row>
    <row r="1677" spans="36:37" ht="12" customHeight="1">
      <c r="AJ1677" s="146"/>
      <c r="AK1677" s="30"/>
    </row>
    <row r="1678" spans="36:37" ht="12" customHeight="1">
      <c r="AJ1678" s="146"/>
      <c r="AK1678" s="30"/>
    </row>
    <row r="1679" spans="36:37" ht="12" customHeight="1">
      <c r="AJ1679" s="146"/>
      <c r="AK1679" s="30"/>
    </row>
    <row r="1680" spans="36:37" ht="12" customHeight="1">
      <c r="AJ1680" s="146"/>
      <c r="AK1680" s="30"/>
    </row>
    <row r="1681" spans="36:37" ht="12" customHeight="1">
      <c r="AJ1681" s="146"/>
      <c r="AK1681" s="30"/>
    </row>
    <row r="1682" spans="36:37" ht="12" customHeight="1">
      <c r="AJ1682" s="146"/>
      <c r="AK1682" s="30"/>
    </row>
    <row r="1683" spans="36:37" ht="12" customHeight="1">
      <c r="AJ1683" s="146"/>
      <c r="AK1683" s="30"/>
    </row>
    <row r="1684" spans="36:37" ht="12" customHeight="1">
      <c r="AJ1684" s="146"/>
      <c r="AK1684" s="30"/>
    </row>
    <row r="1685" spans="36:37" ht="12" customHeight="1">
      <c r="AJ1685" s="146"/>
      <c r="AK1685" s="30"/>
    </row>
    <row r="1686" spans="36:37" ht="12" customHeight="1">
      <c r="AJ1686" s="146"/>
      <c r="AK1686" s="30"/>
    </row>
    <row r="1687" spans="36:37" ht="12" customHeight="1">
      <c r="AJ1687" s="146"/>
      <c r="AK1687" s="30"/>
    </row>
    <row r="1688" spans="36:37" ht="12" customHeight="1">
      <c r="AJ1688" s="146"/>
      <c r="AK1688" s="30"/>
    </row>
    <row r="1689" spans="36:37" ht="12" customHeight="1">
      <c r="AJ1689" s="146"/>
      <c r="AK1689" s="30"/>
    </row>
    <row r="1690" spans="36:37" ht="12" customHeight="1">
      <c r="AJ1690" s="146"/>
      <c r="AK1690" s="30"/>
    </row>
    <row r="1691" spans="36:37" ht="12" customHeight="1">
      <c r="AJ1691" s="146"/>
      <c r="AK1691" s="30"/>
    </row>
    <row r="1692" spans="36:37" ht="12" customHeight="1">
      <c r="AJ1692" s="146"/>
      <c r="AK1692" s="30"/>
    </row>
    <row r="1693" spans="36:37" ht="12" customHeight="1">
      <c r="AJ1693" s="146"/>
      <c r="AK1693" s="30"/>
    </row>
    <row r="1694" spans="36:37" ht="12" customHeight="1">
      <c r="AJ1694" s="146"/>
      <c r="AK1694" s="30"/>
    </row>
    <row r="1695" spans="36:37" ht="12" customHeight="1">
      <c r="AJ1695" s="146"/>
      <c r="AK1695" s="30"/>
    </row>
    <row r="1696" spans="36:37" ht="12" customHeight="1">
      <c r="AJ1696" s="146"/>
      <c r="AK1696" s="30"/>
    </row>
    <row r="1697" spans="36:37" ht="12" customHeight="1">
      <c r="AJ1697" s="146"/>
      <c r="AK1697" s="30"/>
    </row>
    <row r="1698" spans="36:37" ht="12" customHeight="1">
      <c r="AJ1698" s="146"/>
      <c r="AK1698" s="30"/>
    </row>
    <row r="1699" spans="36:37" ht="12" customHeight="1">
      <c r="AJ1699" s="146"/>
      <c r="AK1699" s="30"/>
    </row>
    <row r="1700" spans="36:37" ht="12" customHeight="1">
      <c r="AJ1700" s="146"/>
      <c r="AK1700" s="30"/>
    </row>
    <row r="1701" spans="36:37" ht="12" customHeight="1">
      <c r="AJ1701" s="146"/>
      <c r="AK1701" s="30"/>
    </row>
    <row r="1702" spans="36:37" ht="12" customHeight="1">
      <c r="AJ1702" s="146"/>
      <c r="AK1702" s="30"/>
    </row>
    <row r="1703" spans="36:37" ht="12" customHeight="1">
      <c r="AJ1703" s="146"/>
      <c r="AK1703" s="30"/>
    </row>
    <row r="1704" spans="36:37" ht="12" customHeight="1">
      <c r="AJ1704" s="146"/>
      <c r="AK1704" s="30"/>
    </row>
    <row r="1705" spans="36:37" ht="12" customHeight="1">
      <c r="AJ1705" s="146"/>
      <c r="AK1705" s="30"/>
    </row>
    <row r="1706" spans="36:37" ht="12" customHeight="1">
      <c r="AJ1706" s="146"/>
      <c r="AK1706" s="30"/>
    </row>
    <row r="1707" spans="36:37" ht="12" customHeight="1">
      <c r="AJ1707" s="146"/>
      <c r="AK1707" s="30"/>
    </row>
    <row r="1708" spans="36:37" ht="12" customHeight="1">
      <c r="AJ1708" s="146"/>
      <c r="AK1708" s="30"/>
    </row>
    <row r="1709" spans="36:37" ht="12" customHeight="1">
      <c r="AJ1709" s="146"/>
      <c r="AK1709" s="30"/>
    </row>
    <row r="1710" spans="36:37" ht="12" customHeight="1">
      <c r="AJ1710" s="146"/>
      <c r="AK1710" s="30"/>
    </row>
    <row r="1711" spans="36:37" ht="12" customHeight="1">
      <c r="AJ1711" s="146"/>
      <c r="AK1711" s="30"/>
    </row>
    <row r="1712" spans="36:37" ht="12" customHeight="1">
      <c r="AJ1712" s="146"/>
      <c r="AK1712" s="30"/>
    </row>
    <row r="1713" spans="36:37" ht="12" customHeight="1">
      <c r="AJ1713" s="146"/>
      <c r="AK1713" s="30"/>
    </row>
    <row r="1714" spans="36:37" ht="12" customHeight="1">
      <c r="AJ1714" s="146"/>
      <c r="AK1714" s="30"/>
    </row>
    <row r="1715" spans="36:37" ht="12" customHeight="1">
      <c r="AJ1715" s="146"/>
      <c r="AK1715" s="30"/>
    </row>
    <row r="1716" spans="36:37" ht="12" customHeight="1">
      <c r="AJ1716" s="146"/>
      <c r="AK1716" s="30"/>
    </row>
    <row r="1717" spans="36:37" ht="12" customHeight="1">
      <c r="AJ1717" s="146"/>
      <c r="AK1717" s="30"/>
    </row>
    <row r="1718" spans="36:37" ht="12" customHeight="1">
      <c r="AJ1718" s="146"/>
      <c r="AK1718" s="30"/>
    </row>
    <row r="1719" spans="36:37" ht="12" customHeight="1">
      <c r="AJ1719" s="146"/>
      <c r="AK1719" s="30"/>
    </row>
    <row r="1720" spans="36:37" ht="12" customHeight="1">
      <c r="AJ1720" s="146"/>
      <c r="AK1720" s="30"/>
    </row>
    <row r="1721" spans="36:37" ht="12" customHeight="1">
      <c r="AJ1721" s="146"/>
      <c r="AK1721" s="30"/>
    </row>
    <row r="1722" spans="36:37" ht="12" customHeight="1">
      <c r="AJ1722" s="146"/>
      <c r="AK1722" s="30"/>
    </row>
    <row r="1723" spans="36:37" ht="12" customHeight="1">
      <c r="AJ1723" s="146"/>
      <c r="AK1723" s="30"/>
    </row>
    <row r="1724" spans="36:37" ht="12" customHeight="1">
      <c r="AJ1724" s="146"/>
      <c r="AK1724" s="30"/>
    </row>
    <row r="1725" spans="36:37" ht="12" customHeight="1">
      <c r="AJ1725" s="146"/>
      <c r="AK1725" s="30"/>
    </row>
    <row r="1726" spans="36:37" ht="12" customHeight="1">
      <c r="AJ1726" s="146"/>
      <c r="AK1726" s="30"/>
    </row>
    <row r="1727" spans="36:37" ht="12" customHeight="1">
      <c r="AJ1727" s="146"/>
      <c r="AK1727" s="30"/>
    </row>
    <row r="1728" spans="36:37" ht="12" customHeight="1">
      <c r="AJ1728" s="146"/>
      <c r="AK1728" s="30"/>
    </row>
    <row r="1729" spans="36:37" ht="12" customHeight="1">
      <c r="AJ1729" s="146"/>
      <c r="AK1729" s="30"/>
    </row>
    <row r="1730" spans="36:37" ht="12" customHeight="1">
      <c r="AJ1730" s="146"/>
      <c r="AK1730" s="30"/>
    </row>
    <row r="1731" spans="36:37" ht="12" customHeight="1">
      <c r="AJ1731" s="146"/>
      <c r="AK1731" s="30"/>
    </row>
    <row r="1732" spans="36:37" ht="12" customHeight="1">
      <c r="AJ1732" s="146"/>
      <c r="AK1732" s="30"/>
    </row>
    <row r="1733" spans="36:37" ht="12" customHeight="1">
      <c r="AJ1733" s="146"/>
      <c r="AK1733" s="30"/>
    </row>
    <row r="1734" spans="36:37" ht="12" customHeight="1">
      <c r="AJ1734" s="146"/>
      <c r="AK1734" s="30"/>
    </row>
    <row r="1735" spans="36:37" ht="12" customHeight="1">
      <c r="AJ1735" s="146"/>
      <c r="AK1735" s="30"/>
    </row>
    <row r="1736" spans="36:37" ht="12" customHeight="1">
      <c r="AJ1736" s="146"/>
      <c r="AK1736" s="30"/>
    </row>
    <row r="1737" spans="36:37" ht="12" customHeight="1">
      <c r="AJ1737" s="146"/>
      <c r="AK1737" s="30"/>
    </row>
    <row r="1738" spans="36:37" ht="12" customHeight="1">
      <c r="AJ1738" s="146"/>
      <c r="AK1738" s="30"/>
    </row>
    <row r="1739" spans="36:37" ht="12" customHeight="1">
      <c r="AJ1739" s="146"/>
      <c r="AK1739" s="30"/>
    </row>
    <row r="1740" spans="36:37" ht="12" customHeight="1">
      <c r="AJ1740" s="146"/>
      <c r="AK1740" s="30"/>
    </row>
    <row r="1741" spans="36:37" ht="12" customHeight="1">
      <c r="AJ1741" s="146"/>
      <c r="AK1741" s="30"/>
    </row>
    <row r="1742" spans="36:37" ht="12" customHeight="1">
      <c r="AJ1742" s="146"/>
      <c r="AK1742" s="30"/>
    </row>
    <row r="1743" spans="36:37" ht="12" customHeight="1">
      <c r="AJ1743" s="146"/>
      <c r="AK1743" s="30"/>
    </row>
    <row r="1744" spans="36:37" ht="12" customHeight="1">
      <c r="AJ1744" s="146"/>
      <c r="AK1744" s="30"/>
    </row>
    <row r="1745" spans="36:37" ht="12" customHeight="1">
      <c r="AJ1745" s="146"/>
      <c r="AK1745" s="30"/>
    </row>
    <row r="1746" spans="36:37" ht="12" customHeight="1">
      <c r="AJ1746" s="146"/>
      <c r="AK1746" s="30"/>
    </row>
    <row r="1747" spans="36:37" ht="12" customHeight="1">
      <c r="AJ1747" s="146"/>
      <c r="AK1747" s="30"/>
    </row>
    <row r="1748" spans="36:37" ht="12" customHeight="1">
      <c r="AJ1748" s="146"/>
      <c r="AK1748" s="30"/>
    </row>
    <row r="1749" spans="36:37" ht="12" customHeight="1">
      <c r="AJ1749" s="146"/>
      <c r="AK1749" s="30"/>
    </row>
    <row r="1750" spans="36:37" ht="12" customHeight="1">
      <c r="AJ1750" s="146"/>
      <c r="AK1750" s="30"/>
    </row>
    <row r="1751" spans="36:37" ht="12" customHeight="1">
      <c r="AJ1751" s="146"/>
      <c r="AK1751" s="30"/>
    </row>
    <row r="1752" spans="36:37" ht="12" customHeight="1">
      <c r="AJ1752" s="146"/>
      <c r="AK1752" s="30"/>
    </row>
    <row r="1753" spans="36:37" ht="12" customHeight="1">
      <c r="AJ1753" s="146"/>
      <c r="AK1753" s="30"/>
    </row>
    <row r="1754" spans="36:37" ht="12" customHeight="1">
      <c r="AJ1754" s="146"/>
      <c r="AK1754" s="30"/>
    </row>
    <row r="1755" spans="36:37" ht="12" customHeight="1">
      <c r="AJ1755" s="146"/>
      <c r="AK1755" s="30"/>
    </row>
    <row r="1756" spans="36:37" ht="12" customHeight="1">
      <c r="AJ1756" s="146"/>
      <c r="AK1756" s="30"/>
    </row>
    <row r="1757" spans="36:37" ht="12" customHeight="1">
      <c r="AJ1757" s="146"/>
      <c r="AK1757" s="30"/>
    </row>
    <row r="1758" spans="36:37" ht="12" customHeight="1">
      <c r="AJ1758" s="146"/>
      <c r="AK1758" s="30"/>
    </row>
    <row r="1759" spans="36:37" ht="12" customHeight="1">
      <c r="AJ1759" s="146"/>
      <c r="AK1759" s="30"/>
    </row>
    <row r="1760" spans="36:37" ht="12" customHeight="1">
      <c r="AJ1760" s="146"/>
      <c r="AK1760" s="30"/>
    </row>
    <row r="1761" spans="36:37" ht="12" customHeight="1">
      <c r="AJ1761" s="146"/>
      <c r="AK1761" s="30"/>
    </row>
    <row r="1762" spans="36:37" ht="12" customHeight="1">
      <c r="AJ1762" s="146"/>
      <c r="AK1762" s="30"/>
    </row>
    <row r="1763" spans="36:37" ht="12" customHeight="1">
      <c r="AJ1763" s="146"/>
      <c r="AK1763" s="30"/>
    </row>
    <row r="1764" spans="36:37" ht="12" customHeight="1">
      <c r="AJ1764" s="146"/>
      <c r="AK1764" s="30"/>
    </row>
    <row r="1765" spans="36:37" ht="12" customHeight="1">
      <c r="AJ1765" s="146"/>
      <c r="AK1765" s="30"/>
    </row>
    <row r="1766" spans="36:37" ht="12" customHeight="1">
      <c r="AJ1766" s="146"/>
      <c r="AK1766" s="30"/>
    </row>
    <row r="1767" spans="36:37" ht="12" customHeight="1">
      <c r="AJ1767" s="146"/>
      <c r="AK1767" s="30"/>
    </row>
    <row r="1768" spans="36:37" ht="12" customHeight="1">
      <c r="AJ1768" s="146"/>
      <c r="AK1768" s="30"/>
    </row>
    <row r="1769" spans="36:37" ht="12" customHeight="1">
      <c r="AJ1769" s="146"/>
      <c r="AK1769" s="30"/>
    </row>
    <row r="1770" spans="36:37" ht="12" customHeight="1">
      <c r="AJ1770" s="146"/>
      <c r="AK1770" s="30"/>
    </row>
    <row r="1771" spans="36:37" ht="12" customHeight="1">
      <c r="AJ1771" s="146"/>
      <c r="AK1771" s="30"/>
    </row>
    <row r="1772" spans="36:37" ht="12" customHeight="1">
      <c r="AJ1772" s="146"/>
      <c r="AK1772" s="30"/>
    </row>
    <row r="1773" spans="36:37" ht="12" customHeight="1">
      <c r="AJ1773" s="146"/>
      <c r="AK1773" s="30"/>
    </row>
    <row r="1774" spans="36:37" ht="12" customHeight="1">
      <c r="AJ1774" s="146"/>
      <c r="AK1774" s="30"/>
    </row>
    <row r="1775" spans="36:37" ht="12" customHeight="1">
      <c r="AJ1775" s="146"/>
      <c r="AK1775" s="30"/>
    </row>
    <row r="1776" spans="36:37" ht="12" customHeight="1">
      <c r="AJ1776" s="146"/>
      <c r="AK1776" s="30"/>
    </row>
    <row r="1777" spans="36:37" ht="12" customHeight="1">
      <c r="AJ1777" s="146"/>
      <c r="AK1777" s="30"/>
    </row>
    <row r="1778" spans="36:37" ht="12" customHeight="1">
      <c r="AJ1778" s="146"/>
      <c r="AK1778" s="30"/>
    </row>
    <row r="1779" spans="36:37" ht="12" customHeight="1">
      <c r="AJ1779" s="146"/>
      <c r="AK1779" s="30"/>
    </row>
    <row r="1780" spans="36:37" ht="12" customHeight="1">
      <c r="AJ1780" s="146"/>
      <c r="AK1780" s="30"/>
    </row>
    <row r="1781" spans="36:37" ht="12" customHeight="1">
      <c r="AJ1781" s="146"/>
      <c r="AK1781" s="30"/>
    </row>
    <row r="1782" spans="36:37" ht="12" customHeight="1">
      <c r="AJ1782" s="146"/>
      <c r="AK1782" s="30"/>
    </row>
    <row r="1783" spans="36:37" ht="12" customHeight="1">
      <c r="AJ1783" s="146"/>
      <c r="AK1783" s="30"/>
    </row>
    <row r="1784" spans="36:37" ht="12" customHeight="1">
      <c r="AJ1784" s="146"/>
      <c r="AK1784" s="30"/>
    </row>
    <row r="1785" spans="36:37" ht="12" customHeight="1">
      <c r="AJ1785" s="146"/>
      <c r="AK1785" s="30"/>
    </row>
    <row r="1786" spans="36:37" ht="12" customHeight="1">
      <c r="AJ1786" s="146"/>
      <c r="AK1786" s="30"/>
    </row>
    <row r="1787" spans="36:37" ht="12" customHeight="1">
      <c r="AJ1787" s="146"/>
      <c r="AK1787" s="30"/>
    </row>
    <row r="1788" spans="36:37" ht="12" customHeight="1">
      <c r="AJ1788" s="146"/>
      <c r="AK1788" s="30"/>
    </row>
    <row r="1789" spans="36:37" ht="12" customHeight="1">
      <c r="AJ1789" s="146"/>
      <c r="AK1789" s="30"/>
    </row>
    <row r="1790" spans="36:37" ht="12" customHeight="1">
      <c r="AJ1790" s="146"/>
      <c r="AK1790" s="30"/>
    </row>
    <row r="1791" spans="36:37" ht="12" customHeight="1">
      <c r="AJ1791" s="146"/>
      <c r="AK1791" s="30"/>
    </row>
    <row r="1792" spans="36:37" ht="12" customHeight="1">
      <c r="AJ1792" s="146"/>
      <c r="AK1792" s="30"/>
    </row>
    <row r="1793" spans="36:37" ht="12" customHeight="1">
      <c r="AJ1793" s="146"/>
      <c r="AK1793" s="30"/>
    </row>
    <row r="1794" spans="36:37" ht="12" customHeight="1">
      <c r="AJ1794" s="146"/>
      <c r="AK1794" s="30"/>
    </row>
    <row r="1795" spans="36:37" ht="12" customHeight="1">
      <c r="AJ1795" s="146"/>
      <c r="AK1795" s="30"/>
    </row>
    <row r="1796" spans="36:37" ht="12" customHeight="1">
      <c r="AJ1796" s="146"/>
      <c r="AK1796" s="30"/>
    </row>
    <row r="1797" spans="36:37" ht="12" customHeight="1">
      <c r="AJ1797" s="146"/>
      <c r="AK1797" s="30"/>
    </row>
    <row r="1798" spans="36:37" ht="12" customHeight="1">
      <c r="AJ1798" s="146"/>
      <c r="AK1798" s="30"/>
    </row>
    <row r="1799" spans="36:37" ht="12" customHeight="1">
      <c r="AJ1799" s="146"/>
      <c r="AK1799" s="30"/>
    </row>
    <row r="1800" spans="36:37" ht="12" customHeight="1">
      <c r="AJ1800" s="146"/>
      <c r="AK1800" s="30"/>
    </row>
    <row r="1801" spans="36:37" ht="12" customHeight="1">
      <c r="AJ1801" s="146"/>
      <c r="AK1801" s="30"/>
    </row>
    <row r="1802" spans="36:37" ht="12" customHeight="1">
      <c r="AJ1802" s="146"/>
      <c r="AK1802" s="30"/>
    </row>
    <row r="1803" spans="36:37" ht="12" customHeight="1">
      <c r="AJ1803" s="146"/>
      <c r="AK1803" s="30"/>
    </row>
    <row r="1804" spans="36:37" ht="12" customHeight="1">
      <c r="AJ1804" s="146"/>
      <c r="AK1804" s="30"/>
    </row>
    <row r="1805" spans="36:37" ht="12" customHeight="1">
      <c r="AJ1805" s="146"/>
      <c r="AK1805" s="30"/>
    </row>
    <row r="1806" spans="36:37" ht="12" customHeight="1">
      <c r="AJ1806" s="146"/>
      <c r="AK1806" s="30"/>
    </row>
    <row r="1807" spans="36:37" ht="12" customHeight="1">
      <c r="AJ1807" s="146"/>
      <c r="AK1807" s="30"/>
    </row>
    <row r="1808" spans="36:37" ht="12" customHeight="1">
      <c r="AJ1808" s="146"/>
      <c r="AK1808" s="30"/>
    </row>
    <row r="1809" spans="36:37" ht="12" customHeight="1">
      <c r="AJ1809" s="146"/>
      <c r="AK1809" s="30"/>
    </row>
    <row r="1810" spans="36:37" ht="12" customHeight="1">
      <c r="AJ1810" s="146"/>
      <c r="AK1810" s="30"/>
    </row>
    <row r="1811" spans="36:37" ht="12" customHeight="1">
      <c r="AJ1811" s="146"/>
      <c r="AK1811" s="30"/>
    </row>
    <row r="1812" spans="36:37" ht="12" customHeight="1">
      <c r="AJ1812" s="146"/>
      <c r="AK1812" s="30"/>
    </row>
    <row r="1813" spans="36:37" ht="12" customHeight="1">
      <c r="AJ1813" s="146"/>
      <c r="AK1813" s="30"/>
    </row>
    <row r="1814" spans="36:37" ht="12" customHeight="1">
      <c r="AJ1814" s="146"/>
      <c r="AK1814" s="30"/>
    </row>
    <row r="1815" spans="36:37" ht="12" customHeight="1">
      <c r="AJ1815" s="146"/>
      <c r="AK1815" s="30"/>
    </row>
    <row r="1816" spans="36:37" ht="12" customHeight="1">
      <c r="AJ1816" s="146"/>
      <c r="AK1816" s="30"/>
    </row>
    <row r="1817" spans="36:37" ht="12" customHeight="1">
      <c r="AJ1817" s="146"/>
      <c r="AK1817" s="30"/>
    </row>
    <row r="1818" spans="36:37" ht="12" customHeight="1">
      <c r="AJ1818" s="146"/>
      <c r="AK1818" s="30"/>
    </row>
    <row r="1819" spans="36:37" ht="12" customHeight="1">
      <c r="AJ1819" s="146"/>
      <c r="AK1819" s="30"/>
    </row>
    <row r="1820" spans="36:37" ht="12" customHeight="1">
      <c r="AJ1820" s="146"/>
      <c r="AK1820" s="30"/>
    </row>
    <row r="1821" spans="36:37" ht="12" customHeight="1">
      <c r="AJ1821" s="146"/>
      <c r="AK1821" s="30"/>
    </row>
    <row r="1822" spans="36:37" ht="12" customHeight="1">
      <c r="AJ1822" s="146"/>
      <c r="AK1822" s="30"/>
    </row>
    <row r="1823" spans="36:37" ht="12" customHeight="1">
      <c r="AJ1823" s="146"/>
      <c r="AK1823" s="30"/>
    </row>
    <row r="1824" spans="36:37" ht="12" customHeight="1">
      <c r="AJ1824" s="146"/>
      <c r="AK1824" s="30"/>
    </row>
    <row r="1825" spans="36:37" ht="12" customHeight="1">
      <c r="AJ1825" s="146"/>
      <c r="AK1825" s="30"/>
    </row>
    <row r="1826" spans="36:37" ht="12" customHeight="1">
      <c r="AJ1826" s="146"/>
      <c r="AK1826" s="30"/>
    </row>
    <row r="1827" spans="36:37" ht="12" customHeight="1">
      <c r="AJ1827" s="146"/>
      <c r="AK1827" s="30"/>
    </row>
    <row r="1828" spans="36:37" ht="12" customHeight="1">
      <c r="AJ1828" s="146"/>
      <c r="AK1828" s="30"/>
    </row>
    <row r="1829" spans="36:37" ht="12" customHeight="1">
      <c r="AJ1829" s="146"/>
      <c r="AK1829" s="30"/>
    </row>
    <row r="1830" spans="36:37" ht="12" customHeight="1">
      <c r="AJ1830" s="146"/>
      <c r="AK1830" s="30"/>
    </row>
    <row r="1831" spans="36:37" ht="12" customHeight="1">
      <c r="AJ1831" s="146"/>
      <c r="AK1831" s="30"/>
    </row>
    <row r="1832" spans="36:37" ht="12" customHeight="1">
      <c r="AJ1832" s="146"/>
      <c r="AK1832" s="30"/>
    </row>
    <row r="1833" spans="36:37" ht="12" customHeight="1">
      <c r="AJ1833" s="146"/>
      <c r="AK1833" s="30"/>
    </row>
    <row r="1834" spans="36:37" ht="12" customHeight="1">
      <c r="AJ1834" s="146"/>
      <c r="AK1834" s="30"/>
    </row>
    <row r="1835" spans="36:37" ht="12" customHeight="1">
      <c r="AJ1835" s="146"/>
      <c r="AK1835" s="30"/>
    </row>
    <row r="1836" spans="36:37" ht="12" customHeight="1">
      <c r="AJ1836" s="146"/>
      <c r="AK1836" s="30"/>
    </row>
    <row r="1837" spans="36:37" ht="12" customHeight="1">
      <c r="AJ1837" s="146"/>
      <c r="AK1837" s="30"/>
    </row>
    <row r="1838" spans="36:37" ht="12" customHeight="1">
      <c r="AJ1838" s="146"/>
      <c r="AK1838" s="30"/>
    </row>
    <row r="1839" spans="36:37" ht="12" customHeight="1">
      <c r="AJ1839" s="146"/>
      <c r="AK1839" s="30"/>
    </row>
    <row r="1840" spans="36:37" ht="12" customHeight="1">
      <c r="AJ1840" s="146"/>
      <c r="AK1840" s="30"/>
    </row>
    <row r="1841" spans="36:37" ht="12" customHeight="1">
      <c r="AJ1841" s="146"/>
      <c r="AK1841" s="30"/>
    </row>
    <row r="1842" spans="36:37" ht="12" customHeight="1">
      <c r="AJ1842" s="146"/>
      <c r="AK1842" s="30"/>
    </row>
    <row r="1843" spans="36:37" ht="12" customHeight="1">
      <c r="AJ1843" s="146"/>
      <c r="AK1843" s="30"/>
    </row>
    <row r="1844" spans="36:37" ht="12" customHeight="1">
      <c r="AJ1844" s="146"/>
      <c r="AK1844" s="30"/>
    </row>
    <row r="1845" spans="36:37" ht="12" customHeight="1">
      <c r="AJ1845" s="146"/>
      <c r="AK1845" s="30"/>
    </row>
    <row r="1846" spans="36:37" ht="12" customHeight="1">
      <c r="AJ1846" s="146"/>
      <c r="AK1846" s="30"/>
    </row>
    <row r="1847" spans="36:37" ht="12" customHeight="1">
      <c r="AJ1847" s="146"/>
      <c r="AK1847" s="30"/>
    </row>
    <row r="1848" spans="36:37" ht="12" customHeight="1">
      <c r="AJ1848" s="146"/>
      <c r="AK1848" s="30"/>
    </row>
    <row r="1849" spans="36:37" ht="12" customHeight="1">
      <c r="AJ1849" s="146"/>
      <c r="AK1849" s="30"/>
    </row>
    <row r="1850" spans="36:37" ht="12" customHeight="1">
      <c r="AJ1850" s="146"/>
      <c r="AK1850" s="30"/>
    </row>
    <row r="1851" spans="36:37" ht="12" customHeight="1">
      <c r="AJ1851" s="146"/>
      <c r="AK1851" s="30"/>
    </row>
    <row r="1852" spans="36:37" ht="12" customHeight="1">
      <c r="AJ1852" s="146"/>
      <c r="AK1852" s="30"/>
    </row>
    <row r="1853" spans="36:37" ht="12" customHeight="1">
      <c r="AJ1853" s="146"/>
      <c r="AK1853" s="30"/>
    </row>
    <row r="1854" spans="36:37" ht="12" customHeight="1">
      <c r="AJ1854" s="146"/>
      <c r="AK1854" s="30"/>
    </row>
    <row r="1855" spans="36:37" ht="12" customHeight="1">
      <c r="AJ1855" s="146"/>
      <c r="AK1855" s="30"/>
    </row>
    <row r="1856" spans="36:37" ht="12" customHeight="1">
      <c r="AJ1856" s="146"/>
      <c r="AK1856" s="30"/>
    </row>
    <row r="1857" spans="36:37" ht="12" customHeight="1">
      <c r="AJ1857" s="146"/>
      <c r="AK1857" s="30"/>
    </row>
    <row r="1858" spans="36:37" ht="12" customHeight="1">
      <c r="AJ1858" s="146"/>
      <c r="AK1858" s="30"/>
    </row>
    <row r="1859" spans="36:37" ht="12" customHeight="1">
      <c r="AJ1859" s="146"/>
      <c r="AK1859" s="30"/>
    </row>
    <row r="1860" spans="36:37" ht="12" customHeight="1">
      <c r="AJ1860" s="146"/>
      <c r="AK1860" s="30"/>
    </row>
    <row r="1861" spans="36:37" ht="12" customHeight="1">
      <c r="AJ1861" s="146"/>
      <c r="AK1861" s="30"/>
    </row>
    <row r="1862" spans="36:37" ht="12" customHeight="1">
      <c r="AJ1862" s="146"/>
      <c r="AK1862" s="30"/>
    </row>
    <row r="1863" spans="36:37" ht="12" customHeight="1">
      <c r="AJ1863" s="146"/>
      <c r="AK1863" s="30"/>
    </row>
    <row r="1864" spans="36:37" ht="12" customHeight="1">
      <c r="AJ1864" s="146"/>
      <c r="AK1864" s="30"/>
    </row>
    <row r="1865" spans="36:37" ht="12" customHeight="1">
      <c r="AJ1865" s="146"/>
      <c r="AK1865" s="30"/>
    </row>
    <row r="1866" spans="36:37" ht="12" customHeight="1">
      <c r="AJ1866" s="146"/>
      <c r="AK1866" s="30"/>
    </row>
    <row r="1867" spans="36:37" ht="12" customHeight="1">
      <c r="AJ1867" s="146"/>
      <c r="AK1867" s="30"/>
    </row>
    <row r="1868" spans="36:37" ht="12" customHeight="1">
      <c r="AJ1868" s="146"/>
      <c r="AK1868" s="30"/>
    </row>
    <row r="1869" spans="36:37" ht="12" customHeight="1">
      <c r="AJ1869" s="146"/>
      <c r="AK1869" s="30"/>
    </row>
    <row r="1870" spans="36:37" ht="12" customHeight="1">
      <c r="AJ1870" s="146"/>
      <c r="AK1870" s="30"/>
    </row>
    <row r="1871" spans="36:37" ht="12" customHeight="1">
      <c r="AJ1871" s="146"/>
      <c r="AK1871" s="30"/>
    </row>
    <row r="1872" spans="36:37" ht="12" customHeight="1">
      <c r="AJ1872" s="146"/>
      <c r="AK1872" s="30"/>
    </row>
    <row r="1873" spans="36:37" ht="12" customHeight="1">
      <c r="AJ1873" s="146"/>
      <c r="AK1873" s="30"/>
    </row>
    <row r="1874" spans="36:37" ht="12" customHeight="1">
      <c r="AJ1874" s="146"/>
      <c r="AK1874" s="30"/>
    </row>
    <row r="1875" spans="36:37" ht="12" customHeight="1">
      <c r="AJ1875" s="146"/>
      <c r="AK1875" s="30"/>
    </row>
    <row r="1876" spans="36:37" ht="12" customHeight="1">
      <c r="AJ1876" s="146"/>
      <c r="AK1876" s="30"/>
    </row>
    <row r="1877" spans="36:37" ht="12" customHeight="1">
      <c r="AJ1877" s="146"/>
      <c r="AK1877" s="30"/>
    </row>
    <row r="1878" spans="36:37" ht="12" customHeight="1">
      <c r="AJ1878" s="146"/>
      <c r="AK1878" s="30"/>
    </row>
    <row r="1879" spans="36:37" ht="12" customHeight="1">
      <c r="AJ1879" s="146"/>
      <c r="AK1879" s="30"/>
    </row>
    <row r="1880" spans="36:37" ht="12" customHeight="1">
      <c r="AJ1880" s="146"/>
      <c r="AK1880" s="30"/>
    </row>
    <row r="1881" spans="36:37" ht="12" customHeight="1">
      <c r="AJ1881" s="146"/>
      <c r="AK1881" s="30"/>
    </row>
    <row r="1882" spans="36:37" ht="12" customHeight="1">
      <c r="AJ1882" s="146"/>
      <c r="AK1882" s="30"/>
    </row>
    <row r="1883" spans="36:37" ht="12" customHeight="1">
      <c r="AJ1883" s="146"/>
      <c r="AK1883" s="30"/>
    </row>
    <row r="1884" spans="36:37" ht="12" customHeight="1">
      <c r="AJ1884" s="146"/>
      <c r="AK1884" s="30"/>
    </row>
    <row r="1885" spans="36:37" ht="12" customHeight="1">
      <c r="AJ1885" s="146"/>
      <c r="AK1885" s="30"/>
    </row>
    <row r="1886" spans="36:37" ht="12" customHeight="1">
      <c r="AJ1886" s="146"/>
      <c r="AK1886" s="30"/>
    </row>
    <row r="1887" spans="36:37" ht="12" customHeight="1">
      <c r="AJ1887" s="146"/>
      <c r="AK1887" s="30"/>
    </row>
    <row r="1888" spans="36:37" ht="12" customHeight="1">
      <c r="AJ1888" s="146"/>
      <c r="AK1888" s="30"/>
    </row>
    <row r="1889" spans="36:37" ht="12" customHeight="1">
      <c r="AJ1889" s="146"/>
      <c r="AK1889" s="30"/>
    </row>
    <row r="1890" spans="36:37" ht="12" customHeight="1">
      <c r="AJ1890" s="146"/>
      <c r="AK1890" s="30"/>
    </row>
    <row r="1891" spans="36:37" ht="12" customHeight="1">
      <c r="AJ1891" s="146"/>
      <c r="AK1891" s="30"/>
    </row>
    <row r="1892" spans="36:37" ht="12" customHeight="1">
      <c r="AJ1892" s="146"/>
      <c r="AK1892" s="30"/>
    </row>
    <row r="1893" spans="36:37" ht="12" customHeight="1">
      <c r="AJ1893" s="146"/>
      <c r="AK1893" s="30"/>
    </row>
    <row r="1894" spans="36:37" ht="12" customHeight="1">
      <c r="AJ1894" s="146"/>
      <c r="AK1894" s="30"/>
    </row>
    <row r="1895" spans="36:37" ht="12" customHeight="1">
      <c r="AJ1895" s="146"/>
      <c r="AK1895" s="30"/>
    </row>
    <row r="1896" spans="36:37" ht="12" customHeight="1">
      <c r="AJ1896" s="146"/>
      <c r="AK1896" s="30"/>
    </row>
    <row r="1897" spans="36:37" ht="12" customHeight="1">
      <c r="AJ1897" s="146"/>
      <c r="AK1897" s="30"/>
    </row>
    <row r="1898" spans="36:37" ht="12" customHeight="1">
      <c r="AJ1898" s="146"/>
      <c r="AK1898" s="30"/>
    </row>
    <row r="1899" spans="36:37" ht="12" customHeight="1">
      <c r="AJ1899" s="146"/>
      <c r="AK1899" s="30"/>
    </row>
    <row r="1900" spans="36:37" ht="12" customHeight="1">
      <c r="AJ1900" s="146"/>
      <c r="AK1900" s="30"/>
    </row>
    <row r="1901" spans="36:37" ht="12" customHeight="1">
      <c r="AJ1901" s="146"/>
      <c r="AK1901" s="30"/>
    </row>
    <row r="1902" spans="36:37" ht="12" customHeight="1">
      <c r="AJ1902" s="146"/>
      <c r="AK1902" s="30"/>
    </row>
    <row r="1903" spans="36:37" ht="12" customHeight="1">
      <c r="AJ1903" s="146"/>
      <c r="AK1903" s="30"/>
    </row>
    <row r="1904" spans="36:37" ht="12" customHeight="1">
      <c r="AJ1904" s="146"/>
      <c r="AK1904" s="30"/>
    </row>
    <row r="1905" spans="36:37" ht="12" customHeight="1">
      <c r="AJ1905" s="146"/>
      <c r="AK1905" s="30"/>
    </row>
    <row r="1906" spans="36:37" ht="12" customHeight="1">
      <c r="AJ1906" s="146"/>
      <c r="AK1906" s="30"/>
    </row>
    <row r="1907" spans="36:37" ht="12" customHeight="1">
      <c r="AJ1907" s="146"/>
      <c r="AK1907" s="30"/>
    </row>
    <row r="1908" spans="36:37" ht="12" customHeight="1">
      <c r="AJ1908" s="146"/>
      <c r="AK1908" s="30"/>
    </row>
    <row r="1909" spans="36:37" ht="12" customHeight="1">
      <c r="AJ1909" s="146"/>
      <c r="AK1909" s="30"/>
    </row>
    <row r="1910" spans="36:37" ht="12" customHeight="1">
      <c r="AJ1910" s="146"/>
      <c r="AK1910" s="30"/>
    </row>
    <row r="1911" spans="36:37" ht="12" customHeight="1">
      <c r="AJ1911" s="146"/>
      <c r="AK1911" s="30"/>
    </row>
    <row r="1912" spans="36:37" ht="12" customHeight="1">
      <c r="AJ1912" s="146"/>
      <c r="AK1912" s="30"/>
    </row>
    <row r="1913" spans="36:37" ht="12" customHeight="1">
      <c r="AJ1913" s="146"/>
      <c r="AK1913" s="30"/>
    </row>
    <row r="1914" spans="36:37" ht="12" customHeight="1">
      <c r="AJ1914" s="146"/>
      <c r="AK1914" s="30"/>
    </row>
    <row r="1915" spans="36:37" ht="12" customHeight="1">
      <c r="AJ1915" s="146"/>
      <c r="AK1915" s="30"/>
    </row>
    <row r="1916" spans="36:37" ht="12" customHeight="1">
      <c r="AJ1916" s="146"/>
      <c r="AK1916" s="30"/>
    </row>
    <row r="1917" spans="36:37" ht="12" customHeight="1">
      <c r="AJ1917" s="146"/>
      <c r="AK1917" s="30"/>
    </row>
    <row r="1918" spans="36:37" ht="12" customHeight="1">
      <c r="AJ1918" s="146"/>
      <c r="AK1918" s="30"/>
    </row>
    <row r="1919" spans="36:37" ht="12" customHeight="1">
      <c r="AJ1919" s="146"/>
      <c r="AK1919" s="30"/>
    </row>
    <row r="1920" spans="36:37" ht="12" customHeight="1">
      <c r="AJ1920" s="146"/>
      <c r="AK1920" s="30"/>
    </row>
    <row r="1921" spans="36:37" ht="12" customHeight="1">
      <c r="AJ1921" s="146"/>
      <c r="AK1921" s="30"/>
    </row>
    <row r="1922" spans="36:37" ht="12" customHeight="1">
      <c r="AJ1922" s="146"/>
      <c r="AK1922" s="30"/>
    </row>
    <row r="1923" spans="36:37" ht="12" customHeight="1">
      <c r="AJ1923" s="146"/>
      <c r="AK1923" s="30"/>
    </row>
    <row r="1924" spans="36:37" ht="12" customHeight="1">
      <c r="AJ1924" s="146"/>
      <c r="AK1924" s="30"/>
    </row>
    <row r="1925" spans="36:37" ht="12" customHeight="1">
      <c r="AJ1925" s="146"/>
      <c r="AK1925" s="30"/>
    </row>
    <row r="1926" spans="36:37" ht="12" customHeight="1">
      <c r="AJ1926" s="146"/>
      <c r="AK1926" s="30"/>
    </row>
    <row r="1927" spans="36:37" ht="12" customHeight="1">
      <c r="AJ1927" s="146"/>
      <c r="AK1927" s="30"/>
    </row>
    <row r="1928" spans="36:37" ht="12" customHeight="1">
      <c r="AJ1928" s="146"/>
      <c r="AK1928" s="30"/>
    </row>
    <row r="1929" spans="36:37" ht="12" customHeight="1">
      <c r="AJ1929" s="146"/>
      <c r="AK1929" s="30"/>
    </row>
    <row r="1930" spans="36:37" ht="12" customHeight="1">
      <c r="AJ1930" s="146"/>
      <c r="AK1930" s="30"/>
    </row>
    <row r="1931" spans="36:37" ht="12" customHeight="1">
      <c r="AJ1931" s="146"/>
      <c r="AK1931" s="30"/>
    </row>
    <row r="1932" spans="36:37" ht="12" customHeight="1">
      <c r="AJ1932" s="146"/>
      <c r="AK1932" s="30"/>
    </row>
    <row r="1933" spans="36:37" ht="12" customHeight="1">
      <c r="AJ1933" s="146"/>
      <c r="AK1933" s="30"/>
    </row>
    <row r="1934" spans="36:37" ht="12" customHeight="1">
      <c r="AJ1934" s="146"/>
      <c r="AK1934" s="30"/>
    </row>
    <row r="1935" spans="36:37" ht="12" customHeight="1">
      <c r="AJ1935" s="146"/>
      <c r="AK1935" s="30"/>
    </row>
    <row r="1936" spans="36:37" ht="12" customHeight="1">
      <c r="AJ1936" s="146"/>
      <c r="AK1936" s="30"/>
    </row>
    <row r="1937" spans="36:37" ht="12" customHeight="1">
      <c r="AJ1937" s="146"/>
      <c r="AK1937" s="30"/>
    </row>
    <row r="1938" spans="36:37" ht="12" customHeight="1">
      <c r="AJ1938" s="146"/>
      <c r="AK1938" s="30"/>
    </row>
    <row r="1939" spans="36:37" ht="12" customHeight="1">
      <c r="AJ1939" s="146"/>
      <c r="AK1939" s="30"/>
    </row>
    <row r="1940" spans="36:37" ht="12" customHeight="1">
      <c r="AJ1940" s="146"/>
      <c r="AK1940" s="30"/>
    </row>
    <row r="1941" spans="36:37" ht="12" customHeight="1">
      <c r="AJ1941" s="146"/>
      <c r="AK1941" s="30"/>
    </row>
    <row r="1942" spans="36:37" ht="12" customHeight="1">
      <c r="AJ1942" s="146"/>
      <c r="AK1942" s="30"/>
    </row>
    <row r="1943" spans="36:37" ht="12" customHeight="1">
      <c r="AJ1943" s="146"/>
      <c r="AK1943" s="30"/>
    </row>
    <row r="1944" spans="36:37" ht="12" customHeight="1">
      <c r="AJ1944" s="146"/>
      <c r="AK1944" s="30"/>
    </row>
    <row r="1945" spans="36:37" ht="12" customHeight="1">
      <c r="AJ1945" s="146"/>
      <c r="AK1945" s="30"/>
    </row>
    <row r="1946" spans="36:37" ht="12" customHeight="1">
      <c r="AJ1946" s="146"/>
      <c r="AK1946" s="30"/>
    </row>
    <row r="1947" spans="36:37" ht="12" customHeight="1">
      <c r="AJ1947" s="146"/>
      <c r="AK1947" s="30"/>
    </row>
    <row r="1948" spans="36:37" ht="12" customHeight="1">
      <c r="AJ1948" s="146"/>
      <c r="AK1948" s="30"/>
    </row>
    <row r="1949" spans="36:37" ht="12" customHeight="1">
      <c r="AJ1949" s="146"/>
      <c r="AK1949" s="30"/>
    </row>
    <row r="1950" spans="36:37" ht="12" customHeight="1">
      <c r="AJ1950" s="146"/>
      <c r="AK1950" s="30"/>
    </row>
    <row r="1951" spans="36:37" ht="12" customHeight="1">
      <c r="AJ1951" s="146"/>
      <c r="AK1951" s="30"/>
    </row>
    <row r="1952" spans="36:37" ht="12" customHeight="1">
      <c r="AJ1952" s="146"/>
      <c r="AK1952" s="30"/>
    </row>
    <row r="1953" spans="36:37" ht="12" customHeight="1">
      <c r="AJ1953" s="146"/>
      <c r="AK1953" s="30"/>
    </row>
    <row r="1954" spans="36:37" ht="12" customHeight="1">
      <c r="AJ1954" s="146"/>
      <c r="AK1954" s="30"/>
    </row>
    <row r="1955" spans="36:37" ht="12" customHeight="1">
      <c r="AJ1955" s="146"/>
      <c r="AK1955" s="30"/>
    </row>
    <row r="1956" spans="36:37" ht="12" customHeight="1">
      <c r="AJ1956" s="146"/>
      <c r="AK1956" s="30"/>
    </row>
    <row r="1957" spans="36:37" ht="12" customHeight="1">
      <c r="AJ1957" s="146"/>
      <c r="AK1957" s="30"/>
    </row>
    <row r="1958" spans="36:37" ht="12" customHeight="1">
      <c r="AJ1958" s="146"/>
      <c r="AK1958" s="30"/>
    </row>
    <row r="1959" spans="36:37" ht="12" customHeight="1">
      <c r="AJ1959" s="146"/>
      <c r="AK1959" s="30"/>
    </row>
    <row r="1960" spans="36:37" ht="12" customHeight="1">
      <c r="AJ1960" s="146"/>
      <c r="AK1960" s="30"/>
    </row>
    <row r="1961" spans="36:37" ht="12" customHeight="1">
      <c r="AJ1961" s="146"/>
      <c r="AK1961" s="30"/>
    </row>
    <row r="1962" spans="36:37" ht="12" customHeight="1">
      <c r="AJ1962" s="146"/>
      <c r="AK1962" s="30"/>
    </row>
    <row r="1963" spans="36:37" ht="12" customHeight="1">
      <c r="AJ1963" s="146"/>
      <c r="AK1963" s="30"/>
    </row>
    <row r="1964" spans="36:37" ht="12" customHeight="1">
      <c r="AJ1964" s="146"/>
      <c r="AK1964" s="30"/>
    </row>
    <row r="1965" spans="36:37" ht="12" customHeight="1">
      <c r="AJ1965" s="146"/>
      <c r="AK1965" s="30"/>
    </row>
    <row r="1966" spans="36:37" ht="12" customHeight="1">
      <c r="AJ1966" s="146"/>
      <c r="AK1966" s="30"/>
    </row>
    <row r="1967" spans="36:37" ht="12" customHeight="1">
      <c r="AJ1967" s="146"/>
      <c r="AK1967" s="30"/>
    </row>
    <row r="1968" spans="36:37" ht="12" customHeight="1">
      <c r="AJ1968" s="146"/>
      <c r="AK1968" s="30"/>
    </row>
    <row r="1969" spans="36:37" ht="12" customHeight="1">
      <c r="AJ1969" s="146"/>
      <c r="AK1969" s="30"/>
    </row>
    <row r="1970" spans="36:37" ht="12" customHeight="1">
      <c r="AJ1970" s="146"/>
      <c r="AK1970" s="30"/>
    </row>
    <row r="1971" spans="36:37" ht="12" customHeight="1">
      <c r="AJ1971" s="146"/>
      <c r="AK1971" s="30"/>
    </row>
    <row r="1972" spans="36:37" ht="12" customHeight="1">
      <c r="AJ1972" s="146"/>
      <c r="AK1972" s="30"/>
    </row>
    <row r="1973" spans="36:37" ht="12" customHeight="1">
      <c r="AJ1973" s="146"/>
      <c r="AK1973" s="30"/>
    </row>
    <row r="1974" spans="36:37" ht="12" customHeight="1">
      <c r="AJ1974" s="146"/>
      <c r="AK1974" s="30"/>
    </row>
    <row r="1975" spans="36:37" ht="12" customHeight="1">
      <c r="AJ1975" s="146"/>
      <c r="AK1975" s="30"/>
    </row>
    <row r="1976" spans="36:37" ht="12" customHeight="1">
      <c r="AJ1976" s="146"/>
      <c r="AK1976" s="30"/>
    </row>
    <row r="1977" spans="36:37" ht="12" customHeight="1">
      <c r="AJ1977" s="146"/>
      <c r="AK1977" s="30"/>
    </row>
    <row r="1978" spans="36:37" ht="12" customHeight="1">
      <c r="AJ1978" s="146"/>
      <c r="AK1978" s="30"/>
    </row>
    <row r="1979" spans="36:37" ht="12" customHeight="1">
      <c r="AJ1979" s="146"/>
      <c r="AK1979" s="30"/>
    </row>
    <row r="1980" spans="36:37" ht="12" customHeight="1">
      <c r="AJ1980" s="146"/>
      <c r="AK1980" s="30"/>
    </row>
    <row r="1981" spans="36:37" ht="12" customHeight="1">
      <c r="AJ1981" s="146"/>
      <c r="AK1981" s="30"/>
    </row>
    <row r="1982" spans="36:37" ht="12" customHeight="1">
      <c r="AJ1982" s="146"/>
      <c r="AK1982" s="30"/>
    </row>
    <row r="1983" spans="36:37" ht="12" customHeight="1">
      <c r="AJ1983" s="146"/>
      <c r="AK1983" s="30"/>
    </row>
    <row r="1984" spans="36:37" ht="12" customHeight="1">
      <c r="AJ1984" s="146"/>
      <c r="AK1984" s="30"/>
    </row>
    <row r="1985" spans="36:37" ht="12" customHeight="1">
      <c r="AJ1985" s="146"/>
      <c r="AK1985" s="30"/>
    </row>
    <row r="1986" spans="36:37" ht="12" customHeight="1">
      <c r="AJ1986" s="146"/>
      <c r="AK1986" s="30"/>
    </row>
    <row r="1987" spans="36:37" ht="12" customHeight="1">
      <c r="AJ1987" s="146"/>
      <c r="AK1987" s="30"/>
    </row>
    <row r="1988" spans="36:37" ht="12" customHeight="1">
      <c r="AJ1988" s="146"/>
      <c r="AK1988" s="30"/>
    </row>
    <row r="1989" spans="36:37" ht="12" customHeight="1">
      <c r="AJ1989" s="146"/>
      <c r="AK1989" s="30"/>
    </row>
    <row r="1990" spans="36:37" ht="12" customHeight="1">
      <c r="AJ1990" s="146"/>
      <c r="AK1990" s="30"/>
    </row>
    <row r="1991" spans="36:37" ht="12" customHeight="1">
      <c r="AJ1991" s="146"/>
      <c r="AK1991" s="30"/>
    </row>
    <row r="1992" spans="36:37" ht="12" customHeight="1">
      <c r="AJ1992" s="146"/>
      <c r="AK1992" s="30"/>
    </row>
    <row r="1993" spans="36:37" ht="12" customHeight="1">
      <c r="AJ1993" s="146"/>
      <c r="AK1993" s="30"/>
    </row>
    <row r="1994" spans="36:37" ht="12" customHeight="1">
      <c r="AJ1994" s="146"/>
      <c r="AK1994" s="30"/>
    </row>
    <row r="1995" spans="36:37" ht="12" customHeight="1">
      <c r="AJ1995" s="146"/>
      <c r="AK1995" s="30"/>
    </row>
    <row r="1996" spans="36:37" ht="12" customHeight="1">
      <c r="AJ1996" s="146"/>
      <c r="AK1996" s="30"/>
    </row>
    <row r="1997" spans="36:37" ht="12" customHeight="1">
      <c r="AJ1997" s="146"/>
      <c r="AK1997" s="30"/>
    </row>
    <row r="1998" spans="36:37" ht="12" customHeight="1">
      <c r="AJ1998" s="146"/>
      <c r="AK1998" s="30"/>
    </row>
    <row r="1999" spans="36:37" ht="12" customHeight="1">
      <c r="AJ1999" s="146"/>
      <c r="AK1999" s="30"/>
    </row>
    <row r="2000" spans="36:37" ht="12" customHeight="1">
      <c r="AJ2000" s="146"/>
      <c r="AK2000" s="30"/>
    </row>
    <row r="2001" spans="36:37" ht="12" customHeight="1">
      <c r="AJ2001" s="146"/>
      <c r="AK2001" s="30"/>
    </row>
    <row r="2002" spans="36:37" ht="12" customHeight="1">
      <c r="AJ2002" s="146"/>
      <c r="AK2002" s="30"/>
    </row>
    <row r="2003" spans="36:37" ht="12" customHeight="1">
      <c r="AJ2003" s="146"/>
      <c r="AK2003" s="30"/>
    </row>
    <row r="2004" spans="36:37" ht="12" customHeight="1">
      <c r="AJ2004" s="146"/>
      <c r="AK2004" s="30"/>
    </row>
    <row r="2005" spans="36:37" ht="12" customHeight="1">
      <c r="AJ2005" s="146"/>
      <c r="AK2005" s="30"/>
    </row>
    <row r="2006" spans="36:37" ht="12" customHeight="1">
      <c r="AJ2006" s="146"/>
      <c r="AK2006" s="30"/>
    </row>
    <row r="2007" spans="36:37" ht="12" customHeight="1">
      <c r="AJ2007" s="146"/>
      <c r="AK2007" s="30"/>
    </row>
    <row r="2008" spans="36:37" ht="12" customHeight="1">
      <c r="AJ2008" s="146"/>
      <c r="AK2008" s="30"/>
    </row>
    <row r="2009" spans="36:37" ht="12" customHeight="1">
      <c r="AJ2009" s="146"/>
      <c r="AK2009" s="30"/>
    </row>
    <row r="2010" spans="36:37" ht="12" customHeight="1">
      <c r="AJ2010" s="146"/>
      <c r="AK2010" s="30"/>
    </row>
    <row r="2011" spans="36:37" ht="12" customHeight="1">
      <c r="AJ2011" s="146"/>
      <c r="AK2011" s="30"/>
    </row>
    <row r="2012" spans="36:37" ht="12" customHeight="1">
      <c r="AJ2012" s="146"/>
      <c r="AK2012" s="30"/>
    </row>
    <row r="2013" spans="36:37" ht="12" customHeight="1">
      <c r="AJ2013" s="146"/>
      <c r="AK2013" s="30"/>
    </row>
    <row r="2014" spans="36:37" ht="12" customHeight="1">
      <c r="AJ2014" s="146"/>
      <c r="AK2014" s="30"/>
    </row>
    <row r="2015" spans="36:37" ht="12" customHeight="1">
      <c r="AJ2015" s="146"/>
      <c r="AK2015" s="30"/>
    </row>
    <row r="2016" spans="36:37" ht="12" customHeight="1">
      <c r="AJ2016" s="146"/>
      <c r="AK2016" s="30"/>
    </row>
    <row r="2017" spans="36:37" ht="12" customHeight="1">
      <c r="AJ2017" s="146"/>
      <c r="AK2017" s="30"/>
    </row>
    <row r="2018" spans="36:37" ht="12" customHeight="1">
      <c r="AJ2018" s="146"/>
      <c r="AK2018" s="30"/>
    </row>
    <row r="2019" spans="36:37" ht="12" customHeight="1">
      <c r="AJ2019" s="146"/>
      <c r="AK2019" s="30"/>
    </row>
    <row r="2020" spans="36:37" ht="12" customHeight="1">
      <c r="AJ2020" s="146"/>
      <c r="AK2020" s="30"/>
    </row>
    <row r="2021" spans="36:37" ht="12" customHeight="1">
      <c r="AJ2021" s="146"/>
      <c r="AK2021" s="30"/>
    </row>
    <row r="2022" spans="36:37" ht="12" customHeight="1">
      <c r="AJ2022" s="146"/>
      <c r="AK2022" s="30"/>
    </row>
    <row r="2023" spans="36:37" ht="12" customHeight="1">
      <c r="AJ2023" s="146"/>
      <c r="AK2023" s="30"/>
    </row>
    <row r="2024" spans="36:37" ht="12" customHeight="1">
      <c r="AJ2024" s="146"/>
      <c r="AK2024" s="30"/>
    </row>
    <row r="2025" spans="36:37" ht="12" customHeight="1">
      <c r="AJ2025" s="146"/>
      <c r="AK2025" s="30"/>
    </row>
    <row r="2026" spans="36:37" ht="12" customHeight="1">
      <c r="AJ2026" s="146"/>
      <c r="AK2026" s="30"/>
    </row>
    <row r="2027" spans="36:37" ht="12" customHeight="1">
      <c r="AJ2027" s="146"/>
      <c r="AK2027" s="30"/>
    </row>
    <row r="2028" spans="36:37" ht="12" customHeight="1">
      <c r="AJ2028" s="146"/>
      <c r="AK2028" s="30"/>
    </row>
    <row r="2029" spans="36:37" ht="12" customHeight="1">
      <c r="AJ2029" s="146"/>
      <c r="AK2029" s="30"/>
    </row>
    <row r="2030" spans="36:37" ht="12" customHeight="1">
      <c r="AJ2030" s="146"/>
      <c r="AK2030" s="30"/>
    </row>
    <row r="2031" spans="36:37" ht="12" customHeight="1">
      <c r="AJ2031" s="146"/>
      <c r="AK2031" s="30"/>
    </row>
    <row r="2032" spans="36:37" ht="12" customHeight="1">
      <c r="AJ2032" s="146"/>
      <c r="AK2032" s="30"/>
    </row>
    <row r="2033" spans="36:37" ht="12" customHeight="1">
      <c r="AJ2033" s="146"/>
      <c r="AK2033" s="30"/>
    </row>
    <row r="2034" spans="36:37" ht="12" customHeight="1">
      <c r="AJ2034" s="146"/>
      <c r="AK2034" s="30"/>
    </row>
    <row r="2035" spans="36:37" ht="12" customHeight="1">
      <c r="AJ2035" s="146"/>
      <c r="AK2035" s="30"/>
    </row>
    <row r="2036" spans="36:37" ht="12" customHeight="1">
      <c r="AJ2036" s="146"/>
      <c r="AK2036" s="30"/>
    </row>
    <row r="2037" spans="36:37" ht="12" customHeight="1">
      <c r="AJ2037" s="146"/>
      <c r="AK2037" s="30"/>
    </row>
    <row r="2038" spans="36:37" ht="12" customHeight="1">
      <c r="AJ2038" s="146"/>
      <c r="AK2038" s="30"/>
    </row>
    <row r="2039" spans="36:37" ht="12" customHeight="1">
      <c r="AJ2039" s="146"/>
      <c r="AK2039" s="30"/>
    </row>
    <row r="2040" spans="36:37" ht="12" customHeight="1">
      <c r="AJ2040" s="146"/>
      <c r="AK2040" s="30"/>
    </row>
    <row r="2041" spans="36:37" ht="12" customHeight="1">
      <c r="AJ2041" s="146"/>
      <c r="AK2041" s="30"/>
    </row>
    <row r="2042" spans="36:37" ht="12" customHeight="1">
      <c r="AJ2042" s="146"/>
      <c r="AK2042" s="30"/>
    </row>
    <row r="2043" spans="36:37" ht="12" customHeight="1">
      <c r="AJ2043" s="146"/>
      <c r="AK2043" s="30"/>
    </row>
    <row r="2044" spans="36:37" ht="12" customHeight="1">
      <c r="AJ2044" s="146"/>
      <c r="AK2044" s="30"/>
    </row>
    <row r="2045" spans="36:37" ht="12" customHeight="1">
      <c r="AJ2045" s="146"/>
      <c r="AK2045" s="30"/>
    </row>
    <row r="2046" spans="36:37" ht="12" customHeight="1">
      <c r="AJ2046" s="146"/>
      <c r="AK2046" s="30"/>
    </row>
    <row r="2047" spans="36:37" ht="12" customHeight="1">
      <c r="AJ2047" s="146"/>
      <c r="AK2047" s="30"/>
    </row>
    <row r="2048" spans="36:37" ht="12" customHeight="1">
      <c r="AJ2048" s="146"/>
      <c r="AK2048" s="30"/>
    </row>
    <row r="2049" spans="36:37" ht="12" customHeight="1">
      <c r="AJ2049" s="146"/>
      <c r="AK2049" s="30"/>
    </row>
    <row r="2050" spans="36:37" ht="12" customHeight="1">
      <c r="AJ2050" s="146"/>
      <c r="AK2050" s="30"/>
    </row>
    <row r="2051" spans="36:37" ht="12" customHeight="1">
      <c r="AJ2051" s="146"/>
      <c r="AK2051" s="30"/>
    </row>
    <row r="2052" spans="36:37" ht="12" customHeight="1">
      <c r="AJ2052" s="146"/>
      <c r="AK2052" s="30"/>
    </row>
    <row r="2053" spans="36:37" ht="12" customHeight="1">
      <c r="AJ2053" s="146"/>
      <c r="AK2053" s="30"/>
    </row>
    <row r="2054" spans="36:37" ht="12" customHeight="1">
      <c r="AJ2054" s="146"/>
      <c r="AK2054" s="30"/>
    </row>
    <row r="2055" spans="36:37" ht="12" customHeight="1">
      <c r="AJ2055" s="146"/>
      <c r="AK2055" s="30"/>
    </row>
    <row r="2056" spans="36:37" ht="12" customHeight="1">
      <c r="AJ2056" s="146"/>
      <c r="AK2056" s="30"/>
    </row>
    <row r="2057" spans="36:37" ht="12" customHeight="1">
      <c r="AJ2057" s="146"/>
      <c r="AK2057" s="30"/>
    </row>
    <row r="2058" spans="36:37" ht="12" customHeight="1">
      <c r="AJ2058" s="146"/>
      <c r="AK2058" s="30"/>
    </row>
    <row r="2059" spans="36:37" ht="12" customHeight="1">
      <c r="AJ2059" s="146"/>
      <c r="AK2059" s="30"/>
    </row>
    <row r="2060" spans="36:37" ht="12" customHeight="1">
      <c r="AJ2060" s="146"/>
      <c r="AK2060" s="30"/>
    </row>
    <row r="2061" spans="36:37" ht="12" customHeight="1">
      <c r="AJ2061" s="146"/>
      <c r="AK2061" s="30"/>
    </row>
    <row r="2062" spans="36:37" ht="12" customHeight="1">
      <c r="AJ2062" s="146"/>
      <c r="AK2062" s="30"/>
    </row>
    <row r="2063" spans="36:37" ht="12" customHeight="1">
      <c r="AJ2063" s="146"/>
      <c r="AK2063" s="30"/>
    </row>
    <row r="2064" spans="36:37" ht="12" customHeight="1">
      <c r="AJ2064" s="146"/>
      <c r="AK2064" s="30"/>
    </row>
    <row r="2065" spans="36:37" ht="12" customHeight="1">
      <c r="AJ2065" s="146"/>
      <c r="AK2065" s="30"/>
    </row>
    <row r="2066" spans="36:37" ht="12" customHeight="1">
      <c r="AJ2066" s="146"/>
      <c r="AK2066" s="30"/>
    </row>
    <row r="2067" spans="36:37" ht="12" customHeight="1">
      <c r="AJ2067" s="146"/>
      <c r="AK2067" s="30"/>
    </row>
    <row r="2068" spans="36:37" ht="12" customHeight="1">
      <c r="AJ2068" s="146"/>
      <c r="AK2068" s="30"/>
    </row>
    <row r="2069" spans="36:37" ht="12" customHeight="1">
      <c r="AJ2069" s="146"/>
      <c r="AK2069" s="30"/>
    </row>
    <row r="2070" spans="36:37" ht="12" customHeight="1">
      <c r="AJ2070" s="146"/>
      <c r="AK2070" s="30"/>
    </row>
    <row r="2071" spans="36:37" ht="12" customHeight="1">
      <c r="AJ2071" s="146"/>
      <c r="AK2071" s="30"/>
    </row>
    <row r="2072" spans="36:37" ht="12" customHeight="1">
      <c r="AJ2072" s="146"/>
      <c r="AK2072" s="30"/>
    </row>
    <row r="2073" spans="36:37" ht="12" customHeight="1">
      <c r="AJ2073" s="146"/>
      <c r="AK2073" s="30"/>
    </row>
    <row r="2074" spans="36:37" ht="12" customHeight="1">
      <c r="AJ2074" s="146"/>
      <c r="AK2074" s="30"/>
    </row>
    <row r="2075" spans="36:37" ht="12" customHeight="1">
      <c r="AJ2075" s="146"/>
      <c r="AK2075" s="30"/>
    </row>
    <row r="2076" spans="36:37" ht="12" customHeight="1">
      <c r="AJ2076" s="146"/>
      <c r="AK2076" s="30"/>
    </row>
    <row r="2077" spans="36:37" ht="12" customHeight="1">
      <c r="AJ2077" s="146"/>
      <c r="AK2077" s="30"/>
    </row>
    <row r="2078" spans="36:37" ht="12" customHeight="1">
      <c r="AJ2078" s="146"/>
      <c r="AK2078" s="30"/>
    </row>
    <row r="2079" spans="36:37" ht="12" customHeight="1">
      <c r="AJ2079" s="146"/>
      <c r="AK2079" s="30"/>
    </row>
    <row r="2080" spans="36:37" ht="12" customHeight="1">
      <c r="AJ2080" s="146"/>
      <c r="AK2080" s="30"/>
    </row>
    <row r="2081" spans="36:37" ht="12" customHeight="1">
      <c r="AJ2081" s="146"/>
      <c r="AK2081" s="30"/>
    </row>
    <row r="2082" spans="36:37" ht="12" customHeight="1">
      <c r="AJ2082" s="146"/>
      <c r="AK2082" s="30"/>
    </row>
    <row r="2083" spans="36:37" ht="12" customHeight="1">
      <c r="AJ2083" s="146"/>
      <c r="AK2083" s="30"/>
    </row>
    <row r="2084" spans="36:37" ht="12" customHeight="1">
      <c r="AJ2084" s="146"/>
      <c r="AK2084" s="30"/>
    </row>
    <row r="2085" spans="36:37" ht="12" customHeight="1">
      <c r="AJ2085" s="146"/>
      <c r="AK2085" s="30"/>
    </row>
    <row r="2086" spans="36:37" ht="12" customHeight="1">
      <c r="AJ2086" s="146"/>
      <c r="AK2086" s="30"/>
    </row>
    <row r="2087" spans="36:37" ht="12" customHeight="1">
      <c r="AJ2087" s="146"/>
      <c r="AK2087" s="30"/>
    </row>
    <row r="2088" spans="36:37" ht="12" customHeight="1">
      <c r="AJ2088" s="146"/>
      <c r="AK2088" s="30"/>
    </row>
    <row r="2089" spans="36:37" ht="12" customHeight="1">
      <c r="AJ2089" s="146"/>
      <c r="AK2089" s="30"/>
    </row>
    <row r="2090" spans="36:37" ht="12" customHeight="1">
      <c r="AJ2090" s="146"/>
      <c r="AK2090" s="30"/>
    </row>
    <row r="2091" spans="36:37" ht="12" customHeight="1">
      <c r="AJ2091" s="146"/>
      <c r="AK2091" s="30"/>
    </row>
    <row r="2092" spans="36:37" ht="12" customHeight="1">
      <c r="AJ2092" s="146"/>
      <c r="AK2092" s="30"/>
    </row>
    <row r="2093" spans="36:37" ht="12" customHeight="1">
      <c r="AJ2093" s="146"/>
      <c r="AK2093" s="30"/>
    </row>
    <row r="2094" spans="36:37" ht="12" customHeight="1">
      <c r="AJ2094" s="146"/>
      <c r="AK2094" s="30"/>
    </row>
    <row r="2095" spans="36:37" ht="12" customHeight="1">
      <c r="AJ2095" s="146"/>
      <c r="AK2095" s="30"/>
    </row>
    <row r="2096" spans="36:37" ht="12" customHeight="1">
      <c r="AJ2096" s="146"/>
      <c r="AK2096" s="30"/>
    </row>
    <row r="2097" spans="36:37" ht="12" customHeight="1">
      <c r="AJ2097" s="146"/>
      <c r="AK2097" s="30"/>
    </row>
    <row r="2098" spans="36:37" ht="12" customHeight="1">
      <c r="AJ2098" s="146"/>
      <c r="AK2098" s="30"/>
    </row>
    <row r="2099" spans="36:37" ht="12" customHeight="1">
      <c r="AJ2099" s="146"/>
      <c r="AK2099" s="30"/>
    </row>
    <row r="2100" spans="36:37" ht="12" customHeight="1">
      <c r="AJ2100" s="146"/>
      <c r="AK2100" s="30"/>
    </row>
    <row r="2101" spans="36:37" ht="12" customHeight="1">
      <c r="AJ2101" s="146"/>
      <c r="AK2101" s="30"/>
    </row>
    <row r="2102" spans="36:37" ht="12" customHeight="1">
      <c r="AJ2102" s="146"/>
      <c r="AK2102" s="30"/>
    </row>
    <row r="2103" spans="36:37" ht="12" customHeight="1">
      <c r="AJ2103" s="146"/>
      <c r="AK2103" s="30"/>
    </row>
    <row r="2104" spans="36:37" ht="12" customHeight="1">
      <c r="AJ2104" s="146"/>
      <c r="AK2104" s="30"/>
    </row>
    <row r="2105" spans="36:37" ht="12" customHeight="1">
      <c r="AJ2105" s="146"/>
      <c r="AK2105" s="30"/>
    </row>
    <row r="2106" spans="36:37" ht="12" customHeight="1">
      <c r="AJ2106" s="146"/>
      <c r="AK2106" s="30"/>
    </row>
    <row r="2107" spans="36:37" ht="12" customHeight="1">
      <c r="AJ2107" s="146"/>
      <c r="AK2107" s="30"/>
    </row>
    <row r="2108" spans="36:37" ht="12" customHeight="1">
      <c r="AJ2108" s="146"/>
      <c r="AK2108" s="30"/>
    </row>
    <row r="2109" spans="36:37" ht="12" customHeight="1">
      <c r="AJ2109" s="146"/>
      <c r="AK2109" s="30"/>
    </row>
    <row r="2110" spans="36:37" ht="12" customHeight="1">
      <c r="AJ2110" s="146"/>
      <c r="AK2110" s="30"/>
    </row>
    <row r="2111" spans="36:37" ht="12" customHeight="1">
      <c r="AJ2111" s="146"/>
      <c r="AK2111" s="30"/>
    </row>
    <row r="2112" spans="36:37" ht="12" customHeight="1">
      <c r="AJ2112" s="146"/>
      <c r="AK2112" s="30"/>
    </row>
    <row r="2113" spans="36:37" ht="12" customHeight="1">
      <c r="AJ2113" s="146"/>
      <c r="AK2113" s="30"/>
    </row>
    <row r="2114" spans="36:37" ht="12" customHeight="1">
      <c r="AJ2114" s="146"/>
      <c r="AK2114" s="30"/>
    </row>
    <row r="2115" spans="36:37" ht="12" customHeight="1">
      <c r="AJ2115" s="146"/>
      <c r="AK2115" s="30"/>
    </row>
    <row r="2116" spans="36:37" ht="12" customHeight="1">
      <c r="AJ2116" s="146"/>
      <c r="AK2116" s="30"/>
    </row>
    <row r="2117" spans="36:37" ht="12" customHeight="1">
      <c r="AJ2117" s="146"/>
      <c r="AK2117" s="30"/>
    </row>
    <row r="2118" spans="36:37" ht="12" customHeight="1">
      <c r="AJ2118" s="146"/>
      <c r="AK2118" s="30"/>
    </row>
    <row r="2119" spans="36:37" ht="12" customHeight="1">
      <c r="AJ2119" s="146"/>
      <c r="AK2119" s="30"/>
    </row>
    <row r="2120" spans="36:37" ht="12" customHeight="1">
      <c r="AJ2120" s="146"/>
      <c r="AK2120" s="30"/>
    </row>
    <row r="2121" spans="36:37" ht="12" customHeight="1">
      <c r="AJ2121" s="146"/>
      <c r="AK2121" s="30"/>
    </row>
    <row r="2122" spans="36:37" ht="12" customHeight="1">
      <c r="AJ2122" s="146"/>
      <c r="AK2122" s="30"/>
    </row>
    <row r="2123" spans="36:37" ht="12" customHeight="1">
      <c r="AJ2123" s="146"/>
      <c r="AK2123" s="30"/>
    </row>
    <row r="2124" spans="36:37" ht="12" customHeight="1">
      <c r="AJ2124" s="146"/>
      <c r="AK2124" s="30"/>
    </row>
    <row r="2125" spans="36:37" ht="12" customHeight="1">
      <c r="AJ2125" s="146"/>
      <c r="AK2125" s="30"/>
    </row>
    <row r="2126" spans="36:37" ht="12" customHeight="1">
      <c r="AJ2126" s="146"/>
      <c r="AK2126" s="30"/>
    </row>
    <row r="2127" spans="36:37" ht="12" customHeight="1">
      <c r="AJ2127" s="146"/>
      <c r="AK2127" s="30"/>
    </row>
    <row r="2128" spans="36:37" ht="12" customHeight="1">
      <c r="AJ2128" s="146"/>
      <c r="AK2128" s="30"/>
    </row>
    <row r="2129" spans="36:37" ht="12" customHeight="1">
      <c r="AJ2129" s="146"/>
      <c r="AK2129" s="30"/>
    </row>
    <row r="2130" spans="36:37" ht="12" customHeight="1">
      <c r="AJ2130" s="146"/>
      <c r="AK2130" s="30"/>
    </row>
    <row r="2131" spans="36:37" ht="12" customHeight="1">
      <c r="AJ2131" s="146"/>
      <c r="AK2131" s="30"/>
    </row>
    <row r="2132" spans="36:37" ht="12" customHeight="1">
      <c r="AJ2132" s="146"/>
      <c r="AK2132" s="30"/>
    </row>
    <row r="2133" spans="36:37" ht="12" customHeight="1">
      <c r="AJ2133" s="146"/>
      <c r="AK2133" s="30"/>
    </row>
    <row r="2134" spans="36:37" ht="12" customHeight="1">
      <c r="AJ2134" s="146"/>
      <c r="AK2134" s="30"/>
    </row>
    <row r="2135" spans="36:37" ht="12" customHeight="1">
      <c r="AJ2135" s="146"/>
      <c r="AK2135" s="30"/>
    </row>
    <row r="2136" spans="36:37" ht="12" customHeight="1">
      <c r="AJ2136" s="146"/>
      <c r="AK2136" s="30"/>
    </row>
    <row r="2137" spans="36:37" ht="12" customHeight="1">
      <c r="AJ2137" s="146"/>
      <c r="AK2137" s="30"/>
    </row>
    <row r="2138" spans="36:37" ht="12" customHeight="1">
      <c r="AJ2138" s="146"/>
      <c r="AK2138" s="30"/>
    </row>
    <row r="2139" spans="36:37" ht="12" customHeight="1">
      <c r="AJ2139" s="146"/>
      <c r="AK2139" s="30"/>
    </row>
    <row r="2140" spans="36:37" ht="12" customHeight="1">
      <c r="AJ2140" s="146"/>
      <c r="AK2140" s="30"/>
    </row>
    <row r="2141" spans="36:37" ht="12" customHeight="1">
      <c r="AJ2141" s="146"/>
      <c r="AK2141" s="30"/>
    </row>
    <row r="2142" spans="36:37" ht="12" customHeight="1">
      <c r="AJ2142" s="146"/>
      <c r="AK2142" s="30"/>
    </row>
    <row r="2143" spans="36:37" ht="12" customHeight="1">
      <c r="AJ2143" s="146"/>
      <c r="AK2143" s="30"/>
    </row>
    <row r="2144" spans="36:37" ht="12" customHeight="1">
      <c r="AJ2144" s="146"/>
      <c r="AK2144" s="30"/>
    </row>
    <row r="2145" spans="36:37" ht="12" customHeight="1">
      <c r="AJ2145" s="146"/>
      <c r="AK2145" s="30"/>
    </row>
    <row r="2146" spans="36:37" ht="12" customHeight="1">
      <c r="AJ2146" s="146"/>
      <c r="AK2146" s="30"/>
    </row>
    <row r="2147" spans="36:37" ht="12" customHeight="1">
      <c r="AJ2147" s="146"/>
      <c r="AK2147" s="30"/>
    </row>
    <row r="2148" spans="36:37" ht="12" customHeight="1">
      <c r="AJ2148" s="146"/>
      <c r="AK2148" s="30"/>
    </row>
    <row r="2149" spans="36:37" ht="12" customHeight="1">
      <c r="AJ2149" s="146"/>
      <c r="AK2149" s="30"/>
    </row>
    <row r="2150" spans="36:37" ht="12" customHeight="1">
      <c r="AJ2150" s="146"/>
      <c r="AK2150" s="30"/>
    </row>
    <row r="2151" spans="36:37" ht="12" customHeight="1">
      <c r="AJ2151" s="146"/>
      <c r="AK2151" s="30"/>
    </row>
    <row r="2152" spans="36:37" ht="12" customHeight="1">
      <c r="AJ2152" s="146"/>
      <c r="AK2152" s="30"/>
    </row>
    <row r="2153" spans="36:37" ht="12" customHeight="1">
      <c r="AJ2153" s="146"/>
      <c r="AK2153" s="30"/>
    </row>
    <row r="2154" spans="36:37" ht="12" customHeight="1">
      <c r="AJ2154" s="146"/>
      <c r="AK2154" s="30"/>
    </row>
    <row r="2155" spans="36:37" ht="12" customHeight="1">
      <c r="AJ2155" s="146"/>
      <c r="AK2155" s="30"/>
    </row>
    <row r="2156" spans="36:37" ht="12" customHeight="1">
      <c r="AJ2156" s="146"/>
      <c r="AK2156" s="30"/>
    </row>
    <row r="2157" spans="36:37" ht="12" customHeight="1">
      <c r="AJ2157" s="146"/>
      <c r="AK2157" s="30"/>
    </row>
    <row r="2158" spans="36:37" ht="12" customHeight="1">
      <c r="AJ2158" s="146"/>
      <c r="AK2158" s="30"/>
    </row>
    <row r="2159" spans="36:37" ht="12" customHeight="1">
      <c r="AJ2159" s="146"/>
      <c r="AK2159" s="30"/>
    </row>
    <row r="2160" spans="36:37" ht="12" customHeight="1">
      <c r="AJ2160" s="146"/>
      <c r="AK2160" s="30"/>
    </row>
    <row r="2161" spans="36:37" ht="12" customHeight="1">
      <c r="AJ2161" s="146"/>
      <c r="AK2161" s="30"/>
    </row>
    <row r="2162" spans="36:37" ht="12" customHeight="1">
      <c r="AJ2162" s="146"/>
      <c r="AK2162" s="30"/>
    </row>
    <row r="2163" spans="36:37" ht="12" customHeight="1">
      <c r="AJ2163" s="146"/>
      <c r="AK2163" s="30"/>
    </row>
    <row r="2164" spans="36:37" ht="12" customHeight="1">
      <c r="AJ2164" s="146"/>
      <c r="AK2164" s="30"/>
    </row>
    <row r="2165" spans="36:37" ht="12" customHeight="1">
      <c r="AJ2165" s="146"/>
      <c r="AK2165" s="30"/>
    </row>
    <row r="2166" spans="36:37" ht="12" customHeight="1">
      <c r="AJ2166" s="146"/>
      <c r="AK2166" s="30"/>
    </row>
    <row r="2167" spans="36:37" ht="12" customHeight="1">
      <c r="AJ2167" s="146"/>
      <c r="AK2167" s="30"/>
    </row>
    <row r="2168" spans="36:37" ht="12" customHeight="1">
      <c r="AJ2168" s="146"/>
      <c r="AK2168" s="30"/>
    </row>
    <row r="2169" spans="36:37" ht="12" customHeight="1">
      <c r="AJ2169" s="146"/>
      <c r="AK2169" s="30"/>
    </row>
    <row r="2170" spans="36:37" ht="12" customHeight="1">
      <c r="AJ2170" s="146"/>
      <c r="AK2170" s="30"/>
    </row>
    <row r="2171" spans="36:37" ht="12" customHeight="1">
      <c r="AJ2171" s="146"/>
      <c r="AK2171" s="30"/>
    </row>
    <row r="2172" spans="36:37" ht="12" customHeight="1">
      <c r="AJ2172" s="146"/>
      <c r="AK2172" s="30"/>
    </row>
    <row r="2173" spans="36:37" ht="12" customHeight="1">
      <c r="AJ2173" s="146"/>
      <c r="AK2173" s="30"/>
    </row>
    <row r="2174" spans="36:37" ht="12" customHeight="1">
      <c r="AJ2174" s="146"/>
      <c r="AK2174" s="30"/>
    </row>
    <row r="2175" spans="36:37" ht="12" customHeight="1">
      <c r="AJ2175" s="146"/>
      <c r="AK2175" s="30"/>
    </row>
    <row r="2176" spans="36:37" ht="12" customHeight="1">
      <c r="AJ2176" s="146"/>
      <c r="AK2176" s="30"/>
    </row>
    <row r="2177" spans="36:37" ht="12" customHeight="1">
      <c r="AJ2177" s="146"/>
      <c r="AK2177" s="30"/>
    </row>
    <row r="2178" spans="36:37" ht="12" customHeight="1">
      <c r="AJ2178" s="146"/>
      <c r="AK2178" s="30"/>
    </row>
    <row r="2179" spans="36:37" ht="12" customHeight="1">
      <c r="AJ2179" s="146"/>
      <c r="AK2179" s="30"/>
    </row>
    <row r="2180" spans="36:37" ht="12" customHeight="1">
      <c r="AJ2180" s="146"/>
      <c r="AK2180" s="30"/>
    </row>
    <row r="2181" spans="36:37" ht="12" customHeight="1">
      <c r="AJ2181" s="146"/>
      <c r="AK2181" s="30"/>
    </row>
    <row r="2182" spans="36:37" ht="12" customHeight="1">
      <c r="AJ2182" s="146"/>
      <c r="AK2182" s="30"/>
    </row>
    <row r="2183" spans="36:37" ht="12" customHeight="1">
      <c r="AJ2183" s="146"/>
      <c r="AK2183" s="30"/>
    </row>
  </sheetData>
  <autoFilter ref="AD2:AF1637" xr:uid="{00000000-0009-0000-0000-000001000000}"/>
  <mergeCells count="35">
    <mergeCell ref="AK1:AK2"/>
    <mergeCell ref="B1:B2"/>
    <mergeCell ref="C1:C2"/>
    <mergeCell ref="D1:D2"/>
    <mergeCell ref="AJ1:AJ2"/>
    <mergeCell ref="S1:S2"/>
    <mergeCell ref="I1:I2"/>
    <mergeCell ref="U1:U2"/>
    <mergeCell ref="T1:T2"/>
    <mergeCell ref="AG1:AG2"/>
    <mergeCell ref="AE1637:AF1637"/>
    <mergeCell ref="AC1:AC2"/>
    <mergeCell ref="W1:W2"/>
    <mergeCell ref="Y1:Y2"/>
    <mergeCell ref="AD1:AF1"/>
    <mergeCell ref="AB1:AB2"/>
    <mergeCell ref="A1:A2"/>
    <mergeCell ref="G1:G2"/>
    <mergeCell ref="H1:H2"/>
    <mergeCell ref="R1:R2"/>
    <mergeCell ref="P1:P2"/>
    <mergeCell ref="K1:K2"/>
    <mergeCell ref="AI1:AI2"/>
    <mergeCell ref="E1:E2"/>
    <mergeCell ref="Q1:Q2"/>
    <mergeCell ref="AA1:AA2"/>
    <mergeCell ref="Z1:Z2"/>
    <mergeCell ref="O1:O2"/>
    <mergeCell ref="M1:M2"/>
    <mergeCell ref="F1:F2"/>
    <mergeCell ref="N1:N2"/>
    <mergeCell ref="V1:V2"/>
    <mergeCell ref="J1:J2"/>
    <mergeCell ref="L1:L2"/>
    <mergeCell ref="X1:X2"/>
  </mergeCells>
  <printOptions horizontalCentered="1" gridLines="1"/>
  <pageMargins left="0.75" right="0.25" top="0.5" bottom="0.25" header="0.25" footer="0.25"/>
  <pageSetup paperSize="9" scale="18" fitToHeight="70" orientation="portrait" r:id="rId1"/>
  <headerFooter alignWithMargins="0"/>
  <rowBreaks count="1" manualBreakCount="1">
    <brk id="149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57"/>
  <sheetViews>
    <sheetView topLeftCell="A34" workbookViewId="0">
      <selection activeCell="E47" sqref="E47"/>
    </sheetView>
  </sheetViews>
  <sheetFormatPr defaultRowHeight="12.75"/>
  <cols>
    <col min="1" max="1" width="9.140625" style="17"/>
    <col min="2" max="2" width="7.42578125" style="19" customWidth="1"/>
    <col min="3" max="3" width="46.5703125" style="22" bestFit="1" customWidth="1"/>
    <col min="4" max="4" width="8.140625" style="19" customWidth="1"/>
    <col min="5" max="5" width="14.140625" style="17" bestFit="1" customWidth="1"/>
    <col min="6" max="16384" width="9.140625" style="17"/>
  </cols>
  <sheetData>
    <row r="1" spans="2:5" ht="30" customHeight="1"/>
    <row r="2" spans="2:5" ht="30" customHeight="1">
      <c r="B2" s="18" t="s">
        <v>842</v>
      </c>
      <c r="C2" s="20" t="s">
        <v>2676</v>
      </c>
      <c r="D2" s="14" t="s">
        <v>2</v>
      </c>
      <c r="E2" s="15" t="s">
        <v>743</v>
      </c>
    </row>
    <row r="3" spans="2:5" ht="38.25">
      <c r="B3" s="16" t="s">
        <v>853</v>
      </c>
      <c r="C3" s="21" t="s">
        <v>851</v>
      </c>
      <c r="D3" s="16" t="s">
        <v>204</v>
      </c>
      <c r="E3" s="23">
        <v>10000</v>
      </c>
    </row>
    <row r="4" spans="2:5" ht="25.5">
      <c r="B4" s="16" t="s">
        <v>854</v>
      </c>
      <c r="C4" s="21" t="s">
        <v>2243</v>
      </c>
      <c r="D4" s="16" t="s">
        <v>322</v>
      </c>
      <c r="E4" s="23">
        <v>100000</v>
      </c>
    </row>
    <row r="5" spans="2:5" ht="25.5">
      <c r="B5" s="16" t="s">
        <v>855</v>
      </c>
      <c r="C5" s="21" t="s">
        <v>847</v>
      </c>
      <c r="D5" s="16" t="s">
        <v>845</v>
      </c>
      <c r="E5" s="23">
        <v>100000</v>
      </c>
    </row>
    <row r="6" spans="2:5" ht="25.5">
      <c r="B6" s="16" t="s">
        <v>856</v>
      </c>
      <c r="C6" s="21" t="s">
        <v>848</v>
      </c>
      <c r="D6" s="16" t="s">
        <v>845</v>
      </c>
      <c r="E6" s="23">
        <v>200000</v>
      </c>
    </row>
    <row r="7" spans="2:5" ht="38.25">
      <c r="B7" s="16" t="s">
        <v>857</v>
      </c>
      <c r="C7" s="21" t="s">
        <v>849</v>
      </c>
      <c r="D7" s="16" t="s">
        <v>845</v>
      </c>
      <c r="E7" s="23">
        <v>50000</v>
      </c>
    </row>
    <row r="8" spans="2:5" ht="38.25">
      <c r="B8" s="16" t="s">
        <v>858</v>
      </c>
      <c r="C8" s="21" t="s">
        <v>850</v>
      </c>
      <c r="D8" s="16" t="s">
        <v>845</v>
      </c>
      <c r="E8" s="23">
        <v>100000</v>
      </c>
    </row>
    <row r="9" spans="2:5" ht="38.25">
      <c r="B9" s="16" t="s">
        <v>859</v>
      </c>
      <c r="C9" s="21" t="s">
        <v>852</v>
      </c>
      <c r="D9" s="16" t="s">
        <v>371</v>
      </c>
      <c r="E9" s="23">
        <v>8000</v>
      </c>
    </row>
    <row r="10" spans="2:5" ht="38.25">
      <c r="B10" s="16" t="s">
        <v>860</v>
      </c>
      <c r="C10" s="21" t="s">
        <v>846</v>
      </c>
      <c r="D10" s="16" t="s">
        <v>845</v>
      </c>
      <c r="E10" s="23">
        <v>80000</v>
      </c>
    </row>
    <row r="11" spans="2:5" ht="63.75">
      <c r="B11" s="16" t="s">
        <v>861</v>
      </c>
      <c r="C11" s="21" t="s">
        <v>876</v>
      </c>
      <c r="D11" s="16" t="s">
        <v>371</v>
      </c>
      <c r="E11" s="23">
        <v>1800</v>
      </c>
    </row>
    <row r="12" spans="2:5">
      <c r="B12" s="16" t="s">
        <v>862</v>
      </c>
      <c r="C12" s="21" t="s">
        <v>2200</v>
      </c>
      <c r="D12" s="16" t="s">
        <v>845</v>
      </c>
      <c r="E12" s="23">
        <v>200000</v>
      </c>
    </row>
    <row r="13" spans="2:5">
      <c r="B13" s="16" t="s">
        <v>863</v>
      </c>
      <c r="C13" s="21" t="s">
        <v>2677</v>
      </c>
      <c r="D13" s="16" t="s">
        <v>845</v>
      </c>
      <c r="E13" s="23">
        <v>150000</v>
      </c>
    </row>
    <row r="14" spans="2:5">
      <c r="B14" s="16" t="s">
        <v>864</v>
      </c>
      <c r="C14" s="21" t="s">
        <v>2678</v>
      </c>
      <c r="D14" s="16" t="s">
        <v>845</v>
      </c>
      <c r="E14" s="23">
        <v>200000</v>
      </c>
    </row>
    <row r="15" spans="2:5">
      <c r="B15" s="16" t="s">
        <v>865</v>
      </c>
      <c r="C15" s="21" t="s">
        <v>2201</v>
      </c>
      <c r="D15" s="16" t="s">
        <v>204</v>
      </c>
      <c r="E15" s="23">
        <v>6000</v>
      </c>
    </row>
    <row r="16" spans="2:5">
      <c r="B16" s="16" t="s">
        <v>866</v>
      </c>
      <c r="C16" s="21" t="s">
        <v>2687</v>
      </c>
      <c r="D16" s="16" t="s">
        <v>845</v>
      </c>
      <c r="E16" s="23">
        <v>5000</v>
      </c>
    </row>
    <row r="17" spans="2:5">
      <c r="B17" s="16" t="s">
        <v>867</v>
      </c>
      <c r="C17" s="21" t="s">
        <v>2688</v>
      </c>
      <c r="D17" s="16" t="s">
        <v>845</v>
      </c>
      <c r="E17" s="23">
        <v>7000</v>
      </c>
    </row>
    <row r="18" spans="2:5">
      <c r="B18" s="16" t="s">
        <v>868</v>
      </c>
      <c r="C18" s="21" t="s">
        <v>2202</v>
      </c>
      <c r="D18" s="16" t="s">
        <v>204</v>
      </c>
      <c r="E18" s="23">
        <v>5000</v>
      </c>
    </row>
    <row r="19" spans="2:5">
      <c r="B19" s="16" t="s">
        <v>869</v>
      </c>
      <c r="C19" s="21" t="s">
        <v>2192</v>
      </c>
      <c r="D19" s="16" t="s">
        <v>845</v>
      </c>
      <c r="E19" s="23">
        <v>150000</v>
      </c>
    </row>
    <row r="20" spans="2:5">
      <c r="B20" s="16" t="s">
        <v>870</v>
      </c>
      <c r="C20" s="21" t="s">
        <v>2193</v>
      </c>
      <c r="D20" s="16" t="s">
        <v>845</v>
      </c>
      <c r="E20" s="23">
        <v>200000</v>
      </c>
    </row>
    <row r="21" spans="2:5">
      <c r="B21" s="16" t="s">
        <v>871</v>
      </c>
      <c r="C21" s="21" t="s">
        <v>2194</v>
      </c>
      <c r="D21" s="16" t="s">
        <v>845</v>
      </c>
      <c r="E21" s="23">
        <v>200000</v>
      </c>
    </row>
    <row r="22" spans="2:5">
      <c r="B22" s="16" t="s">
        <v>872</v>
      </c>
      <c r="C22" s="21" t="s">
        <v>2195</v>
      </c>
      <c r="D22" s="16" t="s">
        <v>845</v>
      </c>
      <c r="E22" s="23">
        <v>2000000</v>
      </c>
    </row>
    <row r="23" spans="2:5">
      <c r="B23" s="16" t="s">
        <v>873</v>
      </c>
      <c r="C23" s="21" t="s">
        <v>2684</v>
      </c>
      <c r="D23" s="16" t="s">
        <v>845</v>
      </c>
      <c r="E23" s="23">
        <f>80000*15*12+(4*30*180)*4*65</f>
        <v>20016000</v>
      </c>
    </row>
    <row r="24" spans="2:5">
      <c r="B24" s="16" t="s">
        <v>874</v>
      </c>
      <c r="C24" s="21" t="s">
        <v>2196</v>
      </c>
      <c r="D24" s="16" t="s">
        <v>845</v>
      </c>
      <c r="E24" s="23">
        <v>200000</v>
      </c>
    </row>
    <row r="25" spans="2:5">
      <c r="B25" s="16" t="s">
        <v>875</v>
      </c>
      <c r="C25" s="21" t="s">
        <v>2197</v>
      </c>
      <c r="D25" s="16" t="s">
        <v>845</v>
      </c>
      <c r="E25" s="23">
        <v>100000</v>
      </c>
    </row>
    <row r="26" spans="2:5">
      <c r="B26" s="16" t="s">
        <v>2207</v>
      </c>
      <c r="C26" s="21" t="s">
        <v>2203</v>
      </c>
      <c r="D26" s="16" t="s">
        <v>845</v>
      </c>
      <c r="E26" s="23">
        <v>350000</v>
      </c>
    </row>
    <row r="27" spans="2:5">
      <c r="B27" s="16" t="s">
        <v>2208</v>
      </c>
      <c r="C27" s="21" t="s">
        <v>2204</v>
      </c>
      <c r="D27" s="16" t="s">
        <v>204</v>
      </c>
      <c r="E27" s="23">
        <v>5000</v>
      </c>
    </row>
    <row r="28" spans="2:5">
      <c r="B28" s="16" t="s">
        <v>2209</v>
      </c>
      <c r="C28" s="21" t="s">
        <v>2205</v>
      </c>
      <c r="D28" s="16" t="s">
        <v>204</v>
      </c>
      <c r="E28" s="23">
        <v>10000</v>
      </c>
    </row>
    <row r="29" spans="2:5">
      <c r="B29" s="16" t="s">
        <v>2210</v>
      </c>
      <c r="C29" s="21" t="s">
        <v>2206</v>
      </c>
      <c r="D29" s="16" t="s">
        <v>204</v>
      </c>
      <c r="E29" s="23">
        <v>1000</v>
      </c>
    </row>
    <row r="30" spans="2:5">
      <c r="B30" s="16" t="s">
        <v>2211</v>
      </c>
      <c r="C30" s="21" t="s">
        <v>2219</v>
      </c>
      <c r="D30" s="16" t="s">
        <v>2220</v>
      </c>
      <c r="E30" s="23">
        <v>100000</v>
      </c>
    </row>
    <row r="31" spans="2:5" ht="25.5">
      <c r="B31" s="16" t="s">
        <v>2212</v>
      </c>
      <c r="C31" s="21" t="s">
        <v>2221</v>
      </c>
      <c r="D31" s="16" t="s">
        <v>2222</v>
      </c>
      <c r="E31" s="23">
        <v>150000</v>
      </c>
    </row>
    <row r="32" spans="2:5">
      <c r="B32" s="16" t="s">
        <v>2213</v>
      </c>
      <c r="C32" s="21" t="s">
        <v>2223</v>
      </c>
      <c r="D32" s="16" t="s">
        <v>845</v>
      </c>
      <c r="E32" s="23">
        <v>3000</v>
      </c>
    </row>
    <row r="33" spans="2:5">
      <c r="B33" s="16" t="s">
        <v>2214</v>
      </c>
      <c r="C33" s="21" t="s">
        <v>2224</v>
      </c>
      <c r="D33" s="16" t="s">
        <v>845</v>
      </c>
      <c r="E33" s="23">
        <v>500000</v>
      </c>
    </row>
    <row r="34" spans="2:5">
      <c r="B34" s="16" t="s">
        <v>2215</v>
      </c>
      <c r="C34" s="21" t="s">
        <v>2225</v>
      </c>
      <c r="D34" s="16" t="s">
        <v>845</v>
      </c>
      <c r="E34" s="23">
        <v>150000</v>
      </c>
    </row>
    <row r="35" spans="2:5">
      <c r="B35" s="16" t="s">
        <v>2216</v>
      </c>
      <c r="C35" s="21" t="s">
        <v>2235</v>
      </c>
      <c r="D35" s="16" t="s">
        <v>845</v>
      </c>
      <c r="E35" s="23">
        <v>250000</v>
      </c>
    </row>
    <row r="36" spans="2:5">
      <c r="B36" s="16" t="s">
        <v>2217</v>
      </c>
      <c r="C36" s="21" t="s">
        <v>2234</v>
      </c>
      <c r="D36" s="16" t="s">
        <v>845</v>
      </c>
      <c r="E36" s="23">
        <v>250000</v>
      </c>
    </row>
    <row r="37" spans="2:5">
      <c r="B37" s="16" t="s">
        <v>2218</v>
      </c>
      <c r="C37" s="21" t="s">
        <v>2230</v>
      </c>
      <c r="D37" s="16" t="s">
        <v>845</v>
      </c>
      <c r="E37" s="23">
        <v>15000</v>
      </c>
    </row>
    <row r="38" spans="2:5">
      <c r="B38" s="16" t="s">
        <v>2226</v>
      </c>
      <c r="C38" s="21" t="s">
        <v>2237</v>
      </c>
      <c r="D38" s="16" t="s">
        <v>845</v>
      </c>
      <c r="E38" s="23">
        <v>8000</v>
      </c>
    </row>
    <row r="39" spans="2:5">
      <c r="B39" s="16" t="s">
        <v>2227</v>
      </c>
      <c r="C39" s="21" t="s">
        <v>2231</v>
      </c>
      <c r="D39" s="16" t="s">
        <v>845</v>
      </c>
      <c r="E39" s="23">
        <v>15000</v>
      </c>
    </row>
    <row r="40" spans="2:5" ht="25.5">
      <c r="B40" s="16" t="s">
        <v>2228</v>
      </c>
      <c r="C40" s="21" t="s">
        <v>2236</v>
      </c>
      <c r="D40" s="16" t="s">
        <v>845</v>
      </c>
      <c r="E40" s="23">
        <v>8000</v>
      </c>
    </row>
    <row r="41" spans="2:5" ht="25.5">
      <c r="B41" s="16" t="s">
        <v>2229</v>
      </c>
      <c r="C41" s="21" t="s">
        <v>2232</v>
      </c>
      <c r="D41" s="16" t="s">
        <v>845</v>
      </c>
      <c r="E41" s="23">
        <v>10000</v>
      </c>
    </row>
    <row r="42" spans="2:5">
      <c r="B42" s="16" t="s">
        <v>2238</v>
      </c>
      <c r="C42" s="21" t="s">
        <v>2233</v>
      </c>
      <c r="D42" s="16" t="s">
        <v>845</v>
      </c>
      <c r="E42" s="23">
        <v>250000</v>
      </c>
    </row>
    <row r="43" spans="2:5">
      <c r="B43" s="16" t="s">
        <v>2679</v>
      </c>
      <c r="C43" s="21" t="s">
        <v>2239</v>
      </c>
      <c r="D43" s="16" t="s">
        <v>204</v>
      </c>
      <c r="E43" s="23">
        <v>12000</v>
      </c>
    </row>
    <row r="44" spans="2:5">
      <c r="B44" s="16" t="s">
        <v>2680</v>
      </c>
      <c r="C44" s="21" t="s">
        <v>2240</v>
      </c>
      <c r="D44" s="16" t="s">
        <v>204</v>
      </c>
      <c r="E44" s="23">
        <v>12000</v>
      </c>
    </row>
    <row r="45" spans="2:5">
      <c r="B45" s="16" t="s">
        <v>2681</v>
      </c>
      <c r="C45" s="21" t="s">
        <v>2241</v>
      </c>
      <c r="D45" s="16" t="s">
        <v>204</v>
      </c>
      <c r="E45" s="23">
        <v>12000</v>
      </c>
    </row>
    <row r="46" spans="2:5">
      <c r="B46" s="16" t="s">
        <v>2682</v>
      </c>
      <c r="C46" s="21" t="s">
        <v>2244</v>
      </c>
      <c r="D46" s="16" t="s">
        <v>836</v>
      </c>
      <c r="E46" s="23">
        <v>20000</v>
      </c>
    </row>
    <row r="47" spans="2:5">
      <c r="B47" s="16" t="s">
        <v>2683</v>
      </c>
      <c r="C47" s="21" t="s">
        <v>2247</v>
      </c>
      <c r="D47" s="16" t="s">
        <v>204</v>
      </c>
      <c r="E47" s="23">
        <v>160</v>
      </c>
    </row>
    <row r="54" spans="8:11">
      <c r="I54" s="24"/>
    </row>
    <row r="55" spans="8:11">
      <c r="H55" s="24"/>
      <c r="I55" s="24"/>
    </row>
    <row r="56" spans="8:11">
      <c r="H56" s="24"/>
      <c r="I56" s="24"/>
      <c r="K56" s="24"/>
    </row>
    <row r="57" spans="8:11">
      <c r="H57" s="24"/>
      <c r="I57" s="2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ABSTRACT OF COST</vt:lpstr>
      <vt:lpstr>BOQ</vt:lpstr>
      <vt:lpstr>Markert Rate</vt:lpstr>
      <vt:lpstr>'ABSTRACT OF COST'!Print_Area</vt:lpstr>
      <vt:lpstr>BOQ!Print_Area</vt:lpstr>
      <vt:lpstr>BOQ!Print_Titles</vt:lpstr>
    </vt:vector>
  </TitlesOfParts>
  <Company>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SS1405499</dc:creator>
  <cp:lastModifiedBy>User</cp:lastModifiedBy>
  <cp:lastPrinted>2018-04-11T10:04:21Z</cp:lastPrinted>
  <dcterms:created xsi:type="dcterms:W3CDTF">2010-03-19T09:20:07Z</dcterms:created>
  <dcterms:modified xsi:type="dcterms:W3CDTF">2025-11-06T06:47:44Z</dcterms:modified>
</cp:coreProperties>
</file>